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harsharyan/Files/Work/Financial Modelling Resources/Adani Power FM/"/>
    </mc:Choice>
  </mc:AlternateContent>
  <xr:revisionPtr revIDLastSave="0" documentId="13_ncr:1_{F514F9A2-48A9-6042-8B9F-1BA5289269B4}" xr6:coauthVersionLast="47" xr6:coauthVersionMax="47" xr10:uidLastSave="{00000000-0000-0000-0000-000000000000}"/>
  <bookViews>
    <workbookView xWindow="0" yWindow="660" windowWidth="29400" windowHeight="16860" activeTab="22" xr2:uid="{1ACDD1EA-B988-0243-A780-619C60E3E605}"/>
  </bookViews>
  <sheets>
    <sheet name="Cover" sheetId="1" r:id="rId1"/>
    <sheet name="Data &amp; Assumption &gt;&gt;" sheetId="3" r:id="rId2"/>
    <sheet name="Historical Data" sheetId="4" r:id="rId3"/>
    <sheet name="Assumptions" sheetId="2" r:id="rId4"/>
    <sheet name="Comp Data" sheetId="30" r:id="rId5"/>
    <sheet name="Model &gt;&gt;" sheetId="6" r:id="rId6"/>
    <sheet name="Scenarios" sheetId="5" r:id="rId7"/>
    <sheet name="Model" sheetId="7" r:id="rId8"/>
    <sheet name="DCF&gt;&gt;" sheetId="11" r:id="rId9"/>
    <sheet name="WACC" sheetId="10" r:id="rId10"/>
    <sheet name="Beta" sheetId="12" r:id="rId11"/>
    <sheet name="Rm" sheetId="24" r:id="rId12"/>
    <sheet name="Intrinsic Growth" sheetId="25" r:id="rId13"/>
    <sheet name="DCF" sheetId="27" r:id="rId14"/>
    <sheet name="Relative Valuation&gt;&gt;" sheetId="28" r:id="rId15"/>
    <sheet name="Comp Valuation" sheetId="29" r:id="rId16"/>
    <sheet name="Analysis&gt;&gt;" sheetId="9" r:id="rId17"/>
    <sheet name="Ratio Analysis" sheetId="8" r:id="rId18"/>
    <sheet name="Common Size Analysis" sheetId="26" r:id="rId19"/>
    <sheet name="Football Field" sheetId="31" r:id="rId20"/>
    <sheet name="VaR" sheetId="32" r:id="rId21"/>
    <sheet name="Comps Beta&gt;&gt;" sheetId="16" r:id="rId22"/>
    <sheet name="NTPC" sheetId="14" r:id="rId23"/>
    <sheet name="Tata Power" sheetId="17" r:id="rId24"/>
    <sheet name="JSW Energy" sheetId="20" r:id="rId25"/>
    <sheet name="Torrent Power" sheetId="22" r:id="rId26"/>
    <sheet name="CESE" sheetId="23" r:id="rId27"/>
  </sheets>
  <definedNames>
    <definedName name="_xlnm._FilterDatabase" localSheetId="10" hidden="1">Beta!$F$9:$F$9</definedName>
    <definedName name="_xlnm._FilterDatabase" localSheetId="26" hidden="1">CESE!$U$9:$V$9</definedName>
    <definedName name="_xlnm._FilterDatabase" localSheetId="24" hidden="1">'JSW Energy'!$S$9:$T$9</definedName>
    <definedName name="_xlnm._FilterDatabase" localSheetId="22" hidden="1">NTPC!$T$9:$U$9</definedName>
    <definedName name="_xlnm._FilterDatabase" localSheetId="23" hidden="1">'Tata Power'!$S$9:$T$9</definedName>
    <definedName name="_xlnm._FilterDatabase" localSheetId="25" hidden="1">'Torrent Power'!$S$9:$T$9</definedName>
    <definedName name="_xlnm._FilterDatabase" localSheetId="9" hidden="1">WACC!$S$4:$X$4</definedName>
    <definedName name="_xlchart.v1.0" hidden="1">VaR!$G$10:$G$10009</definedName>
    <definedName name="_xlnm.Print_Area" localSheetId="3">Assumptions!$A$1:$O$92</definedName>
    <definedName name="_xlnm.Print_Area" localSheetId="18">'Common Size Analysis'!$A$1:$N$70</definedName>
    <definedName name="_xlnm.Print_Area" localSheetId="4">'Comp Data'!$A$1:$N$10</definedName>
    <definedName name="_xlnm.Print_Area" localSheetId="0">Cover!$A$1:$I$17</definedName>
    <definedName name="_xlnm.Print_Area" localSheetId="2">'Historical Data'!$A$1:$Q$152</definedName>
    <definedName name="_xlnm.Print_Area" localSheetId="7">Model!$A$1:$P$474</definedName>
    <definedName name="_xlnm.Print_Area" localSheetId="11">Rm!$A$1:$G$30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7" i="32" l="1"/>
  <c r="K28" i="32"/>
  <c r="K29" i="32"/>
  <c r="K26" i="32"/>
  <c r="J36" i="32"/>
  <c r="J35" i="32"/>
  <c r="J34" i="32"/>
  <c r="J33" i="32"/>
  <c r="J27" i="32"/>
  <c r="J28" i="32"/>
  <c r="J29" i="32"/>
  <c r="J26" i="32"/>
  <c r="M15" i="32"/>
  <c r="M14" i="32"/>
  <c r="M13" i="32"/>
  <c r="M12" i="32"/>
  <c r="M11" i="32"/>
  <c r="B1" i="32"/>
  <c r="I5" i="32" s="1"/>
  <c r="M11" i="31"/>
  <c r="K11" i="31"/>
  <c r="M8" i="31"/>
  <c r="M9" i="31"/>
  <c r="M10" i="31"/>
  <c r="K8" i="31"/>
  <c r="K9" i="31"/>
  <c r="K10" i="31"/>
  <c r="I5" i="31"/>
  <c r="K7" i="31"/>
  <c r="M7" i="31"/>
  <c r="N7" i="31"/>
  <c r="L7" i="31"/>
  <c r="B1" i="31"/>
  <c r="C71" i="5"/>
  <c r="C72" i="5"/>
  <c r="C70" i="5"/>
  <c r="K68" i="5" a="1"/>
  <c r="H36" i="27" s="1"/>
  <c r="J68" i="5" a="1"/>
  <c r="H35" i="27" s="1"/>
  <c r="I68" i="5" a="1"/>
  <c r="H68" i="5" a="1"/>
  <c r="H33" i="27" s="1"/>
  <c r="G68" i="5" a="1"/>
  <c r="H32" i="27" s="1"/>
  <c r="O16" i="29"/>
  <c r="P16" i="29"/>
  <c r="O17" i="29"/>
  <c r="P17" i="29"/>
  <c r="O18" i="29"/>
  <c r="P18" i="29"/>
  <c r="O19" i="29"/>
  <c r="P19" i="29"/>
  <c r="O20" i="29"/>
  <c r="P20" i="29"/>
  <c r="O21" i="29"/>
  <c r="P21" i="29"/>
  <c r="N21" i="29"/>
  <c r="N20" i="29"/>
  <c r="N19" i="29"/>
  <c r="N18" i="29"/>
  <c r="N17" i="29"/>
  <c r="N16" i="29"/>
  <c r="B27" i="29"/>
  <c r="O28" i="29"/>
  <c r="P28" i="29"/>
  <c r="N28" i="29"/>
  <c r="G11" i="29"/>
  <c r="G12" i="29"/>
  <c r="G13" i="29"/>
  <c r="G14" i="29"/>
  <c r="G10" i="29"/>
  <c r="I7" i="30"/>
  <c r="I8" i="30"/>
  <c r="I9" i="30"/>
  <c r="I10" i="30"/>
  <c r="I6" i="30"/>
  <c r="G9" i="29"/>
  <c r="O30" i="29" s="1"/>
  <c r="L9" i="29"/>
  <c r="K9" i="29"/>
  <c r="J9" i="29"/>
  <c r="E9" i="29"/>
  <c r="D9" i="29"/>
  <c r="K10" i="29"/>
  <c r="L10" i="29"/>
  <c r="K11" i="29"/>
  <c r="L11" i="29"/>
  <c r="K12" i="29"/>
  <c r="L12" i="29"/>
  <c r="K13" i="29"/>
  <c r="L13" i="29"/>
  <c r="K14" i="29"/>
  <c r="L14" i="29"/>
  <c r="J11" i="29"/>
  <c r="J12" i="29"/>
  <c r="J13" i="29"/>
  <c r="J14" i="29"/>
  <c r="J10" i="29"/>
  <c r="E10" i="29"/>
  <c r="E11" i="29"/>
  <c r="E12" i="29"/>
  <c r="E13" i="29"/>
  <c r="E14" i="29"/>
  <c r="D11" i="29"/>
  <c r="D12" i="29"/>
  <c r="D13" i="29"/>
  <c r="D14" i="29"/>
  <c r="D10" i="29"/>
  <c r="B11" i="29"/>
  <c r="B12" i="29"/>
  <c r="B13" i="29"/>
  <c r="B14" i="29"/>
  <c r="B10" i="29"/>
  <c r="B7" i="30"/>
  <c r="B8" i="30" s="1"/>
  <c r="B9" i="30" s="1"/>
  <c r="B10" i="30" s="1"/>
  <c r="B1" i="30"/>
  <c r="B1" i="29"/>
  <c r="B24" i="29" s="1"/>
  <c r="G12" i="27"/>
  <c r="E39" i="27"/>
  <c r="E35" i="27"/>
  <c r="E33" i="27"/>
  <c r="E32" i="27"/>
  <c r="I16" i="27"/>
  <c r="J16" i="27" s="1"/>
  <c r="K16" i="27" s="1"/>
  <c r="L16" i="27" s="1"/>
  <c r="M16" i="27" s="1"/>
  <c r="H8" i="27"/>
  <c r="B1" i="27"/>
  <c r="M9" i="25"/>
  <c r="G70" i="26"/>
  <c r="F70" i="26"/>
  <c r="G68" i="26"/>
  <c r="F68" i="26"/>
  <c r="G66" i="26"/>
  <c r="F66" i="26"/>
  <c r="G65" i="26"/>
  <c r="F65" i="26"/>
  <c r="G64" i="26"/>
  <c r="F64" i="26"/>
  <c r="G62" i="26"/>
  <c r="F62" i="26"/>
  <c r="G61" i="26"/>
  <c r="F61" i="26"/>
  <c r="G60" i="26"/>
  <c r="F60" i="26"/>
  <c r="G59" i="26"/>
  <c r="F59" i="26"/>
  <c r="G58" i="26"/>
  <c r="F58" i="26"/>
  <c r="G57" i="26"/>
  <c r="F57" i="26"/>
  <c r="G56" i="26"/>
  <c r="F56" i="26"/>
  <c r="G54" i="26"/>
  <c r="F54" i="26"/>
  <c r="G53" i="26"/>
  <c r="F53" i="26"/>
  <c r="G52" i="26"/>
  <c r="F52" i="26"/>
  <c r="G51" i="26"/>
  <c r="F51" i="26"/>
  <c r="G39" i="26"/>
  <c r="F39" i="26"/>
  <c r="G38" i="26"/>
  <c r="F38" i="26"/>
  <c r="G37" i="26"/>
  <c r="F37" i="26"/>
  <c r="G36" i="26"/>
  <c r="F36" i="26"/>
  <c r="G35" i="26"/>
  <c r="F35" i="26"/>
  <c r="G34" i="26"/>
  <c r="F34" i="26"/>
  <c r="G46" i="26"/>
  <c r="F46" i="26"/>
  <c r="G45" i="26"/>
  <c r="F45" i="26"/>
  <c r="G44" i="26"/>
  <c r="F44" i="26"/>
  <c r="G43" i="26"/>
  <c r="F43" i="26"/>
  <c r="G42" i="26"/>
  <c r="F42" i="26"/>
  <c r="G41" i="26"/>
  <c r="F41" i="26"/>
  <c r="G48" i="26"/>
  <c r="F48" i="26"/>
  <c r="B30" i="26"/>
  <c r="I31" i="26"/>
  <c r="G24" i="26"/>
  <c r="G23" i="26"/>
  <c r="G22" i="26"/>
  <c r="G21" i="26"/>
  <c r="G20" i="26"/>
  <c r="G19" i="26"/>
  <c r="G18" i="26"/>
  <c r="G14" i="26"/>
  <c r="G15" i="26"/>
  <c r="G16" i="26"/>
  <c r="G17" i="26"/>
  <c r="G12" i="26"/>
  <c r="G11" i="26"/>
  <c r="G10" i="26"/>
  <c r="F10" i="26"/>
  <c r="F11" i="26"/>
  <c r="F12" i="26"/>
  <c r="F14" i="26"/>
  <c r="F15" i="26"/>
  <c r="F16" i="26"/>
  <c r="F17" i="26"/>
  <c r="F18" i="26"/>
  <c r="F19" i="26"/>
  <c r="F20" i="26"/>
  <c r="F21" i="26"/>
  <c r="F22" i="26"/>
  <c r="F23" i="26"/>
  <c r="F24" i="26"/>
  <c r="G8" i="26"/>
  <c r="F8" i="26"/>
  <c r="I5" i="26"/>
  <c r="H250" i="7"/>
  <c r="I255" i="7"/>
  <c r="H255" i="7"/>
  <c r="I243" i="7"/>
  <c r="H243" i="7"/>
  <c r="I257" i="7"/>
  <c r="H257" i="7"/>
  <c r="I254" i="7"/>
  <c r="H254" i="7"/>
  <c r="I253" i="7"/>
  <c r="H253" i="7"/>
  <c r="I248" i="7"/>
  <c r="H248" i="7"/>
  <c r="I247" i="7"/>
  <c r="H247" i="7"/>
  <c r="I246" i="7"/>
  <c r="H246" i="7"/>
  <c r="I245" i="7"/>
  <c r="I250" i="7" s="1"/>
  <c r="I251" i="7" s="1"/>
  <c r="I259" i="7" s="1"/>
  <c r="I261" i="7" s="1"/>
  <c r="H245" i="7"/>
  <c r="H251" i="7" s="1"/>
  <c r="H259" i="7" s="1"/>
  <c r="H261" i="7" s="1"/>
  <c r="I242" i="7"/>
  <c r="H242" i="7"/>
  <c r="I241" i="7"/>
  <c r="H241" i="7"/>
  <c r="I240" i="7"/>
  <c r="H240" i="7"/>
  <c r="B1" i="26"/>
  <c r="B27" i="26" s="1"/>
  <c r="H14" i="25"/>
  <c r="I14" i="25"/>
  <c r="J14" i="25"/>
  <c r="K14" i="25"/>
  <c r="L14" i="25"/>
  <c r="M14" i="25"/>
  <c r="G14" i="25"/>
  <c r="G10" i="25"/>
  <c r="H6" i="25"/>
  <c r="H24" i="25" s="1"/>
  <c r="B1" i="25"/>
  <c r="J17" i="10"/>
  <c r="J18" i="10"/>
  <c r="K18" i="10"/>
  <c r="L18" i="10"/>
  <c r="M18" i="10"/>
  <c r="I18" i="10"/>
  <c r="I17" i="10"/>
  <c r="K17" i="10"/>
  <c r="L17" i="10"/>
  <c r="M17" i="10"/>
  <c r="G5" i="24" a="1"/>
  <c r="G7" i="24" s="1"/>
  <c r="M26" i="10" s="1"/>
  <c r="M10" i="10"/>
  <c r="L10" i="10"/>
  <c r="H10" i="10"/>
  <c r="E37" i="10" s="1"/>
  <c r="G10" i="10"/>
  <c r="G26" i="10"/>
  <c r="M37" i="10" s="1"/>
  <c r="L15" i="10"/>
  <c r="M15" i="10" s="1"/>
  <c r="G270" i="23"/>
  <c r="D270" i="23"/>
  <c r="G269" i="23"/>
  <c r="D269" i="23"/>
  <c r="G268" i="23"/>
  <c r="D268" i="23"/>
  <c r="G267" i="23"/>
  <c r="D267" i="23"/>
  <c r="G266" i="23"/>
  <c r="D266" i="23"/>
  <c r="G265" i="23"/>
  <c r="D265" i="23"/>
  <c r="G264" i="23"/>
  <c r="D264" i="23"/>
  <c r="G263" i="23"/>
  <c r="D263" i="23"/>
  <c r="G262" i="23"/>
  <c r="D262" i="23"/>
  <c r="G261" i="23"/>
  <c r="D261" i="23"/>
  <c r="G260" i="23"/>
  <c r="D260" i="23"/>
  <c r="G259" i="23"/>
  <c r="D259" i="23"/>
  <c r="G258" i="23"/>
  <c r="D258" i="23"/>
  <c r="G257" i="23"/>
  <c r="D257" i="23"/>
  <c r="G256" i="23"/>
  <c r="D256" i="23"/>
  <c r="G255" i="23"/>
  <c r="D255" i="23"/>
  <c r="G254" i="23"/>
  <c r="D254" i="23"/>
  <c r="G253" i="23"/>
  <c r="D253" i="23"/>
  <c r="G252" i="23"/>
  <c r="D252" i="23"/>
  <c r="G251" i="23"/>
  <c r="D251" i="23"/>
  <c r="G250" i="23"/>
  <c r="D250" i="23"/>
  <c r="G249" i="23"/>
  <c r="D249" i="23"/>
  <c r="G248" i="23"/>
  <c r="D248" i="23"/>
  <c r="G247" i="23"/>
  <c r="D247" i="23"/>
  <c r="G246" i="23"/>
  <c r="D246" i="23"/>
  <c r="G245" i="23"/>
  <c r="D245" i="23"/>
  <c r="G244" i="23"/>
  <c r="D244" i="23"/>
  <c r="G243" i="23"/>
  <c r="D243" i="23"/>
  <c r="G242" i="23"/>
  <c r="D242" i="23"/>
  <c r="G241" i="23"/>
  <c r="D241" i="23"/>
  <c r="G240" i="23"/>
  <c r="D240" i="23"/>
  <c r="G239" i="23"/>
  <c r="D239" i="23"/>
  <c r="G238" i="23"/>
  <c r="D238" i="23"/>
  <c r="G237" i="23"/>
  <c r="D237" i="23"/>
  <c r="G236" i="23"/>
  <c r="D236" i="23"/>
  <c r="G235" i="23"/>
  <c r="D235" i="23"/>
  <c r="G234" i="23"/>
  <c r="D234" i="23"/>
  <c r="G233" i="23"/>
  <c r="D233" i="23"/>
  <c r="G232" i="23"/>
  <c r="D232" i="23"/>
  <c r="G231" i="23"/>
  <c r="D231" i="23"/>
  <c r="G230" i="23"/>
  <c r="D230" i="23"/>
  <c r="G229" i="23"/>
  <c r="D229" i="23"/>
  <c r="G228" i="23"/>
  <c r="D228" i="23"/>
  <c r="G227" i="23"/>
  <c r="D227" i="23"/>
  <c r="G226" i="23"/>
  <c r="D226" i="23"/>
  <c r="G225" i="23"/>
  <c r="D225" i="23"/>
  <c r="G224" i="23"/>
  <c r="D224" i="23"/>
  <c r="G223" i="23"/>
  <c r="D223" i="23"/>
  <c r="G222" i="23"/>
  <c r="D222" i="23"/>
  <c r="G221" i="23"/>
  <c r="D221" i="23"/>
  <c r="G220" i="23"/>
  <c r="D220" i="23"/>
  <c r="G219" i="23"/>
  <c r="D219" i="23"/>
  <c r="G218" i="23"/>
  <c r="D218" i="23"/>
  <c r="G217" i="23"/>
  <c r="D217" i="23"/>
  <c r="G216" i="23"/>
  <c r="D216" i="23"/>
  <c r="G215" i="23"/>
  <c r="D215" i="23"/>
  <c r="G214" i="23"/>
  <c r="D214" i="23"/>
  <c r="G213" i="23"/>
  <c r="D213" i="23"/>
  <c r="G212" i="23"/>
  <c r="D212" i="23"/>
  <c r="G211" i="23"/>
  <c r="D211" i="23"/>
  <c r="G210" i="23"/>
  <c r="D210" i="23"/>
  <c r="G209" i="23"/>
  <c r="D209" i="23"/>
  <c r="G208" i="23"/>
  <c r="D208" i="23"/>
  <c r="G207" i="23"/>
  <c r="D207" i="23"/>
  <c r="G206" i="23"/>
  <c r="D206" i="23"/>
  <c r="G205" i="23"/>
  <c r="D205" i="23"/>
  <c r="G204" i="23"/>
  <c r="D204" i="23"/>
  <c r="G203" i="23"/>
  <c r="D203" i="23"/>
  <c r="G202" i="23"/>
  <c r="D202" i="23"/>
  <c r="G201" i="23"/>
  <c r="D201" i="23"/>
  <c r="G200" i="23"/>
  <c r="D200" i="23"/>
  <c r="G199" i="23"/>
  <c r="D199" i="23"/>
  <c r="G198" i="23"/>
  <c r="D198" i="23"/>
  <c r="G197" i="23"/>
  <c r="D197" i="23"/>
  <c r="G196" i="23"/>
  <c r="D196" i="23"/>
  <c r="G195" i="23"/>
  <c r="D195" i="23"/>
  <c r="G194" i="23"/>
  <c r="D194" i="23"/>
  <c r="G193" i="23"/>
  <c r="D193" i="23"/>
  <c r="G192" i="23"/>
  <c r="D192" i="23"/>
  <c r="G191" i="23"/>
  <c r="D191" i="23"/>
  <c r="G190" i="23"/>
  <c r="D190" i="23"/>
  <c r="G189" i="23"/>
  <c r="D189" i="23"/>
  <c r="G188" i="23"/>
  <c r="D188" i="23"/>
  <c r="G187" i="23"/>
  <c r="D187" i="23"/>
  <c r="G186" i="23"/>
  <c r="D186" i="23"/>
  <c r="G185" i="23"/>
  <c r="D185" i="23"/>
  <c r="G184" i="23"/>
  <c r="D184" i="23"/>
  <c r="G183" i="23"/>
  <c r="D183" i="23"/>
  <c r="G182" i="23"/>
  <c r="D182" i="23"/>
  <c r="G181" i="23"/>
  <c r="D181" i="23"/>
  <c r="G180" i="23"/>
  <c r="D180" i="23"/>
  <c r="G179" i="23"/>
  <c r="D179" i="23"/>
  <c r="G178" i="23"/>
  <c r="D178" i="23"/>
  <c r="G177" i="23"/>
  <c r="D177" i="23"/>
  <c r="G176" i="23"/>
  <c r="D176" i="23"/>
  <c r="G175" i="23"/>
  <c r="D175" i="23"/>
  <c r="G174" i="23"/>
  <c r="D174" i="23"/>
  <c r="G173" i="23"/>
  <c r="D173" i="23"/>
  <c r="G172" i="23"/>
  <c r="D172" i="23"/>
  <c r="G171" i="23"/>
  <c r="D171" i="23"/>
  <c r="G170" i="23"/>
  <c r="D170" i="23"/>
  <c r="G169" i="23"/>
  <c r="D169" i="23"/>
  <c r="G168" i="23"/>
  <c r="D168" i="23"/>
  <c r="G167" i="23"/>
  <c r="D167" i="23"/>
  <c r="G166" i="23"/>
  <c r="D166" i="23"/>
  <c r="G165" i="23"/>
  <c r="D165" i="23"/>
  <c r="G164" i="23"/>
  <c r="D164" i="23"/>
  <c r="G163" i="23"/>
  <c r="D163" i="23"/>
  <c r="G162" i="23"/>
  <c r="D162" i="23"/>
  <c r="G161" i="23"/>
  <c r="D161" i="23"/>
  <c r="G160" i="23"/>
  <c r="D160" i="23"/>
  <c r="G159" i="23"/>
  <c r="D159" i="23"/>
  <c r="G158" i="23"/>
  <c r="D158" i="23"/>
  <c r="G157" i="23"/>
  <c r="D157" i="23"/>
  <c r="G156" i="23"/>
  <c r="D156" i="23"/>
  <c r="G155" i="23"/>
  <c r="D155" i="23"/>
  <c r="G154" i="23"/>
  <c r="D154" i="23"/>
  <c r="G153" i="23"/>
  <c r="D153" i="23"/>
  <c r="G152" i="23"/>
  <c r="D152" i="23"/>
  <c r="G151" i="23"/>
  <c r="D151" i="23"/>
  <c r="G150" i="23"/>
  <c r="D150" i="23"/>
  <c r="G149" i="23"/>
  <c r="D149" i="23"/>
  <c r="G148" i="23"/>
  <c r="D148" i="23"/>
  <c r="G147" i="23"/>
  <c r="D147" i="23"/>
  <c r="G146" i="23"/>
  <c r="D146" i="23"/>
  <c r="G145" i="23"/>
  <c r="D145" i="23"/>
  <c r="G144" i="23"/>
  <c r="D144" i="23"/>
  <c r="G143" i="23"/>
  <c r="D143" i="23"/>
  <c r="G142" i="23"/>
  <c r="D142" i="23"/>
  <c r="G141" i="23"/>
  <c r="D141" i="23"/>
  <c r="G140" i="23"/>
  <c r="D140" i="23"/>
  <c r="G139" i="23"/>
  <c r="D139" i="23"/>
  <c r="G138" i="23"/>
  <c r="D138" i="23"/>
  <c r="G137" i="23"/>
  <c r="D137" i="23"/>
  <c r="G136" i="23"/>
  <c r="D136" i="23"/>
  <c r="G135" i="23"/>
  <c r="D135" i="23"/>
  <c r="G134" i="23"/>
  <c r="D134" i="23"/>
  <c r="G133" i="23"/>
  <c r="D133" i="23"/>
  <c r="G132" i="23"/>
  <c r="D132" i="23"/>
  <c r="G131" i="23"/>
  <c r="D131" i="23"/>
  <c r="G130" i="23"/>
  <c r="D130" i="23"/>
  <c r="G129" i="23"/>
  <c r="D129" i="23"/>
  <c r="G128" i="23"/>
  <c r="D128" i="23"/>
  <c r="G127" i="23"/>
  <c r="D127" i="23"/>
  <c r="G126" i="23"/>
  <c r="D126" i="23"/>
  <c r="G125" i="23"/>
  <c r="D125" i="23"/>
  <c r="G124" i="23"/>
  <c r="D124" i="23"/>
  <c r="G123" i="23"/>
  <c r="D123" i="23"/>
  <c r="G122" i="23"/>
  <c r="D122" i="23"/>
  <c r="G121" i="23"/>
  <c r="D121" i="23"/>
  <c r="G120" i="23"/>
  <c r="D120" i="23"/>
  <c r="G119" i="23"/>
  <c r="D119" i="23"/>
  <c r="G118" i="23"/>
  <c r="D118" i="23"/>
  <c r="G117" i="23"/>
  <c r="D117" i="23"/>
  <c r="G116" i="23"/>
  <c r="D116" i="23"/>
  <c r="G115" i="23"/>
  <c r="D115" i="23"/>
  <c r="G114" i="23"/>
  <c r="D114" i="23"/>
  <c r="G113" i="23"/>
  <c r="D113" i="23"/>
  <c r="G112" i="23"/>
  <c r="D112" i="23"/>
  <c r="G111" i="23"/>
  <c r="D111" i="23"/>
  <c r="G110" i="23"/>
  <c r="D110" i="23"/>
  <c r="G109" i="23"/>
  <c r="D109" i="23"/>
  <c r="G108" i="23"/>
  <c r="D108" i="23"/>
  <c r="G107" i="23"/>
  <c r="D107" i="23"/>
  <c r="G106" i="23"/>
  <c r="D106" i="23"/>
  <c r="G105" i="23"/>
  <c r="D105" i="23"/>
  <c r="G104" i="23"/>
  <c r="D104" i="23"/>
  <c r="G103" i="23"/>
  <c r="D103" i="23"/>
  <c r="G102" i="23"/>
  <c r="D102" i="23"/>
  <c r="G101" i="23"/>
  <c r="D101" i="23"/>
  <c r="G100" i="23"/>
  <c r="D100" i="23"/>
  <c r="G99" i="23"/>
  <c r="D99" i="23"/>
  <c r="G98" i="23"/>
  <c r="D98" i="23"/>
  <c r="G97" i="23"/>
  <c r="D97" i="23"/>
  <c r="G96" i="23"/>
  <c r="D96" i="23"/>
  <c r="G95" i="23"/>
  <c r="D95" i="23"/>
  <c r="G94" i="23"/>
  <c r="D94" i="23"/>
  <c r="G93" i="23"/>
  <c r="D93" i="23"/>
  <c r="G92" i="23"/>
  <c r="D92" i="23"/>
  <c r="G91" i="23"/>
  <c r="D91" i="23"/>
  <c r="G90" i="23"/>
  <c r="D90" i="23"/>
  <c r="G89" i="23"/>
  <c r="D89" i="23"/>
  <c r="G88" i="23"/>
  <c r="D88" i="23"/>
  <c r="G87" i="23"/>
  <c r="D87" i="23"/>
  <c r="G86" i="23"/>
  <c r="D86" i="23"/>
  <c r="G85" i="23"/>
  <c r="D85" i="23"/>
  <c r="G84" i="23"/>
  <c r="D84" i="23"/>
  <c r="G83" i="23"/>
  <c r="D83" i="23"/>
  <c r="G82" i="23"/>
  <c r="D82" i="23"/>
  <c r="G81" i="23"/>
  <c r="D81" i="23"/>
  <c r="G80" i="23"/>
  <c r="D80" i="23"/>
  <c r="G79" i="23"/>
  <c r="D79" i="23"/>
  <c r="G78" i="23"/>
  <c r="D78" i="23"/>
  <c r="G77" i="23"/>
  <c r="D77" i="23"/>
  <c r="G76" i="23"/>
  <c r="D76" i="23"/>
  <c r="G75" i="23"/>
  <c r="D75" i="23"/>
  <c r="G74" i="23"/>
  <c r="D74" i="23"/>
  <c r="G73" i="23"/>
  <c r="D73" i="23"/>
  <c r="G72" i="23"/>
  <c r="D72" i="23"/>
  <c r="G71" i="23"/>
  <c r="D71" i="23"/>
  <c r="G70" i="23"/>
  <c r="D70" i="23"/>
  <c r="G69" i="23"/>
  <c r="D69" i="23"/>
  <c r="G68" i="23"/>
  <c r="D68" i="23"/>
  <c r="G67" i="23"/>
  <c r="D67" i="23"/>
  <c r="G66" i="23"/>
  <c r="D66" i="23"/>
  <c r="G65" i="23"/>
  <c r="D65" i="23"/>
  <c r="G64" i="23"/>
  <c r="D64" i="23"/>
  <c r="G63" i="23"/>
  <c r="D63" i="23"/>
  <c r="G62" i="23"/>
  <c r="D62" i="23"/>
  <c r="G61" i="23"/>
  <c r="D61" i="23"/>
  <c r="G60" i="23"/>
  <c r="D60" i="23"/>
  <c r="G59" i="23"/>
  <c r="D59" i="23"/>
  <c r="G58" i="23"/>
  <c r="D58" i="23"/>
  <c r="G57" i="23"/>
  <c r="D57" i="23"/>
  <c r="G56" i="23"/>
  <c r="D56" i="23"/>
  <c r="G55" i="23"/>
  <c r="D55" i="23"/>
  <c r="G54" i="23"/>
  <c r="D54" i="23"/>
  <c r="G53" i="23"/>
  <c r="D53" i="23"/>
  <c r="G52" i="23"/>
  <c r="D52" i="23"/>
  <c r="G51" i="23"/>
  <c r="D51" i="23"/>
  <c r="G50" i="23"/>
  <c r="D50" i="23"/>
  <c r="G49" i="23"/>
  <c r="D49" i="23"/>
  <c r="G48" i="23"/>
  <c r="D48" i="23"/>
  <c r="G47" i="23"/>
  <c r="D47" i="23"/>
  <c r="G46" i="23"/>
  <c r="D46" i="23"/>
  <c r="G45" i="23"/>
  <c r="D45" i="23"/>
  <c r="G44" i="23"/>
  <c r="D44" i="23"/>
  <c r="G43" i="23"/>
  <c r="D43" i="23"/>
  <c r="G42" i="23"/>
  <c r="D42" i="23"/>
  <c r="G41" i="23"/>
  <c r="D41" i="23"/>
  <c r="G40" i="23"/>
  <c r="D40" i="23"/>
  <c r="G39" i="23"/>
  <c r="D39" i="23"/>
  <c r="G38" i="23"/>
  <c r="D38" i="23"/>
  <c r="G37" i="23"/>
  <c r="D37" i="23"/>
  <c r="G36" i="23"/>
  <c r="D36" i="23"/>
  <c r="G35" i="23"/>
  <c r="D35" i="23"/>
  <c r="G34" i="23"/>
  <c r="D34" i="23"/>
  <c r="G33" i="23"/>
  <c r="D33" i="23"/>
  <c r="G32" i="23"/>
  <c r="D32" i="23"/>
  <c r="G31" i="23"/>
  <c r="D31" i="23"/>
  <c r="G30" i="23"/>
  <c r="D30" i="23"/>
  <c r="G29" i="23"/>
  <c r="D29" i="23"/>
  <c r="G28" i="23"/>
  <c r="D28" i="23"/>
  <c r="G27" i="23"/>
  <c r="D27" i="23"/>
  <c r="G26" i="23"/>
  <c r="D26" i="23"/>
  <c r="G25" i="23"/>
  <c r="D25" i="23"/>
  <c r="G24" i="23"/>
  <c r="D24" i="23"/>
  <c r="G23" i="23"/>
  <c r="D23" i="23"/>
  <c r="G22" i="23"/>
  <c r="D22" i="23"/>
  <c r="G21" i="23"/>
  <c r="D21" i="23"/>
  <c r="G20" i="23"/>
  <c r="D20" i="23"/>
  <c r="G19" i="23"/>
  <c r="D19" i="23"/>
  <c r="G18" i="23"/>
  <c r="D18" i="23"/>
  <c r="J17" i="23"/>
  <c r="J9" i="23" s="1"/>
  <c r="J14" i="23" s="1"/>
  <c r="G17" i="23"/>
  <c r="D17" i="23"/>
  <c r="G16" i="23"/>
  <c r="D16" i="23"/>
  <c r="G15" i="23"/>
  <c r="D15" i="23"/>
  <c r="G14" i="23"/>
  <c r="D14" i="23"/>
  <c r="G13" i="23"/>
  <c r="D13" i="23"/>
  <c r="G12" i="23"/>
  <c r="D12" i="23"/>
  <c r="G11" i="23"/>
  <c r="D11" i="23"/>
  <c r="L14" i="10"/>
  <c r="M14" i="10" s="1"/>
  <c r="G270" i="22"/>
  <c r="D270" i="22"/>
  <c r="G269" i="22"/>
  <c r="D269" i="22"/>
  <c r="G268" i="22"/>
  <c r="D268" i="22"/>
  <c r="G267" i="22"/>
  <c r="D267" i="22"/>
  <c r="G266" i="22"/>
  <c r="D266" i="22"/>
  <c r="G265" i="22"/>
  <c r="D265" i="22"/>
  <c r="G264" i="22"/>
  <c r="D264" i="22"/>
  <c r="G263" i="22"/>
  <c r="D263" i="22"/>
  <c r="G262" i="22"/>
  <c r="D262" i="22"/>
  <c r="G261" i="22"/>
  <c r="D261" i="22"/>
  <c r="G260" i="22"/>
  <c r="D260" i="22"/>
  <c r="G259" i="22"/>
  <c r="D259" i="22"/>
  <c r="G258" i="22"/>
  <c r="D258" i="22"/>
  <c r="G257" i="22"/>
  <c r="D257" i="22"/>
  <c r="G256" i="22"/>
  <c r="D256" i="22"/>
  <c r="G255" i="22"/>
  <c r="D255" i="22"/>
  <c r="G254" i="22"/>
  <c r="D254" i="22"/>
  <c r="G253" i="22"/>
  <c r="D253" i="22"/>
  <c r="G252" i="22"/>
  <c r="D252" i="22"/>
  <c r="G251" i="22"/>
  <c r="D251" i="22"/>
  <c r="G250" i="22"/>
  <c r="D250" i="22"/>
  <c r="G249" i="22"/>
  <c r="D249" i="22"/>
  <c r="G248" i="22"/>
  <c r="D248" i="22"/>
  <c r="G247" i="22"/>
  <c r="D247" i="22"/>
  <c r="G246" i="22"/>
  <c r="D246" i="22"/>
  <c r="G245" i="22"/>
  <c r="D245" i="22"/>
  <c r="G244" i="22"/>
  <c r="D244" i="22"/>
  <c r="G243" i="22"/>
  <c r="D243" i="22"/>
  <c r="G242" i="22"/>
  <c r="D242" i="22"/>
  <c r="G241" i="22"/>
  <c r="D241" i="22"/>
  <c r="G240" i="22"/>
  <c r="D240" i="22"/>
  <c r="G239" i="22"/>
  <c r="D239" i="22"/>
  <c r="G238" i="22"/>
  <c r="D238" i="22"/>
  <c r="G237" i="22"/>
  <c r="D237" i="22"/>
  <c r="G236" i="22"/>
  <c r="D236" i="22"/>
  <c r="G235" i="22"/>
  <c r="D235" i="22"/>
  <c r="G234" i="22"/>
  <c r="D234" i="22"/>
  <c r="G233" i="22"/>
  <c r="D233" i="22"/>
  <c r="G232" i="22"/>
  <c r="D232" i="22"/>
  <c r="G231" i="22"/>
  <c r="D231" i="22"/>
  <c r="G230" i="22"/>
  <c r="D230" i="22"/>
  <c r="G229" i="22"/>
  <c r="D229" i="22"/>
  <c r="G228" i="22"/>
  <c r="D228" i="22"/>
  <c r="G227" i="22"/>
  <c r="D227" i="22"/>
  <c r="G226" i="22"/>
  <c r="D226" i="22"/>
  <c r="G225" i="22"/>
  <c r="D225" i="22"/>
  <c r="G224" i="22"/>
  <c r="D224" i="22"/>
  <c r="G223" i="22"/>
  <c r="D223" i="22"/>
  <c r="G222" i="22"/>
  <c r="D222" i="22"/>
  <c r="G221" i="22"/>
  <c r="D221" i="22"/>
  <c r="G220" i="22"/>
  <c r="D220" i="22"/>
  <c r="G219" i="22"/>
  <c r="D219" i="22"/>
  <c r="G218" i="22"/>
  <c r="D218" i="22"/>
  <c r="G217" i="22"/>
  <c r="D217" i="22"/>
  <c r="G216" i="22"/>
  <c r="D216" i="22"/>
  <c r="G215" i="22"/>
  <c r="D215" i="22"/>
  <c r="G214" i="22"/>
  <c r="D214" i="22"/>
  <c r="G213" i="22"/>
  <c r="D213" i="22"/>
  <c r="G212" i="22"/>
  <c r="D212" i="22"/>
  <c r="G211" i="22"/>
  <c r="D211" i="22"/>
  <c r="G210" i="22"/>
  <c r="D210" i="22"/>
  <c r="G209" i="22"/>
  <c r="D209" i="22"/>
  <c r="G208" i="22"/>
  <c r="D208" i="22"/>
  <c r="G207" i="22"/>
  <c r="D207" i="22"/>
  <c r="G206" i="22"/>
  <c r="D206" i="22"/>
  <c r="G205" i="22"/>
  <c r="D205" i="22"/>
  <c r="G204" i="22"/>
  <c r="D204" i="22"/>
  <c r="G203" i="22"/>
  <c r="D203" i="22"/>
  <c r="G202" i="22"/>
  <c r="D202" i="22"/>
  <c r="G201" i="22"/>
  <c r="D201" i="22"/>
  <c r="G200" i="22"/>
  <c r="D200" i="22"/>
  <c r="G199" i="22"/>
  <c r="D199" i="22"/>
  <c r="G198" i="22"/>
  <c r="D198" i="22"/>
  <c r="G197" i="22"/>
  <c r="D197" i="22"/>
  <c r="G196" i="22"/>
  <c r="D196" i="22"/>
  <c r="G195" i="22"/>
  <c r="D195" i="22"/>
  <c r="G194" i="22"/>
  <c r="D194" i="22"/>
  <c r="G193" i="22"/>
  <c r="D193" i="22"/>
  <c r="G192" i="22"/>
  <c r="D192" i="22"/>
  <c r="G191" i="22"/>
  <c r="D191" i="22"/>
  <c r="G190" i="22"/>
  <c r="D190" i="22"/>
  <c r="G189" i="22"/>
  <c r="D189" i="22"/>
  <c r="G188" i="22"/>
  <c r="D188" i="22"/>
  <c r="G187" i="22"/>
  <c r="D187" i="22"/>
  <c r="G186" i="22"/>
  <c r="D186" i="22"/>
  <c r="G185" i="22"/>
  <c r="D185" i="22"/>
  <c r="G184" i="22"/>
  <c r="D184" i="22"/>
  <c r="G183" i="22"/>
  <c r="D183" i="22"/>
  <c r="G182" i="22"/>
  <c r="D182" i="22"/>
  <c r="G181" i="22"/>
  <c r="D181" i="22"/>
  <c r="G180" i="22"/>
  <c r="D180" i="22"/>
  <c r="G179" i="22"/>
  <c r="D179" i="22"/>
  <c r="G178" i="22"/>
  <c r="D178" i="22"/>
  <c r="G177" i="22"/>
  <c r="D177" i="22"/>
  <c r="G176" i="22"/>
  <c r="D176" i="22"/>
  <c r="G175" i="22"/>
  <c r="D175" i="22"/>
  <c r="G174" i="22"/>
  <c r="D174" i="22"/>
  <c r="G173" i="22"/>
  <c r="D173" i="22"/>
  <c r="G172" i="22"/>
  <c r="D172" i="22"/>
  <c r="G171" i="22"/>
  <c r="D171" i="22"/>
  <c r="G170" i="22"/>
  <c r="D170" i="22"/>
  <c r="G169" i="22"/>
  <c r="D169" i="22"/>
  <c r="G168" i="22"/>
  <c r="D168" i="22"/>
  <c r="G167" i="22"/>
  <c r="D167" i="22"/>
  <c r="G166" i="22"/>
  <c r="D166" i="22"/>
  <c r="G165" i="22"/>
  <c r="D165" i="22"/>
  <c r="G164" i="22"/>
  <c r="D164" i="22"/>
  <c r="G163" i="22"/>
  <c r="D163" i="22"/>
  <c r="G162" i="22"/>
  <c r="D162" i="22"/>
  <c r="G161" i="22"/>
  <c r="D161" i="22"/>
  <c r="G160" i="22"/>
  <c r="D160" i="22"/>
  <c r="G159" i="22"/>
  <c r="D159" i="22"/>
  <c r="G158" i="22"/>
  <c r="D158" i="22"/>
  <c r="G157" i="22"/>
  <c r="D157" i="22"/>
  <c r="G156" i="22"/>
  <c r="D156" i="22"/>
  <c r="G155" i="22"/>
  <c r="D155" i="22"/>
  <c r="G154" i="22"/>
  <c r="D154" i="22"/>
  <c r="G153" i="22"/>
  <c r="D153" i="22"/>
  <c r="G152" i="22"/>
  <c r="D152" i="22"/>
  <c r="G151" i="22"/>
  <c r="D151" i="22"/>
  <c r="G150" i="22"/>
  <c r="D150" i="22"/>
  <c r="G149" i="22"/>
  <c r="D149" i="22"/>
  <c r="G148" i="22"/>
  <c r="D148" i="22"/>
  <c r="G147" i="22"/>
  <c r="D147" i="22"/>
  <c r="G146" i="22"/>
  <c r="D146" i="22"/>
  <c r="G145" i="22"/>
  <c r="D145" i="22"/>
  <c r="G144" i="22"/>
  <c r="D144" i="22"/>
  <c r="G143" i="22"/>
  <c r="D143" i="22"/>
  <c r="G142" i="22"/>
  <c r="D142" i="22"/>
  <c r="G141" i="22"/>
  <c r="D141" i="22"/>
  <c r="G140" i="22"/>
  <c r="D140" i="22"/>
  <c r="G139" i="22"/>
  <c r="D139" i="22"/>
  <c r="G138" i="22"/>
  <c r="D138" i="22"/>
  <c r="G137" i="22"/>
  <c r="D137" i="22"/>
  <c r="G136" i="22"/>
  <c r="D136" i="22"/>
  <c r="G135" i="22"/>
  <c r="D135" i="22"/>
  <c r="G134" i="22"/>
  <c r="D134" i="22"/>
  <c r="G133" i="22"/>
  <c r="D133" i="22"/>
  <c r="G132" i="22"/>
  <c r="D132" i="22"/>
  <c r="G131" i="22"/>
  <c r="D131" i="22"/>
  <c r="G130" i="22"/>
  <c r="D130" i="22"/>
  <c r="G129" i="22"/>
  <c r="D129" i="22"/>
  <c r="G128" i="22"/>
  <c r="D128" i="22"/>
  <c r="G127" i="22"/>
  <c r="D127" i="22"/>
  <c r="G126" i="22"/>
  <c r="D126" i="22"/>
  <c r="G125" i="22"/>
  <c r="D125" i="22"/>
  <c r="G124" i="22"/>
  <c r="D124" i="22"/>
  <c r="G123" i="22"/>
  <c r="D123" i="22"/>
  <c r="G122" i="22"/>
  <c r="D122" i="22"/>
  <c r="G121" i="22"/>
  <c r="D121" i="22"/>
  <c r="G120" i="22"/>
  <c r="D120" i="22"/>
  <c r="G119" i="22"/>
  <c r="D119" i="22"/>
  <c r="G118" i="22"/>
  <c r="D118" i="22"/>
  <c r="G117" i="22"/>
  <c r="D117" i="22"/>
  <c r="G116" i="22"/>
  <c r="D116" i="22"/>
  <c r="G115" i="22"/>
  <c r="D115" i="22"/>
  <c r="G114" i="22"/>
  <c r="D114" i="22"/>
  <c r="G113" i="22"/>
  <c r="D113" i="22"/>
  <c r="G112" i="22"/>
  <c r="D112" i="22"/>
  <c r="G111" i="22"/>
  <c r="D111" i="22"/>
  <c r="G110" i="22"/>
  <c r="D110" i="22"/>
  <c r="G109" i="22"/>
  <c r="D109" i="22"/>
  <c r="G108" i="22"/>
  <c r="D108" i="22"/>
  <c r="G107" i="22"/>
  <c r="D107" i="22"/>
  <c r="G106" i="22"/>
  <c r="D106" i="22"/>
  <c r="G105" i="22"/>
  <c r="D105" i="22"/>
  <c r="G104" i="22"/>
  <c r="D104" i="22"/>
  <c r="G103" i="22"/>
  <c r="D103" i="22"/>
  <c r="G102" i="22"/>
  <c r="D102" i="22"/>
  <c r="G101" i="22"/>
  <c r="D101" i="22"/>
  <c r="G100" i="22"/>
  <c r="D100" i="22"/>
  <c r="G99" i="22"/>
  <c r="D99" i="22"/>
  <c r="G98" i="22"/>
  <c r="D98" i="22"/>
  <c r="G97" i="22"/>
  <c r="D97" i="22"/>
  <c r="G96" i="22"/>
  <c r="D96" i="22"/>
  <c r="G95" i="22"/>
  <c r="D95" i="22"/>
  <c r="G94" i="22"/>
  <c r="D94" i="22"/>
  <c r="G93" i="22"/>
  <c r="D93" i="22"/>
  <c r="G92" i="22"/>
  <c r="D92" i="22"/>
  <c r="G91" i="22"/>
  <c r="D91" i="22"/>
  <c r="G90" i="22"/>
  <c r="D90" i="22"/>
  <c r="G89" i="22"/>
  <c r="D89" i="22"/>
  <c r="G88" i="22"/>
  <c r="D88" i="22"/>
  <c r="G87" i="22"/>
  <c r="D87" i="22"/>
  <c r="G86" i="22"/>
  <c r="D86" i="22"/>
  <c r="G85" i="22"/>
  <c r="D85" i="22"/>
  <c r="G84" i="22"/>
  <c r="D84" i="22"/>
  <c r="G83" i="22"/>
  <c r="D83" i="22"/>
  <c r="G82" i="22"/>
  <c r="D82" i="22"/>
  <c r="G81" i="22"/>
  <c r="D81" i="22"/>
  <c r="G80" i="22"/>
  <c r="D80" i="22"/>
  <c r="G79" i="22"/>
  <c r="D79" i="22"/>
  <c r="G78" i="22"/>
  <c r="D78" i="22"/>
  <c r="G77" i="22"/>
  <c r="D77" i="22"/>
  <c r="G76" i="22"/>
  <c r="D76" i="22"/>
  <c r="G75" i="22"/>
  <c r="D75" i="22"/>
  <c r="G74" i="22"/>
  <c r="D74" i="22"/>
  <c r="G73" i="22"/>
  <c r="D73" i="22"/>
  <c r="G72" i="22"/>
  <c r="D72" i="22"/>
  <c r="G71" i="22"/>
  <c r="D71" i="22"/>
  <c r="G70" i="22"/>
  <c r="D70" i="22"/>
  <c r="G69" i="22"/>
  <c r="D69" i="22"/>
  <c r="G68" i="22"/>
  <c r="D68" i="22"/>
  <c r="G67" i="22"/>
  <c r="D67" i="22"/>
  <c r="G66" i="22"/>
  <c r="D66" i="22"/>
  <c r="G65" i="22"/>
  <c r="D65" i="22"/>
  <c r="G64" i="22"/>
  <c r="D64" i="22"/>
  <c r="G63" i="22"/>
  <c r="D63" i="22"/>
  <c r="G62" i="22"/>
  <c r="D62" i="22"/>
  <c r="G61" i="22"/>
  <c r="D61" i="22"/>
  <c r="G60" i="22"/>
  <c r="D60" i="22"/>
  <c r="G59" i="22"/>
  <c r="D59" i="22"/>
  <c r="G58" i="22"/>
  <c r="D58" i="22"/>
  <c r="G57" i="22"/>
  <c r="D57" i="22"/>
  <c r="G56" i="22"/>
  <c r="D56" i="22"/>
  <c r="G55" i="22"/>
  <c r="D55" i="22"/>
  <c r="G54" i="22"/>
  <c r="D54" i="22"/>
  <c r="G53" i="22"/>
  <c r="D53" i="22"/>
  <c r="G52" i="22"/>
  <c r="D52" i="22"/>
  <c r="G51" i="22"/>
  <c r="D51" i="22"/>
  <c r="G50" i="22"/>
  <c r="D50" i="22"/>
  <c r="G49" i="22"/>
  <c r="D49" i="22"/>
  <c r="G48" i="22"/>
  <c r="D48" i="22"/>
  <c r="G47" i="22"/>
  <c r="D47" i="22"/>
  <c r="G46" i="22"/>
  <c r="D46" i="22"/>
  <c r="G45" i="22"/>
  <c r="D45" i="22"/>
  <c r="G44" i="22"/>
  <c r="D44" i="22"/>
  <c r="G43" i="22"/>
  <c r="D43" i="22"/>
  <c r="G42" i="22"/>
  <c r="D42" i="22"/>
  <c r="G41" i="22"/>
  <c r="D41" i="22"/>
  <c r="G40" i="22"/>
  <c r="D40" i="22"/>
  <c r="G39" i="22"/>
  <c r="D39" i="22"/>
  <c r="G38" i="22"/>
  <c r="D38" i="22"/>
  <c r="G37" i="22"/>
  <c r="D37" i="22"/>
  <c r="G36" i="22"/>
  <c r="D36" i="22"/>
  <c r="G35" i="22"/>
  <c r="D35" i="22"/>
  <c r="G34" i="22"/>
  <c r="D34" i="22"/>
  <c r="G33" i="22"/>
  <c r="D33" i="22"/>
  <c r="G32" i="22"/>
  <c r="D32" i="22"/>
  <c r="G31" i="22"/>
  <c r="D31" i="22"/>
  <c r="G30" i="22"/>
  <c r="D30" i="22"/>
  <c r="G29" i="22"/>
  <c r="D29" i="22"/>
  <c r="G28" i="22"/>
  <c r="D28" i="22"/>
  <c r="G27" i="22"/>
  <c r="D27" i="22"/>
  <c r="G26" i="22"/>
  <c r="D26" i="22"/>
  <c r="G25" i="22"/>
  <c r="D25" i="22"/>
  <c r="G24" i="22"/>
  <c r="D24" i="22"/>
  <c r="G23" i="22"/>
  <c r="D23" i="22"/>
  <c r="G22" i="22"/>
  <c r="D22" i="22"/>
  <c r="G21" i="22"/>
  <c r="D21" i="22"/>
  <c r="G20" i="22"/>
  <c r="D20" i="22"/>
  <c r="G19" i="22"/>
  <c r="D19" i="22"/>
  <c r="G18" i="22"/>
  <c r="D18" i="22"/>
  <c r="J17" i="22"/>
  <c r="J9" i="22" s="1"/>
  <c r="J14" i="22" s="1"/>
  <c r="G17" i="22"/>
  <c r="D17" i="22"/>
  <c r="G16" i="22"/>
  <c r="D16" i="22"/>
  <c r="G15" i="22"/>
  <c r="D15" i="22"/>
  <c r="G14" i="22"/>
  <c r="D14" i="22"/>
  <c r="G13" i="22"/>
  <c r="D13" i="22"/>
  <c r="G12" i="22"/>
  <c r="D12" i="22"/>
  <c r="G11" i="22"/>
  <c r="D11" i="22"/>
  <c r="L13" i="10"/>
  <c r="M13" i="10" s="1"/>
  <c r="G270" i="20"/>
  <c r="D270" i="20"/>
  <c r="G269" i="20"/>
  <c r="D269" i="20"/>
  <c r="G268" i="20"/>
  <c r="D268" i="20"/>
  <c r="G267" i="20"/>
  <c r="D267" i="20"/>
  <c r="G266" i="20"/>
  <c r="D266" i="20"/>
  <c r="G265" i="20"/>
  <c r="D265" i="20"/>
  <c r="G264" i="20"/>
  <c r="D264" i="20"/>
  <c r="G263" i="20"/>
  <c r="D263" i="20"/>
  <c r="G262" i="20"/>
  <c r="D262" i="20"/>
  <c r="G261" i="20"/>
  <c r="D261" i="20"/>
  <c r="G260" i="20"/>
  <c r="D260" i="20"/>
  <c r="G259" i="20"/>
  <c r="D259" i="20"/>
  <c r="G258" i="20"/>
  <c r="D258" i="20"/>
  <c r="G257" i="20"/>
  <c r="D257" i="20"/>
  <c r="G256" i="20"/>
  <c r="D256" i="20"/>
  <c r="G255" i="20"/>
  <c r="D255" i="20"/>
  <c r="G254" i="20"/>
  <c r="D254" i="20"/>
  <c r="G253" i="20"/>
  <c r="D253" i="20"/>
  <c r="G252" i="20"/>
  <c r="D252" i="20"/>
  <c r="G251" i="20"/>
  <c r="D251" i="20"/>
  <c r="G250" i="20"/>
  <c r="D250" i="20"/>
  <c r="G249" i="20"/>
  <c r="D249" i="20"/>
  <c r="G248" i="20"/>
  <c r="D248" i="20"/>
  <c r="G247" i="20"/>
  <c r="D247" i="20"/>
  <c r="G246" i="20"/>
  <c r="D246" i="20"/>
  <c r="G245" i="20"/>
  <c r="D245" i="20"/>
  <c r="G244" i="20"/>
  <c r="D244" i="20"/>
  <c r="G243" i="20"/>
  <c r="D243" i="20"/>
  <c r="G242" i="20"/>
  <c r="D242" i="20"/>
  <c r="G241" i="20"/>
  <c r="D241" i="20"/>
  <c r="G240" i="20"/>
  <c r="D240" i="20"/>
  <c r="G239" i="20"/>
  <c r="D239" i="20"/>
  <c r="G238" i="20"/>
  <c r="D238" i="20"/>
  <c r="G237" i="20"/>
  <c r="D237" i="20"/>
  <c r="G236" i="20"/>
  <c r="D236" i="20"/>
  <c r="G235" i="20"/>
  <c r="D235" i="20"/>
  <c r="G234" i="20"/>
  <c r="D234" i="20"/>
  <c r="G233" i="20"/>
  <c r="D233" i="20"/>
  <c r="G232" i="20"/>
  <c r="D232" i="20"/>
  <c r="G231" i="20"/>
  <c r="D231" i="20"/>
  <c r="G230" i="20"/>
  <c r="D230" i="20"/>
  <c r="G229" i="20"/>
  <c r="D229" i="20"/>
  <c r="G228" i="20"/>
  <c r="D228" i="20"/>
  <c r="G227" i="20"/>
  <c r="D227" i="20"/>
  <c r="G226" i="20"/>
  <c r="D226" i="20"/>
  <c r="G225" i="20"/>
  <c r="D225" i="20"/>
  <c r="G224" i="20"/>
  <c r="D224" i="20"/>
  <c r="G223" i="20"/>
  <c r="D223" i="20"/>
  <c r="G222" i="20"/>
  <c r="D222" i="20"/>
  <c r="G221" i="20"/>
  <c r="D221" i="20"/>
  <c r="G220" i="20"/>
  <c r="D220" i="20"/>
  <c r="G219" i="20"/>
  <c r="D219" i="20"/>
  <c r="G218" i="20"/>
  <c r="D218" i="20"/>
  <c r="G217" i="20"/>
  <c r="D217" i="20"/>
  <c r="G216" i="20"/>
  <c r="D216" i="20"/>
  <c r="G215" i="20"/>
  <c r="D215" i="20"/>
  <c r="G214" i="20"/>
  <c r="D214" i="20"/>
  <c r="G213" i="20"/>
  <c r="D213" i="20"/>
  <c r="G212" i="20"/>
  <c r="D212" i="20"/>
  <c r="G211" i="20"/>
  <c r="D211" i="20"/>
  <c r="G210" i="20"/>
  <c r="D210" i="20"/>
  <c r="G209" i="20"/>
  <c r="D209" i="20"/>
  <c r="G208" i="20"/>
  <c r="D208" i="20"/>
  <c r="G207" i="20"/>
  <c r="D207" i="20"/>
  <c r="G206" i="20"/>
  <c r="D206" i="20"/>
  <c r="G205" i="20"/>
  <c r="D205" i="20"/>
  <c r="G204" i="20"/>
  <c r="D204" i="20"/>
  <c r="G203" i="20"/>
  <c r="D203" i="20"/>
  <c r="G202" i="20"/>
  <c r="D202" i="20"/>
  <c r="G201" i="20"/>
  <c r="D201" i="20"/>
  <c r="G200" i="20"/>
  <c r="D200" i="20"/>
  <c r="G199" i="20"/>
  <c r="D199" i="20"/>
  <c r="G198" i="20"/>
  <c r="D198" i="20"/>
  <c r="G197" i="20"/>
  <c r="D197" i="20"/>
  <c r="G196" i="20"/>
  <c r="D196" i="20"/>
  <c r="G195" i="20"/>
  <c r="D195" i="20"/>
  <c r="G194" i="20"/>
  <c r="D194" i="20"/>
  <c r="G193" i="20"/>
  <c r="D193" i="20"/>
  <c r="G192" i="20"/>
  <c r="D192" i="20"/>
  <c r="G191" i="20"/>
  <c r="D191" i="20"/>
  <c r="G190" i="20"/>
  <c r="D190" i="20"/>
  <c r="G189" i="20"/>
  <c r="D189" i="20"/>
  <c r="G188" i="20"/>
  <c r="D188" i="20"/>
  <c r="G187" i="20"/>
  <c r="D187" i="20"/>
  <c r="G186" i="20"/>
  <c r="D186" i="20"/>
  <c r="G185" i="20"/>
  <c r="D185" i="20"/>
  <c r="G184" i="20"/>
  <c r="D184" i="20"/>
  <c r="G183" i="20"/>
  <c r="D183" i="20"/>
  <c r="G182" i="20"/>
  <c r="D182" i="20"/>
  <c r="G181" i="20"/>
  <c r="D181" i="20"/>
  <c r="G180" i="20"/>
  <c r="D180" i="20"/>
  <c r="G179" i="20"/>
  <c r="D179" i="20"/>
  <c r="G178" i="20"/>
  <c r="D178" i="20"/>
  <c r="G177" i="20"/>
  <c r="D177" i="20"/>
  <c r="G176" i="20"/>
  <c r="D176" i="20"/>
  <c r="G175" i="20"/>
  <c r="D175" i="20"/>
  <c r="G174" i="20"/>
  <c r="D174" i="20"/>
  <c r="G173" i="20"/>
  <c r="D173" i="20"/>
  <c r="G172" i="20"/>
  <c r="D172" i="20"/>
  <c r="G171" i="20"/>
  <c r="D171" i="20"/>
  <c r="G170" i="20"/>
  <c r="D170" i="20"/>
  <c r="G169" i="20"/>
  <c r="D169" i="20"/>
  <c r="G168" i="20"/>
  <c r="D168" i="20"/>
  <c r="G167" i="20"/>
  <c r="D167" i="20"/>
  <c r="G166" i="20"/>
  <c r="D166" i="20"/>
  <c r="G165" i="20"/>
  <c r="D165" i="20"/>
  <c r="G164" i="20"/>
  <c r="D164" i="20"/>
  <c r="G163" i="20"/>
  <c r="D163" i="20"/>
  <c r="G162" i="20"/>
  <c r="D162" i="20"/>
  <c r="G161" i="20"/>
  <c r="D161" i="20"/>
  <c r="G160" i="20"/>
  <c r="D160" i="20"/>
  <c r="G159" i="20"/>
  <c r="D159" i="20"/>
  <c r="G158" i="20"/>
  <c r="D158" i="20"/>
  <c r="G157" i="20"/>
  <c r="D157" i="20"/>
  <c r="G156" i="20"/>
  <c r="D156" i="20"/>
  <c r="G155" i="20"/>
  <c r="D155" i="20"/>
  <c r="G154" i="20"/>
  <c r="D154" i="20"/>
  <c r="G153" i="20"/>
  <c r="D153" i="20"/>
  <c r="G152" i="20"/>
  <c r="D152" i="20"/>
  <c r="G151" i="20"/>
  <c r="D151" i="20"/>
  <c r="G150" i="20"/>
  <c r="D150" i="20"/>
  <c r="G149" i="20"/>
  <c r="D149" i="20"/>
  <c r="G148" i="20"/>
  <c r="D148" i="20"/>
  <c r="G147" i="20"/>
  <c r="D147" i="20"/>
  <c r="G146" i="20"/>
  <c r="D146" i="20"/>
  <c r="G145" i="20"/>
  <c r="D145" i="20"/>
  <c r="G144" i="20"/>
  <c r="D144" i="20"/>
  <c r="G143" i="20"/>
  <c r="D143" i="20"/>
  <c r="G142" i="20"/>
  <c r="D142" i="20"/>
  <c r="G141" i="20"/>
  <c r="D141" i="20"/>
  <c r="G140" i="20"/>
  <c r="D140" i="20"/>
  <c r="G139" i="20"/>
  <c r="D139" i="20"/>
  <c r="G138" i="20"/>
  <c r="D138" i="20"/>
  <c r="G137" i="20"/>
  <c r="D137" i="20"/>
  <c r="G136" i="20"/>
  <c r="D136" i="20"/>
  <c r="G135" i="20"/>
  <c r="D135" i="20"/>
  <c r="G134" i="20"/>
  <c r="D134" i="20"/>
  <c r="G133" i="20"/>
  <c r="D133" i="20"/>
  <c r="G132" i="20"/>
  <c r="D132" i="20"/>
  <c r="G131" i="20"/>
  <c r="D131" i="20"/>
  <c r="G130" i="20"/>
  <c r="D130" i="20"/>
  <c r="G129" i="20"/>
  <c r="D129" i="20"/>
  <c r="G128" i="20"/>
  <c r="D128" i="20"/>
  <c r="G127" i="20"/>
  <c r="D127" i="20"/>
  <c r="G126" i="20"/>
  <c r="D126" i="20"/>
  <c r="G125" i="20"/>
  <c r="D125" i="20"/>
  <c r="G124" i="20"/>
  <c r="D124" i="20"/>
  <c r="G123" i="20"/>
  <c r="D123" i="20"/>
  <c r="G122" i="20"/>
  <c r="D122" i="20"/>
  <c r="G121" i="20"/>
  <c r="D121" i="20"/>
  <c r="G120" i="20"/>
  <c r="D120" i="20"/>
  <c r="G119" i="20"/>
  <c r="D119" i="20"/>
  <c r="G118" i="20"/>
  <c r="D118" i="20"/>
  <c r="G117" i="20"/>
  <c r="D117" i="20"/>
  <c r="G116" i="20"/>
  <c r="D116" i="20"/>
  <c r="G115" i="20"/>
  <c r="D115" i="20"/>
  <c r="G114" i="20"/>
  <c r="D114" i="20"/>
  <c r="G113" i="20"/>
  <c r="D113" i="20"/>
  <c r="G112" i="20"/>
  <c r="D112" i="20"/>
  <c r="G111" i="20"/>
  <c r="D111" i="20"/>
  <c r="G110" i="20"/>
  <c r="D110" i="20"/>
  <c r="G109" i="20"/>
  <c r="D109" i="20"/>
  <c r="G108" i="20"/>
  <c r="D108" i="20"/>
  <c r="G107" i="20"/>
  <c r="D107" i="20"/>
  <c r="G106" i="20"/>
  <c r="D106" i="20"/>
  <c r="G105" i="20"/>
  <c r="D105" i="20"/>
  <c r="G104" i="20"/>
  <c r="D104" i="20"/>
  <c r="G103" i="20"/>
  <c r="D103" i="20"/>
  <c r="G102" i="20"/>
  <c r="D102" i="20"/>
  <c r="G101" i="20"/>
  <c r="D101" i="20"/>
  <c r="G100" i="20"/>
  <c r="D100" i="20"/>
  <c r="G99" i="20"/>
  <c r="D99" i="20"/>
  <c r="G98" i="20"/>
  <c r="D98" i="20"/>
  <c r="G97" i="20"/>
  <c r="D97" i="20"/>
  <c r="G96" i="20"/>
  <c r="D96" i="20"/>
  <c r="G95" i="20"/>
  <c r="D95" i="20"/>
  <c r="G94" i="20"/>
  <c r="D94" i="20"/>
  <c r="G93" i="20"/>
  <c r="D93" i="20"/>
  <c r="G92" i="20"/>
  <c r="D92" i="20"/>
  <c r="G91" i="20"/>
  <c r="D91" i="20"/>
  <c r="G90" i="20"/>
  <c r="D90" i="20"/>
  <c r="G89" i="20"/>
  <c r="D89" i="20"/>
  <c r="G88" i="20"/>
  <c r="D88" i="20"/>
  <c r="G87" i="20"/>
  <c r="D87" i="20"/>
  <c r="G86" i="20"/>
  <c r="D86" i="20"/>
  <c r="G85" i="20"/>
  <c r="D85" i="20"/>
  <c r="G84" i="20"/>
  <c r="D84" i="20"/>
  <c r="G83" i="20"/>
  <c r="D83" i="20"/>
  <c r="G82" i="20"/>
  <c r="D82" i="20"/>
  <c r="G81" i="20"/>
  <c r="D81" i="20"/>
  <c r="G80" i="20"/>
  <c r="D80" i="20"/>
  <c r="G79" i="20"/>
  <c r="D79" i="20"/>
  <c r="G78" i="20"/>
  <c r="D78" i="20"/>
  <c r="G77" i="20"/>
  <c r="D77" i="20"/>
  <c r="G76" i="20"/>
  <c r="D76" i="20"/>
  <c r="G75" i="20"/>
  <c r="D75" i="20"/>
  <c r="G74" i="20"/>
  <c r="D74" i="20"/>
  <c r="G73" i="20"/>
  <c r="D73" i="20"/>
  <c r="G72" i="20"/>
  <c r="D72" i="20"/>
  <c r="G71" i="20"/>
  <c r="D71" i="20"/>
  <c r="G70" i="20"/>
  <c r="D70" i="20"/>
  <c r="G69" i="20"/>
  <c r="D69" i="20"/>
  <c r="G68" i="20"/>
  <c r="D68" i="20"/>
  <c r="G67" i="20"/>
  <c r="D67" i="20"/>
  <c r="G66" i="20"/>
  <c r="D66" i="20"/>
  <c r="G65" i="20"/>
  <c r="D65" i="20"/>
  <c r="G64" i="20"/>
  <c r="D64" i="20"/>
  <c r="G63" i="20"/>
  <c r="D63" i="20"/>
  <c r="G62" i="20"/>
  <c r="D62" i="20"/>
  <c r="G61" i="20"/>
  <c r="D61" i="20"/>
  <c r="G60" i="20"/>
  <c r="D60" i="20"/>
  <c r="G59" i="20"/>
  <c r="D59" i="20"/>
  <c r="G58" i="20"/>
  <c r="D58" i="20"/>
  <c r="G57" i="20"/>
  <c r="D57" i="20"/>
  <c r="G56" i="20"/>
  <c r="D56" i="20"/>
  <c r="G55" i="20"/>
  <c r="D55" i="20"/>
  <c r="G54" i="20"/>
  <c r="D54" i="20"/>
  <c r="G53" i="20"/>
  <c r="D53" i="20"/>
  <c r="G52" i="20"/>
  <c r="D52" i="20"/>
  <c r="G51" i="20"/>
  <c r="D51" i="20"/>
  <c r="G50" i="20"/>
  <c r="D50" i="20"/>
  <c r="G49" i="20"/>
  <c r="D49" i="20"/>
  <c r="G48" i="20"/>
  <c r="D48" i="20"/>
  <c r="G47" i="20"/>
  <c r="D47" i="20"/>
  <c r="G46" i="20"/>
  <c r="D46" i="20"/>
  <c r="G45" i="20"/>
  <c r="D45" i="20"/>
  <c r="G44" i="20"/>
  <c r="D44" i="20"/>
  <c r="G43" i="20"/>
  <c r="D43" i="20"/>
  <c r="G42" i="20"/>
  <c r="D42" i="20"/>
  <c r="G41" i="20"/>
  <c r="D41" i="20"/>
  <c r="G40" i="20"/>
  <c r="D40" i="20"/>
  <c r="G39" i="20"/>
  <c r="D39" i="20"/>
  <c r="G38" i="20"/>
  <c r="D38" i="20"/>
  <c r="G37" i="20"/>
  <c r="D37" i="20"/>
  <c r="G36" i="20"/>
  <c r="D36" i="20"/>
  <c r="G35" i="20"/>
  <c r="D35" i="20"/>
  <c r="G34" i="20"/>
  <c r="D34" i="20"/>
  <c r="G33" i="20"/>
  <c r="D33" i="20"/>
  <c r="G32" i="20"/>
  <c r="D32" i="20"/>
  <c r="G31" i="20"/>
  <c r="D31" i="20"/>
  <c r="G30" i="20"/>
  <c r="D30" i="20"/>
  <c r="G29" i="20"/>
  <c r="D29" i="20"/>
  <c r="G28" i="20"/>
  <c r="D28" i="20"/>
  <c r="G27" i="20"/>
  <c r="D27" i="20"/>
  <c r="G26" i="20"/>
  <c r="D26" i="20"/>
  <c r="G25" i="20"/>
  <c r="D25" i="20"/>
  <c r="G24" i="20"/>
  <c r="D24" i="20"/>
  <c r="G23" i="20"/>
  <c r="D23" i="20"/>
  <c r="G22" i="20"/>
  <c r="D22" i="20"/>
  <c r="G21" i="20"/>
  <c r="D21" i="20"/>
  <c r="G20" i="20"/>
  <c r="D20" i="20"/>
  <c r="G19" i="20"/>
  <c r="D19" i="20"/>
  <c r="G18" i="20"/>
  <c r="D18" i="20"/>
  <c r="J17" i="20"/>
  <c r="J9" i="20" s="1"/>
  <c r="J14" i="20" s="1"/>
  <c r="G17" i="20"/>
  <c r="D17" i="20"/>
  <c r="G16" i="20"/>
  <c r="D16" i="20"/>
  <c r="G15" i="20"/>
  <c r="D15" i="20"/>
  <c r="G14" i="20"/>
  <c r="D14" i="20"/>
  <c r="G13" i="20"/>
  <c r="D13" i="20"/>
  <c r="G12" i="20"/>
  <c r="D12" i="20"/>
  <c r="G11" i="20"/>
  <c r="D11" i="20"/>
  <c r="L12" i="10"/>
  <c r="M12" i="10" s="1"/>
  <c r="L11" i="10"/>
  <c r="M11" i="10" s="1"/>
  <c r="G270" i="17"/>
  <c r="D270" i="17"/>
  <c r="G269" i="17"/>
  <c r="D269" i="17"/>
  <c r="G268" i="17"/>
  <c r="D268" i="17"/>
  <c r="G267" i="17"/>
  <c r="D267" i="17"/>
  <c r="G266" i="17"/>
  <c r="D266" i="17"/>
  <c r="G265" i="17"/>
  <c r="D265" i="17"/>
  <c r="G264" i="17"/>
  <c r="D264" i="17"/>
  <c r="G263" i="17"/>
  <c r="D263" i="17"/>
  <c r="G262" i="17"/>
  <c r="D262" i="17"/>
  <c r="G261" i="17"/>
  <c r="D261" i="17"/>
  <c r="G260" i="17"/>
  <c r="D260" i="17"/>
  <c r="G259" i="17"/>
  <c r="D259" i="17"/>
  <c r="G258" i="17"/>
  <c r="D258" i="17"/>
  <c r="G257" i="17"/>
  <c r="D257" i="17"/>
  <c r="G256" i="17"/>
  <c r="D256" i="17"/>
  <c r="G255" i="17"/>
  <c r="D255" i="17"/>
  <c r="G254" i="17"/>
  <c r="D254" i="17"/>
  <c r="G253" i="17"/>
  <c r="D253" i="17"/>
  <c r="G252" i="17"/>
  <c r="D252" i="17"/>
  <c r="G251" i="17"/>
  <c r="D251" i="17"/>
  <c r="G250" i="17"/>
  <c r="D250" i="17"/>
  <c r="G249" i="17"/>
  <c r="D249" i="17"/>
  <c r="G248" i="17"/>
  <c r="D248" i="17"/>
  <c r="G247" i="17"/>
  <c r="D247" i="17"/>
  <c r="G246" i="17"/>
  <c r="D246" i="17"/>
  <c r="G245" i="17"/>
  <c r="D245" i="17"/>
  <c r="G244" i="17"/>
  <c r="D244" i="17"/>
  <c r="G243" i="17"/>
  <c r="D243" i="17"/>
  <c r="G242" i="17"/>
  <c r="D242" i="17"/>
  <c r="G241" i="17"/>
  <c r="D241" i="17"/>
  <c r="G240" i="17"/>
  <c r="D240" i="17"/>
  <c r="G239" i="17"/>
  <c r="D239" i="17"/>
  <c r="G238" i="17"/>
  <c r="D238" i="17"/>
  <c r="G237" i="17"/>
  <c r="D237" i="17"/>
  <c r="G236" i="17"/>
  <c r="D236" i="17"/>
  <c r="G235" i="17"/>
  <c r="D235" i="17"/>
  <c r="G234" i="17"/>
  <c r="D234" i="17"/>
  <c r="G233" i="17"/>
  <c r="D233" i="17"/>
  <c r="G232" i="17"/>
  <c r="D232" i="17"/>
  <c r="G231" i="17"/>
  <c r="D231" i="17"/>
  <c r="G230" i="17"/>
  <c r="D230" i="17"/>
  <c r="G229" i="17"/>
  <c r="D229" i="17"/>
  <c r="G228" i="17"/>
  <c r="D228" i="17"/>
  <c r="G227" i="17"/>
  <c r="D227" i="17"/>
  <c r="G226" i="17"/>
  <c r="D226" i="17"/>
  <c r="G225" i="17"/>
  <c r="D225" i="17"/>
  <c r="G224" i="17"/>
  <c r="D224" i="17"/>
  <c r="G223" i="17"/>
  <c r="D223" i="17"/>
  <c r="G222" i="17"/>
  <c r="D222" i="17"/>
  <c r="G221" i="17"/>
  <c r="D221" i="17"/>
  <c r="G220" i="17"/>
  <c r="D220" i="17"/>
  <c r="G219" i="17"/>
  <c r="D219" i="17"/>
  <c r="G218" i="17"/>
  <c r="D218" i="17"/>
  <c r="G217" i="17"/>
  <c r="D217" i="17"/>
  <c r="G216" i="17"/>
  <c r="D216" i="17"/>
  <c r="G215" i="17"/>
  <c r="D215" i="17"/>
  <c r="G214" i="17"/>
  <c r="D214" i="17"/>
  <c r="G213" i="17"/>
  <c r="D213" i="17"/>
  <c r="G212" i="17"/>
  <c r="D212" i="17"/>
  <c r="G211" i="17"/>
  <c r="D211" i="17"/>
  <c r="G210" i="17"/>
  <c r="D210" i="17"/>
  <c r="G209" i="17"/>
  <c r="D209" i="17"/>
  <c r="G208" i="17"/>
  <c r="D208" i="17"/>
  <c r="G207" i="17"/>
  <c r="D207" i="17"/>
  <c r="G206" i="17"/>
  <c r="D206" i="17"/>
  <c r="G205" i="17"/>
  <c r="D205" i="17"/>
  <c r="G204" i="17"/>
  <c r="D204" i="17"/>
  <c r="G203" i="17"/>
  <c r="D203" i="17"/>
  <c r="G202" i="17"/>
  <c r="D202" i="17"/>
  <c r="G201" i="17"/>
  <c r="D201" i="17"/>
  <c r="G200" i="17"/>
  <c r="D200" i="17"/>
  <c r="G199" i="17"/>
  <c r="D199" i="17"/>
  <c r="G198" i="17"/>
  <c r="D198" i="17"/>
  <c r="G197" i="17"/>
  <c r="D197" i="17"/>
  <c r="G196" i="17"/>
  <c r="D196" i="17"/>
  <c r="G195" i="17"/>
  <c r="D195" i="17"/>
  <c r="G194" i="17"/>
  <c r="D194" i="17"/>
  <c r="G193" i="17"/>
  <c r="D193" i="17"/>
  <c r="G192" i="17"/>
  <c r="D192" i="17"/>
  <c r="G191" i="17"/>
  <c r="D191" i="17"/>
  <c r="G190" i="17"/>
  <c r="D190" i="17"/>
  <c r="G189" i="17"/>
  <c r="D189" i="17"/>
  <c r="G188" i="17"/>
  <c r="D188" i="17"/>
  <c r="G187" i="17"/>
  <c r="D187" i="17"/>
  <c r="G186" i="17"/>
  <c r="D186" i="17"/>
  <c r="G185" i="17"/>
  <c r="D185" i="17"/>
  <c r="G184" i="17"/>
  <c r="D184" i="17"/>
  <c r="G183" i="17"/>
  <c r="D183" i="17"/>
  <c r="G182" i="17"/>
  <c r="D182" i="17"/>
  <c r="G181" i="17"/>
  <c r="D181" i="17"/>
  <c r="G180" i="17"/>
  <c r="D180" i="17"/>
  <c r="G179" i="17"/>
  <c r="D179" i="17"/>
  <c r="G178" i="17"/>
  <c r="D178" i="17"/>
  <c r="G177" i="17"/>
  <c r="D177" i="17"/>
  <c r="G176" i="17"/>
  <c r="D176" i="17"/>
  <c r="G175" i="17"/>
  <c r="D175" i="17"/>
  <c r="G174" i="17"/>
  <c r="D174" i="17"/>
  <c r="G173" i="17"/>
  <c r="D173" i="17"/>
  <c r="G172" i="17"/>
  <c r="D172" i="17"/>
  <c r="G171" i="17"/>
  <c r="D171" i="17"/>
  <c r="G170" i="17"/>
  <c r="D170" i="17"/>
  <c r="G169" i="17"/>
  <c r="D169" i="17"/>
  <c r="G168" i="17"/>
  <c r="D168" i="17"/>
  <c r="G167" i="17"/>
  <c r="D167" i="17"/>
  <c r="G166" i="17"/>
  <c r="D166" i="17"/>
  <c r="G165" i="17"/>
  <c r="D165" i="17"/>
  <c r="G164" i="17"/>
  <c r="D164" i="17"/>
  <c r="G163" i="17"/>
  <c r="D163" i="17"/>
  <c r="G162" i="17"/>
  <c r="D162" i="17"/>
  <c r="G161" i="17"/>
  <c r="D161" i="17"/>
  <c r="G160" i="17"/>
  <c r="D160" i="17"/>
  <c r="G159" i="17"/>
  <c r="D159" i="17"/>
  <c r="G158" i="17"/>
  <c r="D158" i="17"/>
  <c r="G157" i="17"/>
  <c r="D157" i="17"/>
  <c r="G156" i="17"/>
  <c r="D156" i="17"/>
  <c r="G155" i="17"/>
  <c r="D155" i="17"/>
  <c r="G154" i="17"/>
  <c r="D154" i="17"/>
  <c r="G153" i="17"/>
  <c r="D153" i="17"/>
  <c r="G152" i="17"/>
  <c r="D152" i="17"/>
  <c r="G151" i="17"/>
  <c r="D151" i="17"/>
  <c r="G150" i="17"/>
  <c r="D150" i="17"/>
  <c r="G149" i="17"/>
  <c r="D149" i="17"/>
  <c r="G148" i="17"/>
  <c r="D148" i="17"/>
  <c r="G147" i="17"/>
  <c r="D147" i="17"/>
  <c r="G146" i="17"/>
  <c r="D146" i="17"/>
  <c r="G145" i="17"/>
  <c r="D145" i="17"/>
  <c r="G144" i="17"/>
  <c r="D144" i="17"/>
  <c r="G143" i="17"/>
  <c r="D143" i="17"/>
  <c r="G142" i="17"/>
  <c r="D142" i="17"/>
  <c r="G141" i="17"/>
  <c r="D141" i="17"/>
  <c r="G140" i="17"/>
  <c r="D140" i="17"/>
  <c r="G139" i="17"/>
  <c r="D139" i="17"/>
  <c r="G138" i="17"/>
  <c r="D138" i="17"/>
  <c r="G137" i="17"/>
  <c r="D137" i="17"/>
  <c r="G136" i="17"/>
  <c r="D136" i="17"/>
  <c r="G135" i="17"/>
  <c r="D135" i="17"/>
  <c r="G134" i="17"/>
  <c r="D134" i="17"/>
  <c r="G133" i="17"/>
  <c r="D133" i="17"/>
  <c r="G132" i="17"/>
  <c r="D132" i="17"/>
  <c r="G131" i="17"/>
  <c r="D131" i="17"/>
  <c r="G130" i="17"/>
  <c r="D130" i="17"/>
  <c r="G129" i="17"/>
  <c r="D129" i="17"/>
  <c r="G128" i="17"/>
  <c r="D128" i="17"/>
  <c r="G127" i="17"/>
  <c r="D127" i="17"/>
  <c r="G126" i="17"/>
  <c r="D126" i="17"/>
  <c r="G125" i="17"/>
  <c r="D125" i="17"/>
  <c r="G124" i="17"/>
  <c r="D124" i="17"/>
  <c r="G123" i="17"/>
  <c r="D123" i="17"/>
  <c r="G122" i="17"/>
  <c r="D122" i="17"/>
  <c r="G121" i="17"/>
  <c r="D121" i="17"/>
  <c r="G120" i="17"/>
  <c r="D120" i="17"/>
  <c r="G119" i="17"/>
  <c r="D119" i="17"/>
  <c r="G118" i="17"/>
  <c r="D118" i="17"/>
  <c r="G117" i="17"/>
  <c r="D117" i="17"/>
  <c r="G116" i="17"/>
  <c r="D116" i="17"/>
  <c r="G115" i="17"/>
  <c r="D115" i="17"/>
  <c r="G114" i="17"/>
  <c r="D114" i="17"/>
  <c r="G113" i="17"/>
  <c r="D113" i="17"/>
  <c r="G112" i="17"/>
  <c r="D112" i="17"/>
  <c r="G111" i="17"/>
  <c r="D111" i="17"/>
  <c r="G110" i="17"/>
  <c r="D110" i="17"/>
  <c r="G109" i="17"/>
  <c r="D109" i="17"/>
  <c r="G108" i="17"/>
  <c r="D108" i="17"/>
  <c r="G107" i="17"/>
  <c r="D107" i="17"/>
  <c r="G106" i="17"/>
  <c r="D106" i="17"/>
  <c r="G105" i="17"/>
  <c r="D105" i="17"/>
  <c r="G104" i="17"/>
  <c r="D104" i="17"/>
  <c r="G103" i="17"/>
  <c r="D103" i="17"/>
  <c r="G102" i="17"/>
  <c r="D102" i="17"/>
  <c r="G101" i="17"/>
  <c r="D101" i="17"/>
  <c r="G100" i="17"/>
  <c r="D100" i="17"/>
  <c r="G99" i="17"/>
  <c r="D99" i="17"/>
  <c r="G98" i="17"/>
  <c r="D98" i="17"/>
  <c r="G97" i="17"/>
  <c r="D97" i="17"/>
  <c r="G96" i="17"/>
  <c r="D96" i="17"/>
  <c r="G95" i="17"/>
  <c r="D95" i="17"/>
  <c r="G94" i="17"/>
  <c r="D94" i="17"/>
  <c r="G93" i="17"/>
  <c r="D93" i="17"/>
  <c r="G92" i="17"/>
  <c r="D92" i="17"/>
  <c r="G91" i="17"/>
  <c r="D91" i="17"/>
  <c r="G90" i="17"/>
  <c r="D90" i="17"/>
  <c r="G89" i="17"/>
  <c r="D89" i="17"/>
  <c r="G88" i="17"/>
  <c r="D88" i="17"/>
  <c r="G87" i="17"/>
  <c r="D87" i="17"/>
  <c r="G86" i="17"/>
  <c r="D86" i="17"/>
  <c r="G85" i="17"/>
  <c r="D85" i="17"/>
  <c r="G84" i="17"/>
  <c r="D84" i="17"/>
  <c r="G83" i="17"/>
  <c r="D83" i="17"/>
  <c r="G82" i="17"/>
  <c r="D82" i="17"/>
  <c r="G81" i="17"/>
  <c r="D81" i="17"/>
  <c r="G80" i="17"/>
  <c r="D80" i="17"/>
  <c r="G79" i="17"/>
  <c r="D79" i="17"/>
  <c r="G78" i="17"/>
  <c r="D78" i="17"/>
  <c r="G77" i="17"/>
  <c r="D77" i="17"/>
  <c r="G76" i="17"/>
  <c r="D76" i="17"/>
  <c r="G75" i="17"/>
  <c r="D75" i="17"/>
  <c r="G74" i="17"/>
  <c r="D74" i="17"/>
  <c r="G73" i="17"/>
  <c r="D73" i="17"/>
  <c r="G72" i="17"/>
  <c r="D72" i="17"/>
  <c r="G71" i="17"/>
  <c r="D71" i="17"/>
  <c r="G70" i="17"/>
  <c r="D70" i="17"/>
  <c r="G69" i="17"/>
  <c r="D69" i="17"/>
  <c r="G68" i="17"/>
  <c r="D68" i="17"/>
  <c r="G67" i="17"/>
  <c r="D67" i="17"/>
  <c r="G66" i="17"/>
  <c r="D66" i="17"/>
  <c r="G65" i="17"/>
  <c r="D65" i="17"/>
  <c r="G64" i="17"/>
  <c r="D64" i="17"/>
  <c r="G63" i="17"/>
  <c r="D63" i="17"/>
  <c r="G62" i="17"/>
  <c r="D62" i="17"/>
  <c r="G61" i="17"/>
  <c r="D61" i="17"/>
  <c r="G60" i="17"/>
  <c r="D60" i="17"/>
  <c r="G59" i="17"/>
  <c r="D59" i="17"/>
  <c r="G58" i="17"/>
  <c r="D58" i="17"/>
  <c r="G57" i="17"/>
  <c r="D57" i="17"/>
  <c r="G56" i="17"/>
  <c r="D56" i="17"/>
  <c r="G55" i="17"/>
  <c r="D55" i="17"/>
  <c r="G54" i="17"/>
  <c r="D54" i="17"/>
  <c r="G53" i="17"/>
  <c r="D53" i="17"/>
  <c r="G52" i="17"/>
  <c r="D52" i="17"/>
  <c r="G51" i="17"/>
  <c r="D51" i="17"/>
  <c r="G50" i="17"/>
  <c r="D50" i="17"/>
  <c r="G49" i="17"/>
  <c r="D49" i="17"/>
  <c r="G48" i="17"/>
  <c r="D48" i="17"/>
  <c r="G47" i="17"/>
  <c r="D47" i="17"/>
  <c r="G46" i="17"/>
  <c r="D46" i="17"/>
  <c r="G45" i="17"/>
  <c r="D45" i="17"/>
  <c r="G44" i="17"/>
  <c r="D44" i="17"/>
  <c r="G43" i="17"/>
  <c r="D43" i="17"/>
  <c r="G42" i="17"/>
  <c r="D42" i="17"/>
  <c r="G41" i="17"/>
  <c r="D41" i="17"/>
  <c r="G40" i="17"/>
  <c r="D40" i="17"/>
  <c r="G39" i="17"/>
  <c r="D39" i="17"/>
  <c r="G38" i="17"/>
  <c r="D38" i="17"/>
  <c r="G37" i="17"/>
  <c r="D37" i="17"/>
  <c r="G36" i="17"/>
  <c r="D36" i="17"/>
  <c r="G35" i="17"/>
  <c r="D35" i="17"/>
  <c r="G34" i="17"/>
  <c r="D34" i="17"/>
  <c r="G33" i="17"/>
  <c r="D33" i="17"/>
  <c r="G32" i="17"/>
  <c r="D32" i="17"/>
  <c r="G31" i="17"/>
  <c r="D31" i="17"/>
  <c r="G30" i="17"/>
  <c r="D30" i="17"/>
  <c r="G29" i="17"/>
  <c r="D29" i="17"/>
  <c r="G28" i="17"/>
  <c r="D28" i="17"/>
  <c r="G27" i="17"/>
  <c r="D27" i="17"/>
  <c r="G26" i="17"/>
  <c r="D26" i="17"/>
  <c r="G25" i="17"/>
  <c r="D25" i="17"/>
  <c r="G24" i="17"/>
  <c r="D24" i="17"/>
  <c r="G23" i="17"/>
  <c r="D23" i="17"/>
  <c r="G22" i="17"/>
  <c r="D22" i="17"/>
  <c r="G21" i="17"/>
  <c r="D21" i="17"/>
  <c r="G20" i="17"/>
  <c r="D20" i="17"/>
  <c r="G19" i="17"/>
  <c r="D19" i="17"/>
  <c r="G18" i="17"/>
  <c r="D18" i="17"/>
  <c r="J17" i="17"/>
  <c r="J9" i="17" s="1"/>
  <c r="J14" i="17" s="1"/>
  <c r="G17" i="17"/>
  <c r="D17" i="17"/>
  <c r="G16" i="17"/>
  <c r="D16" i="17"/>
  <c r="G15" i="17"/>
  <c r="D15" i="17"/>
  <c r="G14" i="17"/>
  <c r="D14" i="17"/>
  <c r="G13" i="17"/>
  <c r="D13" i="17"/>
  <c r="G12" i="17"/>
  <c r="D12" i="17"/>
  <c r="G11" i="17"/>
  <c r="D11" i="17"/>
  <c r="D11" i="14"/>
  <c r="G270" i="14"/>
  <c r="D270" i="14"/>
  <c r="G269" i="14"/>
  <c r="D269" i="14"/>
  <c r="G268" i="14"/>
  <c r="D268" i="14"/>
  <c r="G267" i="14"/>
  <c r="D267" i="14"/>
  <c r="G266" i="14"/>
  <c r="D266" i="14"/>
  <c r="G265" i="14"/>
  <c r="D265" i="14"/>
  <c r="G264" i="14"/>
  <c r="D264" i="14"/>
  <c r="G263" i="14"/>
  <c r="D263" i="14"/>
  <c r="G262" i="14"/>
  <c r="D262" i="14"/>
  <c r="G261" i="14"/>
  <c r="D261" i="14"/>
  <c r="G260" i="14"/>
  <c r="D260" i="14"/>
  <c r="G259" i="14"/>
  <c r="D259" i="14"/>
  <c r="G258" i="14"/>
  <c r="D258" i="14"/>
  <c r="G257" i="14"/>
  <c r="D257" i="14"/>
  <c r="G256" i="14"/>
  <c r="D256" i="14"/>
  <c r="G255" i="14"/>
  <c r="D255" i="14"/>
  <c r="G254" i="14"/>
  <c r="D254" i="14"/>
  <c r="G253" i="14"/>
  <c r="D253" i="14"/>
  <c r="G252" i="14"/>
  <c r="D252" i="14"/>
  <c r="G251" i="14"/>
  <c r="D251" i="14"/>
  <c r="G250" i="14"/>
  <c r="D250" i="14"/>
  <c r="G249" i="14"/>
  <c r="D249" i="14"/>
  <c r="G248" i="14"/>
  <c r="D248" i="14"/>
  <c r="G247" i="14"/>
  <c r="D247" i="14"/>
  <c r="G246" i="14"/>
  <c r="D246" i="14"/>
  <c r="G245" i="14"/>
  <c r="D245" i="14"/>
  <c r="G244" i="14"/>
  <c r="D244" i="14"/>
  <c r="G243" i="14"/>
  <c r="D243" i="14"/>
  <c r="G242" i="14"/>
  <c r="D242" i="14"/>
  <c r="G241" i="14"/>
  <c r="D241" i="14"/>
  <c r="G240" i="14"/>
  <c r="D240" i="14"/>
  <c r="G239" i="14"/>
  <c r="D239" i="14"/>
  <c r="G238" i="14"/>
  <c r="D238" i="14"/>
  <c r="G237" i="14"/>
  <c r="D237" i="14"/>
  <c r="G236" i="14"/>
  <c r="D236" i="14"/>
  <c r="G235" i="14"/>
  <c r="D235" i="14"/>
  <c r="G234" i="14"/>
  <c r="D234" i="14"/>
  <c r="G233" i="14"/>
  <c r="D233" i="14"/>
  <c r="G232" i="14"/>
  <c r="D232" i="14"/>
  <c r="G231" i="14"/>
  <c r="D231" i="14"/>
  <c r="G230" i="14"/>
  <c r="D230" i="14"/>
  <c r="G229" i="14"/>
  <c r="D229" i="14"/>
  <c r="G228" i="14"/>
  <c r="D228" i="14"/>
  <c r="G227" i="14"/>
  <c r="D227" i="14"/>
  <c r="G226" i="14"/>
  <c r="D226" i="14"/>
  <c r="G225" i="14"/>
  <c r="D225" i="14"/>
  <c r="G224" i="14"/>
  <c r="D224" i="14"/>
  <c r="G223" i="14"/>
  <c r="D223" i="14"/>
  <c r="G222" i="14"/>
  <c r="D222" i="14"/>
  <c r="G221" i="14"/>
  <c r="D221" i="14"/>
  <c r="G220" i="14"/>
  <c r="D220" i="14"/>
  <c r="G219" i="14"/>
  <c r="D219" i="14"/>
  <c r="G218" i="14"/>
  <c r="D218" i="14"/>
  <c r="G217" i="14"/>
  <c r="D217" i="14"/>
  <c r="G216" i="14"/>
  <c r="D216" i="14"/>
  <c r="G215" i="14"/>
  <c r="D215" i="14"/>
  <c r="G214" i="14"/>
  <c r="D214" i="14"/>
  <c r="G213" i="14"/>
  <c r="D213" i="14"/>
  <c r="G212" i="14"/>
  <c r="D212" i="14"/>
  <c r="G211" i="14"/>
  <c r="D211" i="14"/>
  <c r="G210" i="14"/>
  <c r="D210" i="14"/>
  <c r="G209" i="14"/>
  <c r="D209" i="14"/>
  <c r="G208" i="14"/>
  <c r="D208" i="14"/>
  <c r="G207" i="14"/>
  <c r="D207" i="14"/>
  <c r="G206" i="14"/>
  <c r="D206" i="14"/>
  <c r="G205" i="14"/>
  <c r="D205" i="14"/>
  <c r="G204" i="14"/>
  <c r="D204" i="14"/>
  <c r="G203" i="14"/>
  <c r="D203" i="14"/>
  <c r="G202" i="14"/>
  <c r="D202" i="14"/>
  <c r="G201" i="14"/>
  <c r="D201" i="14"/>
  <c r="G200" i="14"/>
  <c r="D200" i="14"/>
  <c r="G199" i="14"/>
  <c r="D199" i="14"/>
  <c r="G198" i="14"/>
  <c r="D198" i="14"/>
  <c r="G197" i="14"/>
  <c r="D197" i="14"/>
  <c r="G196" i="14"/>
  <c r="D196" i="14"/>
  <c r="G195" i="14"/>
  <c r="D195" i="14"/>
  <c r="G194" i="14"/>
  <c r="D194" i="14"/>
  <c r="G193" i="14"/>
  <c r="D193" i="14"/>
  <c r="G192" i="14"/>
  <c r="D192" i="14"/>
  <c r="G191" i="14"/>
  <c r="D191" i="14"/>
  <c r="G190" i="14"/>
  <c r="D190" i="14"/>
  <c r="G189" i="14"/>
  <c r="D189" i="14"/>
  <c r="G188" i="14"/>
  <c r="D188" i="14"/>
  <c r="G187" i="14"/>
  <c r="D187" i="14"/>
  <c r="G186" i="14"/>
  <c r="D186" i="14"/>
  <c r="G185" i="14"/>
  <c r="D185" i="14"/>
  <c r="G184" i="14"/>
  <c r="D184" i="14"/>
  <c r="G183" i="14"/>
  <c r="D183" i="14"/>
  <c r="G182" i="14"/>
  <c r="D182" i="14"/>
  <c r="G181" i="14"/>
  <c r="D181" i="14"/>
  <c r="G180" i="14"/>
  <c r="D180" i="14"/>
  <c r="G179" i="14"/>
  <c r="D179" i="14"/>
  <c r="G178" i="14"/>
  <c r="D178" i="14"/>
  <c r="G177" i="14"/>
  <c r="D177" i="14"/>
  <c r="G176" i="14"/>
  <c r="D176" i="14"/>
  <c r="G175" i="14"/>
  <c r="D175" i="14"/>
  <c r="G174" i="14"/>
  <c r="D174" i="14"/>
  <c r="G173" i="14"/>
  <c r="D173" i="14"/>
  <c r="G172" i="14"/>
  <c r="D172" i="14"/>
  <c r="G171" i="14"/>
  <c r="D171" i="14"/>
  <c r="G170" i="14"/>
  <c r="D170" i="14"/>
  <c r="G169" i="14"/>
  <c r="D169" i="14"/>
  <c r="G168" i="14"/>
  <c r="D168" i="14"/>
  <c r="G167" i="14"/>
  <c r="D167" i="14"/>
  <c r="G166" i="14"/>
  <c r="D166" i="14"/>
  <c r="G165" i="14"/>
  <c r="D165" i="14"/>
  <c r="G164" i="14"/>
  <c r="D164" i="14"/>
  <c r="G163" i="14"/>
  <c r="D163" i="14"/>
  <c r="G162" i="14"/>
  <c r="D162" i="14"/>
  <c r="G161" i="14"/>
  <c r="D161" i="14"/>
  <c r="G160" i="14"/>
  <c r="D160" i="14"/>
  <c r="G159" i="14"/>
  <c r="D159" i="14"/>
  <c r="G158" i="14"/>
  <c r="D158" i="14"/>
  <c r="G157" i="14"/>
  <c r="D157" i="14"/>
  <c r="G156" i="14"/>
  <c r="D156" i="14"/>
  <c r="G155" i="14"/>
  <c r="D155" i="14"/>
  <c r="G154" i="14"/>
  <c r="D154" i="14"/>
  <c r="G153" i="14"/>
  <c r="D153" i="14"/>
  <c r="G152" i="14"/>
  <c r="D152" i="14"/>
  <c r="G151" i="14"/>
  <c r="D151" i="14"/>
  <c r="G150" i="14"/>
  <c r="D150" i="14"/>
  <c r="G149" i="14"/>
  <c r="D149" i="14"/>
  <c r="G148" i="14"/>
  <c r="D148" i="14"/>
  <c r="G147" i="14"/>
  <c r="D147" i="14"/>
  <c r="G146" i="14"/>
  <c r="D146" i="14"/>
  <c r="G145" i="14"/>
  <c r="D145" i="14"/>
  <c r="G144" i="14"/>
  <c r="D144" i="14"/>
  <c r="G143" i="14"/>
  <c r="D143" i="14"/>
  <c r="G142" i="14"/>
  <c r="D142" i="14"/>
  <c r="G141" i="14"/>
  <c r="D141" i="14"/>
  <c r="G140" i="14"/>
  <c r="D140" i="14"/>
  <c r="G139" i="14"/>
  <c r="D139" i="14"/>
  <c r="G138" i="14"/>
  <c r="D138" i="14"/>
  <c r="G137" i="14"/>
  <c r="D137" i="14"/>
  <c r="G136" i="14"/>
  <c r="D136" i="14"/>
  <c r="G135" i="14"/>
  <c r="D135" i="14"/>
  <c r="G134" i="14"/>
  <c r="D134" i="14"/>
  <c r="G133" i="14"/>
  <c r="D133" i="14"/>
  <c r="G132" i="14"/>
  <c r="D132" i="14"/>
  <c r="G131" i="14"/>
  <c r="D131" i="14"/>
  <c r="G130" i="14"/>
  <c r="D130" i="14"/>
  <c r="G129" i="14"/>
  <c r="D129" i="14"/>
  <c r="G128" i="14"/>
  <c r="D128" i="14"/>
  <c r="G127" i="14"/>
  <c r="D127" i="14"/>
  <c r="G126" i="14"/>
  <c r="D126" i="14"/>
  <c r="G125" i="14"/>
  <c r="D125" i="14"/>
  <c r="G124" i="14"/>
  <c r="D124" i="14"/>
  <c r="G123" i="14"/>
  <c r="D123" i="14"/>
  <c r="G122" i="14"/>
  <c r="D122" i="14"/>
  <c r="G121" i="14"/>
  <c r="D121" i="14"/>
  <c r="G120" i="14"/>
  <c r="D120" i="14"/>
  <c r="G119" i="14"/>
  <c r="D119" i="14"/>
  <c r="G118" i="14"/>
  <c r="D118" i="14"/>
  <c r="G117" i="14"/>
  <c r="D117" i="14"/>
  <c r="G116" i="14"/>
  <c r="D116" i="14"/>
  <c r="G115" i="14"/>
  <c r="D115" i="14"/>
  <c r="G114" i="14"/>
  <c r="D114" i="14"/>
  <c r="G113" i="14"/>
  <c r="D113" i="14"/>
  <c r="G112" i="14"/>
  <c r="D112" i="14"/>
  <c r="G111" i="14"/>
  <c r="D111" i="14"/>
  <c r="G110" i="14"/>
  <c r="D110" i="14"/>
  <c r="G109" i="14"/>
  <c r="D109" i="14"/>
  <c r="G108" i="14"/>
  <c r="D108" i="14"/>
  <c r="G107" i="14"/>
  <c r="D107" i="14"/>
  <c r="G106" i="14"/>
  <c r="D106" i="14"/>
  <c r="G105" i="14"/>
  <c r="D105" i="14"/>
  <c r="G104" i="14"/>
  <c r="D104" i="14"/>
  <c r="G103" i="14"/>
  <c r="D103" i="14"/>
  <c r="G102" i="14"/>
  <c r="D102" i="14"/>
  <c r="G101" i="14"/>
  <c r="D101" i="14"/>
  <c r="G100" i="14"/>
  <c r="D100" i="14"/>
  <c r="G99" i="14"/>
  <c r="D99" i="14"/>
  <c r="G98" i="14"/>
  <c r="D98" i="14"/>
  <c r="G97" i="14"/>
  <c r="D97" i="14"/>
  <c r="G96" i="14"/>
  <c r="D96" i="14"/>
  <c r="G95" i="14"/>
  <c r="D95" i="14"/>
  <c r="G94" i="14"/>
  <c r="D94" i="14"/>
  <c r="G93" i="14"/>
  <c r="D93" i="14"/>
  <c r="G92" i="14"/>
  <c r="D92" i="14"/>
  <c r="G91" i="14"/>
  <c r="D91" i="14"/>
  <c r="G90" i="14"/>
  <c r="D90" i="14"/>
  <c r="G89" i="14"/>
  <c r="D89" i="14"/>
  <c r="G88" i="14"/>
  <c r="D88" i="14"/>
  <c r="G87" i="14"/>
  <c r="D87" i="14"/>
  <c r="G86" i="14"/>
  <c r="D86" i="14"/>
  <c r="G85" i="14"/>
  <c r="D85" i="14"/>
  <c r="G84" i="14"/>
  <c r="D84" i="14"/>
  <c r="G83" i="14"/>
  <c r="D83" i="14"/>
  <c r="G82" i="14"/>
  <c r="D82" i="14"/>
  <c r="G81" i="14"/>
  <c r="D81" i="14"/>
  <c r="G80" i="14"/>
  <c r="D80" i="14"/>
  <c r="G79" i="14"/>
  <c r="D79" i="14"/>
  <c r="G78" i="14"/>
  <c r="D78" i="14"/>
  <c r="G77" i="14"/>
  <c r="D77" i="14"/>
  <c r="G76" i="14"/>
  <c r="D76" i="14"/>
  <c r="G75" i="14"/>
  <c r="D75" i="14"/>
  <c r="G74" i="14"/>
  <c r="D74" i="14"/>
  <c r="G73" i="14"/>
  <c r="D73" i="14"/>
  <c r="G72" i="14"/>
  <c r="D72" i="14"/>
  <c r="G71" i="14"/>
  <c r="D71" i="14"/>
  <c r="G70" i="14"/>
  <c r="D70" i="14"/>
  <c r="G69" i="14"/>
  <c r="D69" i="14"/>
  <c r="G68" i="14"/>
  <c r="D68" i="14"/>
  <c r="G67" i="14"/>
  <c r="D67" i="14"/>
  <c r="G66" i="14"/>
  <c r="D66" i="14"/>
  <c r="G65" i="14"/>
  <c r="D65" i="14"/>
  <c r="G64" i="14"/>
  <c r="D64" i="14"/>
  <c r="G63" i="14"/>
  <c r="D63" i="14"/>
  <c r="G62" i="14"/>
  <c r="D62" i="14"/>
  <c r="G61" i="14"/>
  <c r="D61" i="14"/>
  <c r="G60" i="14"/>
  <c r="D60" i="14"/>
  <c r="G59" i="14"/>
  <c r="D59" i="14"/>
  <c r="G58" i="14"/>
  <c r="D58" i="14"/>
  <c r="G57" i="14"/>
  <c r="D57" i="14"/>
  <c r="G56" i="14"/>
  <c r="D56" i="14"/>
  <c r="G55" i="14"/>
  <c r="D55" i="14"/>
  <c r="G54" i="14"/>
  <c r="D54" i="14"/>
  <c r="G53" i="14"/>
  <c r="D53" i="14"/>
  <c r="G52" i="14"/>
  <c r="D52" i="14"/>
  <c r="G51" i="14"/>
  <c r="D51" i="14"/>
  <c r="G50" i="14"/>
  <c r="D50" i="14"/>
  <c r="G49" i="14"/>
  <c r="D49" i="14"/>
  <c r="G48" i="14"/>
  <c r="D48" i="14"/>
  <c r="G47" i="14"/>
  <c r="D47" i="14"/>
  <c r="G46" i="14"/>
  <c r="D46" i="14"/>
  <c r="G45" i="14"/>
  <c r="D45" i="14"/>
  <c r="G44" i="14"/>
  <c r="D44" i="14"/>
  <c r="G43" i="14"/>
  <c r="D43" i="14"/>
  <c r="G42" i="14"/>
  <c r="D42" i="14"/>
  <c r="G41" i="14"/>
  <c r="D41" i="14"/>
  <c r="G40" i="14"/>
  <c r="D40" i="14"/>
  <c r="G39" i="14"/>
  <c r="D39" i="14"/>
  <c r="G38" i="14"/>
  <c r="D38" i="14"/>
  <c r="G37" i="14"/>
  <c r="D37" i="14"/>
  <c r="G36" i="14"/>
  <c r="D36" i="14"/>
  <c r="G35" i="14"/>
  <c r="D35" i="14"/>
  <c r="G34" i="14"/>
  <c r="D34" i="14"/>
  <c r="G33" i="14"/>
  <c r="D33" i="14"/>
  <c r="G32" i="14"/>
  <c r="D32" i="14"/>
  <c r="G31" i="14"/>
  <c r="D31" i="14"/>
  <c r="G30" i="14"/>
  <c r="D30" i="14"/>
  <c r="G29" i="14"/>
  <c r="D29" i="14"/>
  <c r="G28" i="14"/>
  <c r="D28" i="14"/>
  <c r="G27" i="14"/>
  <c r="D27" i="14"/>
  <c r="G26" i="14"/>
  <c r="D26" i="14"/>
  <c r="G25" i="14"/>
  <c r="D25" i="14"/>
  <c r="G24" i="14"/>
  <c r="D24" i="14"/>
  <c r="G23" i="14"/>
  <c r="D23" i="14"/>
  <c r="G22" i="14"/>
  <c r="D22" i="14"/>
  <c r="G21" i="14"/>
  <c r="D21" i="14"/>
  <c r="G20" i="14"/>
  <c r="D20" i="14"/>
  <c r="G19" i="14"/>
  <c r="D19" i="14"/>
  <c r="G18" i="14"/>
  <c r="D18" i="14"/>
  <c r="J17" i="14"/>
  <c r="J9" i="14" s="1"/>
  <c r="J14" i="14" s="1"/>
  <c r="G17" i="14"/>
  <c r="D17" i="14"/>
  <c r="G16" i="14"/>
  <c r="D16" i="14"/>
  <c r="G15" i="14"/>
  <c r="D15" i="14"/>
  <c r="G14" i="14"/>
  <c r="D14" i="14"/>
  <c r="G13" i="14"/>
  <c r="D13" i="14"/>
  <c r="G12" i="14"/>
  <c r="D12" i="14"/>
  <c r="G11" i="14"/>
  <c r="H12" i="10"/>
  <c r="K12" i="10" s="1"/>
  <c r="H13" i="10"/>
  <c r="K13" i="10" s="1"/>
  <c r="H14" i="10"/>
  <c r="K14" i="10" s="1"/>
  <c r="H15" i="10"/>
  <c r="K15" i="10" s="1"/>
  <c r="H11" i="10"/>
  <c r="K11" i="10" s="1"/>
  <c r="J17" i="12"/>
  <c r="J9" i="12" s="1"/>
  <c r="J14" i="12" s="1"/>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11" i="12"/>
  <c r="B1" i="12"/>
  <c r="B1" i="10"/>
  <c r="M22" i="32" l="1"/>
  <c r="M27" i="32"/>
  <c r="L27" i="32" s="1"/>
  <c r="M28" i="32"/>
  <c r="L28" i="32" s="1"/>
  <c r="M29" i="32"/>
  <c r="L29" i="32" s="1"/>
  <c r="M26" i="32"/>
  <c r="L26" i="32"/>
  <c r="G8376" i="32"/>
  <c r="G6482" i="32"/>
  <c r="G6484" i="32"/>
  <c r="G6486" i="32"/>
  <c r="G6490" i="32"/>
  <c r="G6492" i="32"/>
  <c r="G6494" i="32"/>
  <c r="G6496" i="32"/>
  <c r="G6498" i="32"/>
  <c r="G6500" i="32"/>
  <c r="G6503" i="32"/>
  <c r="G6505" i="32"/>
  <c r="G6507" i="32"/>
  <c r="G6509" i="32"/>
  <c r="G6511" i="32"/>
  <c r="G6513" i="32"/>
  <c r="G6515" i="32"/>
  <c r="G6517" i="32"/>
  <c r="G6520" i="32"/>
  <c r="G6522" i="32"/>
  <c r="G6524" i="32"/>
  <c r="G6526" i="32"/>
  <c r="G6528" i="32"/>
  <c r="G6530" i="32"/>
  <c r="G6532" i="32"/>
  <c r="G6537" i="32"/>
  <c r="G6539" i="32"/>
  <c r="G6541" i="32"/>
  <c r="G6543" i="32"/>
  <c r="G6545" i="32"/>
  <c r="G6547" i="32"/>
  <c r="G6549" i="32"/>
  <c r="G6551" i="32"/>
  <c r="G6553" i="32"/>
  <c r="G6555" i="32"/>
  <c r="G6557" i="32"/>
  <c r="G6559" i="32"/>
  <c r="G6561" i="32"/>
  <c r="G6563" i="32"/>
  <c r="G6565" i="32"/>
  <c r="G6567" i="32"/>
  <c r="G6569" i="32"/>
  <c r="G6571" i="32"/>
  <c r="G6573" i="32"/>
  <c r="G6575" i="32"/>
  <c r="G6577" i="32"/>
  <c r="G6579" i="32"/>
  <c r="G6581" i="32"/>
  <c r="G6583" i="32"/>
  <c r="G6585" i="32"/>
  <c r="G6587" i="32"/>
  <c r="G6590" i="32"/>
  <c r="G6592" i="32"/>
  <c r="G6594" i="32"/>
  <c r="G6596" i="32"/>
  <c r="G6598" i="32"/>
  <c r="G6600" i="32"/>
  <c r="G6602" i="32"/>
  <c r="G6604" i="32"/>
  <c r="G6606" i="32"/>
  <c r="G6608" i="32"/>
  <c r="G6610" i="32"/>
  <c r="G6612" i="32"/>
  <c r="G6614" i="32"/>
  <c r="G6616" i="32"/>
  <c r="G6618" i="32"/>
  <c r="G6620" i="32"/>
  <c r="G6622" i="32"/>
  <c r="G6624" i="32"/>
  <c r="G6626" i="32"/>
  <c r="G6628" i="32"/>
  <c r="G6630" i="32"/>
  <c r="G6634" i="32"/>
  <c r="G6637" i="32"/>
  <c r="G6639" i="32"/>
  <c r="G6641" i="32"/>
  <c r="G6643" i="32"/>
  <c r="G6647" i="32"/>
  <c r="G6649" i="32"/>
  <c r="G6651" i="32"/>
  <c r="G6653" i="32"/>
  <c r="G6655" i="32"/>
  <c r="G6657" i="32"/>
  <c r="G6659" i="32"/>
  <c r="G6661" i="32"/>
  <c r="G6663" i="32"/>
  <c r="G6682" i="32"/>
  <c r="G6684" i="32"/>
  <c r="G6686" i="32"/>
  <c r="G6688" i="32"/>
  <c r="G6693" i="32"/>
  <c r="G6695" i="32"/>
  <c r="G6697" i="32"/>
  <c r="G6699" i="32"/>
  <c r="G6707" i="32"/>
  <c r="G6718" i="32"/>
  <c r="G6720" i="32"/>
  <c r="G6722" i="32"/>
  <c r="G6724" i="32"/>
  <c r="G6726" i="32"/>
  <c r="G6728" i="32"/>
  <c r="G6730" i="32"/>
  <c r="G6733" i="32"/>
  <c r="G6737" i="32"/>
  <c r="G6741" i="32"/>
  <c r="G6743" i="32"/>
  <c r="G7930" i="32"/>
  <c r="G7932" i="32"/>
  <c r="G7934" i="32"/>
  <c r="G7936" i="32"/>
  <c r="G7942" i="32"/>
  <c r="G7944" i="32"/>
  <c r="G7946" i="32"/>
  <c r="G7948" i="32"/>
  <c r="G7950" i="32"/>
  <c r="G7953" i="32"/>
  <c r="G7955" i="32"/>
  <c r="G7957" i="32"/>
  <c r="G7963" i="32"/>
  <c r="G7965" i="32"/>
  <c r="G7967" i="32"/>
  <c r="G7969" i="32"/>
  <c r="G7971" i="32"/>
  <c r="G7973" i="32"/>
  <c r="G7975" i="32"/>
  <c r="G7977" i="32"/>
  <c r="G7979" i="32"/>
  <c r="G7981" i="32"/>
  <c r="G7984" i="32"/>
  <c r="G7986" i="32"/>
  <c r="G7988" i="32"/>
  <c r="G7990" i="32"/>
  <c r="G7996" i="32"/>
  <c r="G7999" i="32"/>
  <c r="G8001" i="32"/>
  <c r="G8003" i="32"/>
  <c r="G8005" i="32"/>
  <c r="G8007" i="32"/>
  <c r="G8009" i="32"/>
  <c r="G8012" i="32"/>
  <c r="G8020" i="32"/>
  <c r="G8022" i="32"/>
  <c r="G8024" i="32"/>
  <c r="G8026" i="32"/>
  <c r="G8028" i="32"/>
  <c r="G8030" i="32"/>
  <c r="G8033" i="32"/>
  <c r="G8035" i="32"/>
  <c r="G8040" i="32"/>
  <c r="G8042" i="32"/>
  <c r="G8047" i="32"/>
  <c r="G8049" i="32"/>
  <c r="G8051" i="32"/>
  <c r="G8053" i="32"/>
  <c r="G8055" i="32"/>
  <c r="G8058" i="32"/>
  <c r="G8060" i="32"/>
  <c r="G8062" i="32"/>
  <c r="G8064" i="32"/>
  <c r="G8066" i="32"/>
  <c r="G8068" i="32"/>
  <c r="G8070" i="32"/>
  <c r="G8072" i="32"/>
  <c r="G8074" i="32"/>
  <c r="G8076" i="32"/>
  <c r="G8080" i="32"/>
  <c r="G8082" i="32"/>
  <c r="G8087" i="32"/>
  <c r="G8090" i="32"/>
  <c r="G8092" i="32"/>
  <c r="G8094" i="32"/>
  <c r="G8118" i="32"/>
  <c r="G8120" i="32"/>
  <c r="G8127" i="32"/>
  <c r="G8129" i="32"/>
  <c r="G8131" i="32"/>
  <c r="G8133" i="32"/>
  <c r="G8135" i="32"/>
  <c r="G8137" i="32"/>
  <c r="G8142" i="32"/>
  <c r="G8144" i="32"/>
  <c r="G8146" i="32"/>
  <c r="G8148" i="32"/>
  <c r="G8151" i="32"/>
  <c r="G8153" i="32"/>
  <c r="G8155" i="32"/>
  <c r="G8157" i="32"/>
  <c r="G8160" i="32"/>
  <c r="G8162" i="32"/>
  <c r="G8164" i="32"/>
  <c r="G8180" i="32"/>
  <c r="G8182" i="32"/>
  <c r="G8183" i="32"/>
  <c r="G8184" i="32"/>
  <c r="G8185" i="32"/>
  <c r="G8186" i="32"/>
  <c r="G8187" i="32"/>
  <c r="G8188" i="32"/>
  <c r="G8189" i="32"/>
  <c r="G8190" i="32"/>
  <c r="G8191" i="32"/>
  <c r="G8192" i="32"/>
  <c r="G8193" i="32"/>
  <c r="G8194" i="32"/>
  <c r="G8195" i="32"/>
  <c r="G8196" i="32"/>
  <c r="G8197" i="32"/>
  <c r="G8198" i="32"/>
  <c r="G8199" i="32"/>
  <c r="G8200" i="32"/>
  <c r="G8201" i="32"/>
  <c r="G8202" i="32"/>
  <c r="G8203" i="32"/>
  <c r="G8204" i="32"/>
  <c r="G8205" i="32"/>
  <c r="G8206" i="32"/>
  <c r="G8207" i="32"/>
  <c r="G8208" i="32"/>
  <c r="G8209" i="32"/>
  <c r="G8210" i="32"/>
  <c r="G8211" i="32"/>
  <c r="G8212" i="32"/>
  <c r="G8213" i="32"/>
  <c r="G8214" i="32"/>
  <c r="G8215" i="32"/>
  <c r="G8216" i="32"/>
  <c r="G8217" i="32"/>
  <c r="G8218" i="32"/>
  <c r="G8219" i="32"/>
  <c r="G8220" i="32"/>
  <c r="G8221" i="32"/>
  <c r="G8222" i="32"/>
  <c r="G8223" i="32"/>
  <c r="G8224" i="32"/>
  <c r="G8225" i="32"/>
  <c r="G8226" i="32"/>
  <c r="G8227" i="32"/>
  <c r="G8228" i="32"/>
  <c r="G8229" i="32"/>
  <c r="G8230" i="32"/>
  <c r="G8231" i="32"/>
  <c r="G8232" i="32"/>
  <c r="G8233" i="32"/>
  <c r="G8234" i="32"/>
  <c r="G8235" i="32"/>
  <c r="G8236" i="32"/>
  <c r="G8237" i="32"/>
  <c r="G8238" i="32"/>
  <c r="G8239" i="32"/>
  <c r="G8240" i="32"/>
  <c r="G8241" i="32"/>
  <c r="G8242" i="32"/>
  <c r="G8243" i="32"/>
  <c r="G8244" i="32"/>
  <c r="G8245" i="32"/>
  <c r="G8246" i="32"/>
  <c r="G8247" i="32"/>
  <c r="G8248" i="32"/>
  <c r="G8249" i="32"/>
  <c r="G8250" i="32"/>
  <c r="G8251" i="32"/>
  <c r="G8252" i="32"/>
  <c r="G8253" i="32"/>
  <c r="G8254" i="32"/>
  <c r="G8255" i="32"/>
  <c r="G8256" i="32"/>
  <c r="G8257" i="32"/>
  <c r="G8258" i="32"/>
  <c r="G8259" i="32"/>
  <c r="G8260" i="32"/>
  <c r="G8261" i="32"/>
  <c r="G8262" i="32"/>
  <c r="G8263" i="32"/>
  <c r="G8264" i="32"/>
  <c r="G8265" i="32"/>
  <c r="G8266" i="32"/>
  <c r="G8267" i="32"/>
  <c r="G8268" i="32"/>
  <c r="G8269" i="32"/>
  <c r="G8270" i="32"/>
  <c r="G8271" i="32"/>
  <c r="G8272" i="32"/>
  <c r="G8273" i="32"/>
  <c r="G8274" i="32"/>
  <c r="G8275" i="32"/>
  <c r="G8276" i="32"/>
  <c r="G8277" i="32"/>
  <c r="G8278" i="32"/>
  <c r="G8279" i="32"/>
  <c r="G8280" i="32"/>
  <c r="G8281" i="32"/>
  <c r="G8282" i="32"/>
  <c r="G8283" i="32"/>
  <c r="G8284" i="32"/>
  <c r="G8285" i="32"/>
  <c r="G8286" i="32"/>
  <c r="G8287" i="32"/>
  <c r="G8288" i="32"/>
  <c r="G8289" i="32"/>
  <c r="G8290" i="32"/>
  <c r="G8291" i="32"/>
  <c r="G8292" i="32"/>
  <c r="G8293" i="32"/>
  <c r="G8294" i="32"/>
  <c r="G8295" i="32"/>
  <c r="G8296" i="32"/>
  <c r="G8297" i="32"/>
  <c r="G8298" i="32"/>
  <c r="G8299" i="32"/>
  <c r="G8300" i="32"/>
  <c r="G8301" i="32"/>
  <c r="G8302" i="32"/>
  <c r="G8303" i="32"/>
  <c r="G8304" i="32"/>
  <c r="G8305" i="32"/>
  <c r="G8306" i="32"/>
  <c r="G8307" i="32"/>
  <c r="G8308" i="32"/>
  <c r="G8309" i="32"/>
  <c r="G8310" i="32"/>
  <c r="G8311" i="32"/>
  <c r="G8312" i="32"/>
  <c r="G8313" i="32"/>
  <c r="G8314" i="32"/>
  <c r="G8315" i="32"/>
  <c r="G8316" i="32"/>
  <c r="G8317" i="32"/>
  <c r="G8318" i="32"/>
  <c r="G8319" i="32"/>
  <c r="G8320" i="32"/>
  <c r="G8321" i="32"/>
  <c r="G8322" i="32"/>
  <c r="G8323" i="32"/>
  <c r="G8324" i="32"/>
  <c r="G8325" i="32"/>
  <c r="G8326" i="32"/>
  <c r="G8327" i="32"/>
  <c r="G8328" i="32"/>
  <c r="G8329" i="32"/>
  <c r="G8330" i="32"/>
  <c r="G8331" i="32"/>
  <c r="G8332" i="32"/>
  <c r="G8333" i="32"/>
  <c r="G8334" i="32"/>
  <c r="G8335" i="32"/>
  <c r="G8336" i="32"/>
  <c r="G8337" i="32"/>
  <c r="G8338" i="32"/>
  <c r="G8339" i="32"/>
  <c r="G8340" i="32"/>
  <c r="G8341" i="32"/>
  <c r="G8342" i="32"/>
  <c r="G8343" i="32"/>
  <c r="G8344" i="32"/>
  <c r="G8345" i="32"/>
  <c r="G8346" i="32"/>
  <c r="G8347" i="32"/>
  <c r="G8348" i="32"/>
  <c r="G8349" i="32"/>
  <c r="G8350" i="32"/>
  <c r="G8351" i="32"/>
  <c r="G8352" i="32"/>
  <c r="G8353" i="32"/>
  <c r="G8354" i="32"/>
  <c r="G8355" i="32"/>
  <c r="G8356" i="32"/>
  <c r="G8357" i="32"/>
  <c r="G8358" i="32"/>
  <c r="G8359" i="32"/>
  <c r="G8360" i="32"/>
  <c r="G8361" i="32"/>
  <c r="G8362" i="32"/>
  <c r="G8363" i="32"/>
  <c r="G8364" i="32"/>
  <c r="G8365" i="32"/>
  <c r="G8366" i="32"/>
  <c r="G8367" i="32"/>
  <c r="G8368" i="32"/>
  <c r="G8369" i="32"/>
  <c r="G8370" i="32"/>
  <c r="G8371" i="32"/>
  <c r="G8372" i="32"/>
  <c r="G8373" i="32"/>
  <c r="G8374" i="32"/>
  <c r="G8375" i="32"/>
  <c r="G6480" i="32"/>
  <c r="G8377" i="32"/>
  <c r="G8378" i="32"/>
  <c r="G8379" i="32"/>
  <c r="G8380" i="32"/>
  <c r="G8381" i="32"/>
  <c r="G8382" i="32"/>
  <c r="G8383" i="32"/>
  <c r="G8384" i="32"/>
  <c r="G8385" i="32"/>
  <c r="G8386" i="32"/>
  <c r="G8387" i="32"/>
  <c r="G8388" i="32"/>
  <c r="G8389" i="32"/>
  <c r="G8390" i="32"/>
  <c r="G8391" i="32"/>
  <c r="G8392" i="32"/>
  <c r="G8393" i="32"/>
  <c r="G8394" i="32"/>
  <c r="G8395" i="32"/>
  <c r="G8396" i="32"/>
  <c r="G8397" i="32"/>
  <c r="G8398" i="32"/>
  <c r="G8399" i="32"/>
  <c r="G8400" i="32"/>
  <c r="G8401" i="32"/>
  <c r="G8402" i="32"/>
  <c r="G8403" i="32"/>
  <c r="G8404" i="32"/>
  <c r="G8405" i="32"/>
  <c r="G8406" i="32"/>
  <c r="G8407" i="32"/>
  <c r="G8408" i="32"/>
  <c r="G8409" i="32"/>
  <c r="G8410" i="32"/>
  <c r="G8411" i="32"/>
  <c r="G8412" i="32"/>
  <c r="G8413" i="32"/>
  <c r="G8414" i="32"/>
  <c r="G8415" i="32"/>
  <c r="G8416" i="32"/>
  <c r="G8417" i="32"/>
  <c r="G8418" i="32"/>
  <c r="G8419" i="32"/>
  <c r="G8420" i="32"/>
  <c r="G8421" i="32"/>
  <c r="G8422" i="32"/>
  <c r="G8423" i="32"/>
  <c r="G8424" i="32"/>
  <c r="G8425" i="32"/>
  <c r="G8426" i="32"/>
  <c r="G8427" i="32"/>
  <c r="G8428" i="32"/>
  <c r="G8429" i="32"/>
  <c r="G6479" i="32"/>
  <c r="G6481" i="32"/>
  <c r="G6483" i="32"/>
  <c r="G6485" i="32"/>
  <c r="G6487" i="32"/>
  <c r="G6488" i="32"/>
  <c r="G6489" i="32"/>
  <c r="G6491" i="32"/>
  <c r="G6493" i="32"/>
  <c r="G6495" i="32"/>
  <c r="G6497" i="32"/>
  <c r="G6499" i="32"/>
  <c r="G6501" i="32"/>
  <c r="G6502" i="32"/>
  <c r="G6504" i="32"/>
  <c r="G6506" i="32"/>
  <c r="G6508" i="32"/>
  <c r="G6510" i="32"/>
  <c r="G6512" i="32"/>
  <c r="G6514" i="32"/>
  <c r="G6516" i="32"/>
  <c r="G6518" i="32"/>
  <c r="G6519" i="32"/>
  <c r="G6521" i="32"/>
  <c r="G6523" i="32"/>
  <c r="G6525" i="32"/>
  <c r="G6527" i="32"/>
  <c r="G6529" i="32"/>
  <c r="G6531" i="32"/>
  <c r="G6533" i="32"/>
  <c r="G6534" i="32"/>
  <c r="G6535" i="32"/>
  <c r="G6536" i="32"/>
  <c r="G6538" i="32"/>
  <c r="G6540" i="32"/>
  <c r="G6542" i="32"/>
  <c r="G6544" i="32"/>
  <c r="G6546" i="32"/>
  <c r="G6548" i="32"/>
  <c r="G6550" i="32"/>
  <c r="G6552" i="32"/>
  <c r="G6554" i="32"/>
  <c r="G6556" i="32"/>
  <c r="G6558" i="32"/>
  <c r="G6560" i="32"/>
  <c r="G6562" i="32"/>
  <c r="G6564" i="32"/>
  <c r="G6566" i="32"/>
  <c r="G6568" i="32"/>
  <c r="G6570" i="32"/>
  <c r="G6572" i="32"/>
  <c r="G6574" i="32"/>
  <c r="G6576" i="32"/>
  <c r="G6578" i="32"/>
  <c r="G6580" i="32"/>
  <c r="G6582" i="32"/>
  <c r="G6584" i="32"/>
  <c r="G6586" i="32"/>
  <c r="G6589" i="32"/>
  <c r="G6591" i="32"/>
  <c r="G6593" i="32"/>
  <c r="G6595" i="32"/>
  <c r="G6597" i="32"/>
  <c r="G6599" i="32"/>
  <c r="G6601" i="32"/>
  <c r="G6603" i="32"/>
  <c r="G6605" i="32"/>
  <c r="G6607" i="32"/>
  <c r="G6609" i="32"/>
  <c r="G6611" i="32"/>
  <c r="G6613" i="32"/>
  <c r="G6615" i="32"/>
  <c r="G6617" i="32"/>
  <c r="G6619" i="32"/>
  <c r="G6621" i="32"/>
  <c r="G6623" i="32"/>
  <c r="G6625" i="32"/>
  <c r="G6627" i="32"/>
  <c r="G6629" i="32"/>
  <c r="G6631" i="32"/>
  <c r="G6633" i="32"/>
  <c r="G6635" i="32"/>
  <c r="G6638" i="32"/>
  <c r="G6640" i="32"/>
  <c r="G6642" i="32"/>
  <c r="G6645" i="32"/>
  <c r="G6671" i="32"/>
  <c r="G6673" i="32"/>
  <c r="G6675" i="32"/>
  <c r="G6677" i="32"/>
  <c r="G6679" i="32"/>
  <c r="G6681" i="32"/>
  <c r="G6683" i="32"/>
  <c r="G6685" i="32"/>
  <c r="G6687" i="32"/>
  <c r="G6689" i="32"/>
  <c r="G6691" i="32"/>
  <c r="G6696" i="32"/>
  <c r="G6698" i="32"/>
  <c r="G6700" i="32"/>
  <c r="G6702" i="32"/>
  <c r="G6704" i="32"/>
  <c r="G6706" i="32"/>
  <c r="G6708" i="32"/>
  <c r="G6710" i="32"/>
  <c r="G6712" i="32"/>
  <c r="G6714" i="32"/>
  <c r="G6716" i="32"/>
  <c r="G6729" i="32"/>
  <c r="G6732" i="32"/>
  <c r="G6734" i="32"/>
  <c r="G6736" i="32"/>
  <c r="G6738" i="32"/>
  <c r="G6740" i="32"/>
  <c r="G7926" i="32"/>
  <c r="G7928" i="32"/>
  <c r="G7938" i="32"/>
  <c r="G7940" i="32"/>
  <c r="G7949" i="32"/>
  <c r="G7951" i="32"/>
  <c r="G7958" i="32"/>
  <c r="G7960" i="32"/>
  <c r="G7962" i="32"/>
  <c r="G7964" i="32"/>
  <c r="G7966" i="32"/>
  <c r="G7968" i="32"/>
  <c r="G7978" i="32"/>
  <c r="G7980" i="32"/>
  <c r="G7983" i="32"/>
  <c r="G7985" i="32"/>
  <c r="G7987" i="32"/>
  <c r="G7989" i="32"/>
  <c r="G7991" i="32"/>
  <c r="G7993" i="32"/>
  <c r="G7995" i="32"/>
  <c r="G7998" i="32"/>
  <c r="G8006" i="32"/>
  <c r="G8008" i="32"/>
  <c r="G8011" i="32"/>
  <c r="G8013" i="32"/>
  <c r="G8015" i="32"/>
  <c r="G8017" i="32"/>
  <c r="G8019" i="32"/>
  <c r="G8021" i="32"/>
  <c r="G8023" i="32"/>
  <c r="G8025" i="32"/>
  <c r="G8027" i="32"/>
  <c r="G8029" i="32"/>
  <c r="G8031" i="32"/>
  <c r="G8034" i="32"/>
  <c r="G8036" i="32"/>
  <c r="G8038" i="32"/>
  <c r="G8041" i="32"/>
  <c r="G8043" i="32"/>
  <c r="G8046" i="32"/>
  <c r="G8048" i="32"/>
  <c r="G8050" i="32"/>
  <c r="G8059" i="32"/>
  <c r="G8061" i="32"/>
  <c r="G8063" i="32"/>
  <c r="G8065" i="32"/>
  <c r="G8067" i="32"/>
  <c r="G8069" i="32"/>
  <c r="G8071" i="32"/>
  <c r="G8073" i="32"/>
  <c r="G8075" i="32"/>
  <c r="G8078" i="32"/>
  <c r="G8079" i="32"/>
  <c r="G8086" i="32"/>
  <c r="G8089" i="32"/>
  <c r="G8096" i="32"/>
  <c r="G8107" i="32"/>
  <c r="G8109" i="32"/>
  <c r="G8111" i="32"/>
  <c r="G8113" i="32"/>
  <c r="G8115" i="32"/>
  <c r="G8117" i="32"/>
  <c r="G8119" i="32"/>
  <c r="G8121" i="32"/>
  <c r="G8123" i="32"/>
  <c r="G8125" i="32"/>
  <c r="G8130" i="32"/>
  <c r="G8132" i="32"/>
  <c r="G8134" i="32"/>
  <c r="G8139" i="32"/>
  <c r="G8141" i="32"/>
  <c r="G8147" i="32"/>
  <c r="G8149" i="32"/>
  <c r="G8152" i="32"/>
  <c r="G8154" i="32"/>
  <c r="G8156" i="32"/>
  <c r="G8159" i="32"/>
  <c r="G8163" i="32"/>
  <c r="G8166" i="32"/>
  <c r="G8168" i="32"/>
  <c r="G8170" i="32"/>
  <c r="G8172" i="32"/>
  <c r="G8174" i="32"/>
  <c r="G8176" i="32"/>
  <c r="G8178" i="32"/>
  <c r="G8181" i="32"/>
  <c r="G8083" i="32"/>
  <c r="G6588" i="32"/>
  <c r="G6632" i="32"/>
  <c r="G6636" i="32"/>
  <c r="G6644" i="32"/>
  <c r="G6646" i="32"/>
  <c r="G6648" i="32"/>
  <c r="G6650" i="32"/>
  <c r="G6652" i="32"/>
  <c r="G6654" i="32"/>
  <c r="G6656" i="32"/>
  <c r="G6658" i="32"/>
  <c r="G6660" i="32"/>
  <c r="G6662" i="32"/>
  <c r="G6664" i="32"/>
  <c r="G6665" i="32"/>
  <c r="G6666" i="32"/>
  <c r="G6667" i="32"/>
  <c r="G6668" i="32"/>
  <c r="G6669" i="32"/>
  <c r="G6670" i="32"/>
  <c r="G6672" i="32"/>
  <c r="G6674" i="32"/>
  <c r="G6676" i="32"/>
  <c r="G6678" i="32"/>
  <c r="G6680" i="32"/>
  <c r="G6690" i="32"/>
  <c r="G6692" i="32"/>
  <c r="G6694" i="32"/>
  <c r="G6701" i="32"/>
  <c r="G6703" i="32"/>
  <c r="G6705" i="32"/>
  <c r="G6709" i="32"/>
  <c r="G6711" i="32"/>
  <c r="G6713" i="32"/>
  <c r="G6715" i="32"/>
  <c r="G6717" i="32"/>
  <c r="G6719" i="32"/>
  <c r="G6721" i="32"/>
  <c r="G6723" i="32"/>
  <c r="G6725" i="32"/>
  <c r="G6727" i="32"/>
  <c r="G6731" i="32"/>
  <c r="G6735" i="32"/>
  <c r="G6739" i="32"/>
  <c r="G6742" i="32"/>
  <c r="G7925" i="32"/>
  <c r="G7927" i="32"/>
  <c r="G7929" i="32"/>
  <c r="G7931" i="32"/>
  <c r="G7933" i="32"/>
  <c r="G7935" i="32"/>
  <c r="G7937" i="32"/>
  <c r="G7939" i="32"/>
  <c r="G7941" i="32"/>
  <c r="G7943" i="32"/>
  <c r="G7945" i="32"/>
  <c r="G7947" i="32"/>
  <c r="G7952" i="32"/>
  <c r="G7954" i="32"/>
  <c r="G7956" i="32"/>
  <c r="G7959" i="32"/>
  <c r="G7961" i="32"/>
  <c r="G7970" i="32"/>
  <c r="G7972" i="32"/>
  <c r="G7974" i="32"/>
  <c r="G7976" i="32"/>
  <c r="G7982" i="32"/>
  <c r="G7992" i="32"/>
  <c r="G7994" i="32"/>
  <c r="G7997" i="32"/>
  <c r="G8000" i="32"/>
  <c r="G8002" i="32"/>
  <c r="G8004" i="32"/>
  <c r="G8010" i="32"/>
  <c r="G8014" i="32"/>
  <c r="G8016" i="32"/>
  <c r="G8018" i="32"/>
  <c r="G8032" i="32"/>
  <c r="G8037" i="32"/>
  <c r="G8039" i="32"/>
  <c r="G8044" i="32"/>
  <c r="G8045" i="32"/>
  <c r="G8052" i="32"/>
  <c r="G8054" i="32"/>
  <c r="G8056" i="32"/>
  <c r="G8057" i="32"/>
  <c r="G8077" i="32"/>
  <c r="G8081" i="32"/>
  <c r="G8084" i="32"/>
  <c r="G8085" i="32"/>
  <c r="G8088" i="32"/>
  <c r="G8091" i="32"/>
  <c r="G8093" i="32"/>
  <c r="G8095" i="32"/>
  <c r="G8097" i="32"/>
  <c r="G8098" i="32"/>
  <c r="G8099" i="32"/>
  <c r="G8100" i="32"/>
  <c r="G8101" i="32"/>
  <c r="G8102" i="32"/>
  <c r="G8103" i="32"/>
  <c r="G8104" i="32"/>
  <c r="G8105" i="32"/>
  <c r="G8106" i="32"/>
  <c r="G8108" i="32"/>
  <c r="G8110" i="32"/>
  <c r="G8112" i="32"/>
  <c r="G8114" i="32"/>
  <c r="G8116" i="32"/>
  <c r="G8122" i="32"/>
  <c r="G8124" i="32"/>
  <c r="G8126" i="32"/>
  <c r="G8128" i="32"/>
  <c r="G8136" i="32"/>
  <c r="G8138" i="32"/>
  <c r="G8140" i="32"/>
  <c r="G8143" i="32"/>
  <c r="G8145" i="32"/>
  <c r="G8150" i="32"/>
  <c r="G8158" i="32"/>
  <c r="G8161" i="32"/>
  <c r="G8165" i="32"/>
  <c r="G8167" i="32"/>
  <c r="G8169" i="32"/>
  <c r="G8171" i="32"/>
  <c r="G8173" i="32"/>
  <c r="G8175" i="32"/>
  <c r="G8177" i="32"/>
  <c r="G8179" i="32"/>
  <c r="G6272" i="32"/>
  <c r="G6468" i="32"/>
  <c r="G15" i="32"/>
  <c r="G16" i="32"/>
  <c r="G17" i="32"/>
  <c r="G18" i="32"/>
  <c r="G19" i="32"/>
  <c r="G20" i="32"/>
  <c r="G21" i="32"/>
  <c r="G22" i="32"/>
  <c r="G23" i="32"/>
  <c r="G24" i="32"/>
  <c r="G25" i="32"/>
  <c r="G26" i="32"/>
  <c r="G27" i="32"/>
  <c r="G28" i="32"/>
  <c r="G29" i="32"/>
  <c r="G30" i="32"/>
  <c r="G31" i="32"/>
  <c r="G32" i="32"/>
  <c r="G33" i="32"/>
  <c r="G34" i="32"/>
  <c r="G35" i="32"/>
  <c r="G36" i="32"/>
  <c r="G37" i="32"/>
  <c r="G38" i="32"/>
  <c r="G39" i="32"/>
  <c r="G40" i="32"/>
  <c r="G41" i="32"/>
  <c r="G42" i="32"/>
  <c r="G43" i="32"/>
  <c r="G44" i="32"/>
  <c r="G45" i="32"/>
  <c r="G46" i="32"/>
  <c r="G47" i="32"/>
  <c r="G48" i="32"/>
  <c r="G49" i="32"/>
  <c r="G50" i="32"/>
  <c r="G51" i="32"/>
  <c r="G52" i="32"/>
  <c r="G54" i="32"/>
  <c r="G55" i="32"/>
  <c r="G56" i="32"/>
  <c r="G58" i="32"/>
  <c r="G61" i="32"/>
  <c r="G63" i="32"/>
  <c r="G65" i="32"/>
  <c r="G67" i="32"/>
  <c r="G70" i="32"/>
  <c r="G72" i="32"/>
  <c r="G75" i="32"/>
  <c r="G77" i="32"/>
  <c r="G79" i="32"/>
  <c r="G81" i="32"/>
  <c r="G83" i="32"/>
  <c r="G90" i="32"/>
  <c r="G92" i="32"/>
  <c r="G97" i="32"/>
  <c r="G101" i="32"/>
  <c r="G103" i="32"/>
  <c r="G105" i="32"/>
  <c r="G109" i="32"/>
  <c r="G111" i="32"/>
  <c r="G113" i="32"/>
  <c r="G118" i="32"/>
  <c r="G120" i="32"/>
  <c r="G126" i="32"/>
  <c r="G128" i="32"/>
  <c r="G130" i="32"/>
  <c r="G132" i="32"/>
  <c r="G135" i="32"/>
  <c r="G139" i="32"/>
  <c r="G141" i="32"/>
  <c r="G143" i="32"/>
  <c r="G146" i="32"/>
  <c r="G148" i="32"/>
  <c r="G157" i="32"/>
  <c r="G159" i="32"/>
  <c r="G162" i="32"/>
  <c r="G164" i="32"/>
  <c r="G166" i="32"/>
  <c r="G168" i="32"/>
  <c r="G173" i="32"/>
  <c r="G175" i="32"/>
  <c r="G177" i="32"/>
  <c r="G205" i="32"/>
  <c r="G207" i="32"/>
  <c r="G209" i="32"/>
  <c r="G211" i="32"/>
  <c r="G213" i="32"/>
  <c r="G215" i="32"/>
  <c r="G217" i="32"/>
  <c r="G219" i="32"/>
  <c r="G221" i="32"/>
  <c r="G223" i="32"/>
  <c r="G225" i="32"/>
  <c r="G227" i="32"/>
  <c r="G229" i="32"/>
  <c r="G231" i="32"/>
  <c r="G233" i="32"/>
  <c r="G235" i="32"/>
  <c r="G237" i="32"/>
  <c r="G239" i="32"/>
  <c r="G241" i="32"/>
  <c r="G243" i="32"/>
  <c r="G245" i="32"/>
  <c r="G247" i="32"/>
  <c r="G256" i="32"/>
  <c r="G258" i="32"/>
  <c r="G261" i="32"/>
  <c r="G263" i="32"/>
  <c r="G265" i="32"/>
  <c r="G267" i="32"/>
  <c r="G269" i="32"/>
  <c r="G272" i="32"/>
  <c r="G274" i="32"/>
  <c r="G276" i="32"/>
  <c r="G278" i="32"/>
  <c r="G280" i="32"/>
  <c r="G289" i="32"/>
  <c r="G292" i="32"/>
  <c r="G294" i="32"/>
  <c r="G296" i="32"/>
  <c r="G298" i="32"/>
  <c r="G302" i="32"/>
  <c r="G304" i="32"/>
  <c r="G306" i="32"/>
  <c r="G308" i="32"/>
  <c r="G310" i="32"/>
  <c r="G312" i="32"/>
  <c r="G313" i="32"/>
  <c r="G314" i="32"/>
  <c r="G315" i="32"/>
  <c r="G316" i="32"/>
  <c r="G317" i="32"/>
  <c r="G318" i="32"/>
  <c r="G319" i="32"/>
  <c r="G320" i="32"/>
  <c r="G321" i="32"/>
  <c r="G322" i="32"/>
  <c r="G323" i="32"/>
  <c r="G324" i="32"/>
  <c r="G325" i="32"/>
  <c r="G326" i="32"/>
  <c r="G327" i="32"/>
  <c r="G328" i="32"/>
  <c r="G329" i="32"/>
  <c r="G330" i="32"/>
  <c r="G331" i="32"/>
  <c r="G332" i="32"/>
  <c r="G333" i="32"/>
  <c r="G334" i="32"/>
  <c r="G335" i="32"/>
  <c r="G336" i="32"/>
  <c r="G337" i="32"/>
  <c r="G338" i="32"/>
  <c r="G339" i="32"/>
  <c r="G340" i="32"/>
  <c r="G341" i="32"/>
  <c r="G342" i="32"/>
  <c r="G343" i="32"/>
  <c r="G344" i="32"/>
  <c r="G345" i="32"/>
  <c r="G346" i="32"/>
  <c r="G347" i="32"/>
  <c r="G348" i="32"/>
  <c r="G349" i="32"/>
  <c r="G350" i="32"/>
  <c r="G351" i="32"/>
  <c r="G352" i="32"/>
  <c r="G472" i="32"/>
  <c r="G478" i="32"/>
  <c r="G481" i="32"/>
  <c r="G484" i="32"/>
  <c r="G488" i="32"/>
  <c r="G494" i="32"/>
  <c r="G497" i="32"/>
  <c r="G502" i="32"/>
  <c r="G518" i="32"/>
  <c r="G520" i="32"/>
  <c r="G529" i="32"/>
  <c r="G531" i="32"/>
  <c r="G533" i="32"/>
  <c r="G535" i="32"/>
  <c r="G537" i="32"/>
  <c r="G538" i="32"/>
  <c r="G539" i="32"/>
  <c r="G540" i="32"/>
  <c r="G541" i="32"/>
  <c r="G542" i="32"/>
  <c r="G543" i="32"/>
  <c r="G544" i="32"/>
  <c r="G545" i="32"/>
  <c r="G546" i="32"/>
  <c r="G547" i="32"/>
  <c r="G548" i="32"/>
  <c r="G549" i="32"/>
  <c r="G550" i="32"/>
  <c r="G551" i="32"/>
  <c r="G552" i="32"/>
  <c r="G553" i="32"/>
  <c r="G554" i="32"/>
  <c r="G555" i="32"/>
  <c r="G556" i="32"/>
  <c r="G557" i="32"/>
  <c r="G558" i="32"/>
  <c r="G559" i="32"/>
  <c r="G560" i="32"/>
  <c r="G561" i="32"/>
  <c r="G562" i="32"/>
  <c r="G563" i="32"/>
  <c r="G564" i="32"/>
  <c r="G565" i="32"/>
  <c r="G566" i="32"/>
  <c r="G567" i="32"/>
  <c r="G568" i="32"/>
  <c r="G569" i="32"/>
  <c r="G570" i="32"/>
  <c r="G571" i="32"/>
  <c r="G572" i="32"/>
  <c r="G573" i="32"/>
  <c r="G574" i="32"/>
  <c r="G575" i="32"/>
  <c r="G576" i="32"/>
  <c r="G577" i="32"/>
  <c r="G578" i="32"/>
  <c r="G579" i="32"/>
  <c r="G580" i="32"/>
  <c r="G581" i="32"/>
  <c r="G582" i="32"/>
  <c r="G583" i="32"/>
  <c r="G584" i="32"/>
  <c r="G585" i="32"/>
  <c r="G586" i="32"/>
  <c r="G587" i="32"/>
  <c r="G588" i="32"/>
  <c r="G589" i="32"/>
  <c r="G590" i="32"/>
  <c r="G591" i="32"/>
  <c r="G592" i="32"/>
  <c r="G593" i="32"/>
  <c r="G594" i="32"/>
  <c r="G595" i="32"/>
  <c r="G596" i="32"/>
  <c r="G597" i="32"/>
  <c r="G598" i="32"/>
  <c r="G599" i="32"/>
  <c r="G600" i="32"/>
  <c r="G601" i="32"/>
  <c r="G602" i="32"/>
  <c r="G603" i="32"/>
  <c r="G604" i="32"/>
  <c r="G605" i="32"/>
  <c r="G606" i="32"/>
  <c r="G607" i="32"/>
  <c r="G608" i="32"/>
  <c r="G609" i="32"/>
  <c r="G610" i="32"/>
  <c r="G611" i="32"/>
  <c r="G612" i="32"/>
  <c r="G613" i="32"/>
  <c r="G614" i="32"/>
  <c r="G615" i="32"/>
  <c r="G616" i="32"/>
  <c r="G617" i="32"/>
  <c r="G618" i="32"/>
  <c r="G619" i="32"/>
  <c r="G620" i="32"/>
  <c r="G621" i="32"/>
  <c r="G622" i="32"/>
  <c r="G623" i="32"/>
  <c r="G624" i="32"/>
  <c r="G625" i="32"/>
  <c r="G626" i="32"/>
  <c r="G627" i="32"/>
  <c r="G628" i="32"/>
  <c r="G629" i="32"/>
  <c r="G631" i="32"/>
  <c r="G633" i="32"/>
  <c r="G635" i="32"/>
  <c r="G637" i="32"/>
  <c r="G639" i="32"/>
  <c r="G641" i="32"/>
  <c r="G643" i="32"/>
  <c r="G646" i="32"/>
  <c r="G650" i="32"/>
  <c r="G652" i="32"/>
  <c r="G660" i="32"/>
  <c r="G662" i="32"/>
  <c r="G664" i="32"/>
  <c r="G669" i="32"/>
  <c r="G681" i="32"/>
  <c r="G683" i="32"/>
  <c r="G690" i="32"/>
  <c r="G692" i="32"/>
  <c r="G694" i="32"/>
  <c r="G696" i="32"/>
  <c r="G708" i="32"/>
  <c r="G711" i="32"/>
  <c r="G713" i="32"/>
  <c r="G715" i="32"/>
  <c r="G717" i="32"/>
  <c r="G719" i="32"/>
  <c r="G722" i="32"/>
  <c r="G724" i="32"/>
  <c r="G726" i="32"/>
  <c r="G728" i="32"/>
  <c r="G734" i="32"/>
  <c r="G737" i="32"/>
  <c r="G746" i="32"/>
  <c r="G748" i="32"/>
  <c r="G750" i="32"/>
  <c r="G752" i="32"/>
  <c r="G755" i="32"/>
  <c r="G757" i="32"/>
  <c r="G761" i="32"/>
  <c r="G764" i="32"/>
  <c r="G772" i="32"/>
  <c r="G778" i="32"/>
  <c r="G780" i="32"/>
  <c r="G782" i="32"/>
  <c r="G785" i="32"/>
  <c r="G787" i="32"/>
  <c r="G794" i="32"/>
  <c r="G798" i="32"/>
  <c r="G802" i="32"/>
  <c r="G804" i="32"/>
  <c r="G810" i="32"/>
  <c r="G812" i="32"/>
  <c r="G815" i="32"/>
  <c r="G817" i="32"/>
  <c r="G819" i="32"/>
  <c r="G822" i="32"/>
  <c r="G824" i="32"/>
  <c r="G830" i="32"/>
  <c r="G833" i="32"/>
  <c r="G835" i="32"/>
  <c r="G837" i="32"/>
  <c r="G839" i="32"/>
  <c r="G841" i="32"/>
  <c r="G849" i="32"/>
  <c r="G1019" i="32"/>
  <c r="G1021" i="32"/>
  <c r="G1023" i="32"/>
  <c r="G1025" i="32"/>
  <c r="G1027" i="32"/>
  <c r="G1028" i="32"/>
  <c r="G1030" i="32"/>
  <c r="G1032" i="32"/>
  <c r="G1034" i="32"/>
  <c r="G1036" i="32"/>
  <c r="G1038" i="32"/>
  <c r="G1040" i="32"/>
  <c r="G1042" i="32"/>
  <c r="G1044" i="32"/>
  <c r="G1046" i="32"/>
  <c r="G1048" i="32"/>
  <c r="G1050" i="32"/>
  <c r="G1052" i="32"/>
  <c r="G1054" i="32"/>
  <c r="G1055" i="32"/>
  <c r="G1056" i="32"/>
  <c r="G1057" i="32"/>
  <c r="G1058" i="32"/>
  <c r="G1059" i="32"/>
  <c r="G1060" i="32"/>
  <c r="G1061" i="32"/>
  <c r="G1062" i="32"/>
  <c r="G1063" i="32"/>
  <c r="G1064" i="32"/>
  <c r="G1065" i="32"/>
  <c r="G1066" i="32"/>
  <c r="G1067" i="32"/>
  <c r="G1068" i="32"/>
  <c r="G1070" i="32"/>
  <c r="G1072" i="32"/>
  <c r="G1074" i="32"/>
  <c r="G1076" i="32"/>
  <c r="G1079" i="32"/>
  <c r="G1081" i="32"/>
  <c r="G1082" i="32"/>
  <c r="G1084" i="32"/>
  <c r="G1086" i="32"/>
  <c r="G1088" i="32"/>
  <c r="G1090" i="32"/>
  <c r="G1092" i="32"/>
  <c r="G1093" i="32"/>
  <c r="G1094" i="32"/>
  <c r="G1097" i="32"/>
  <c r="G1098" i="32"/>
  <c r="G1100" i="32"/>
  <c r="G1101" i="32"/>
  <c r="G1103" i="32"/>
  <c r="G1105" i="32"/>
  <c r="G1107" i="32"/>
  <c r="G1109" i="32"/>
  <c r="G1111" i="32"/>
  <c r="G1113" i="32"/>
  <c r="G1115" i="32"/>
  <c r="G1116" i="32"/>
  <c r="G1117" i="32"/>
  <c r="G1118" i="32"/>
  <c r="G1119" i="32"/>
  <c r="G1122" i="32"/>
  <c r="G1126" i="32"/>
  <c r="G1128" i="32"/>
  <c r="G1131" i="32"/>
  <c r="G1134" i="32"/>
  <c r="G1136" i="32"/>
  <c r="G1139" i="32"/>
  <c r="G1143" i="32"/>
  <c r="G1147" i="32"/>
  <c r="G1149" i="32"/>
  <c r="G1151" i="32"/>
  <c r="G1153" i="32"/>
  <c r="G1155" i="32"/>
  <c r="G1159" i="32"/>
  <c r="G1163" i="32"/>
  <c r="G1165" i="32"/>
  <c r="G1167" i="32"/>
  <c r="G1170" i="32"/>
  <c r="G1172" i="32"/>
  <c r="G1176" i="32"/>
  <c r="G1181" i="32"/>
  <c r="G1185" i="32"/>
  <c r="G1187" i="32"/>
  <c r="G1190" i="32"/>
  <c r="G1194" i="32"/>
  <c r="G1198" i="32"/>
  <c r="G1200" i="32"/>
  <c r="G1203" i="32"/>
  <c r="G1206" i="32"/>
  <c r="G1209" i="32"/>
  <c r="G1212" i="32"/>
  <c r="G1215" i="32"/>
  <c r="G1218" i="32"/>
  <c r="G1221" i="32"/>
  <c r="G1224" i="32"/>
  <c r="G1227" i="32"/>
  <c r="G1232" i="32"/>
  <c r="G1237" i="32"/>
  <c r="G1240" i="32"/>
  <c r="G1242" i="32"/>
  <c r="G1245" i="32"/>
  <c r="G1248" i="32"/>
  <c r="G1250" i="32"/>
  <c r="G1252" i="32"/>
  <c r="G1255" i="32"/>
  <c r="G1257" i="32"/>
  <c r="G1261" i="32"/>
  <c r="G1264" i="32"/>
  <c r="G1269" i="32"/>
  <c r="G1270" i="32"/>
  <c r="G1275" i="32"/>
  <c r="G1278" i="32"/>
  <c r="G1279" i="32"/>
  <c r="G1281" i="32"/>
  <c r="G1284" i="32"/>
  <c r="G1286" i="32"/>
  <c r="G1290" i="32"/>
  <c r="G1292" i="32"/>
  <c r="G1296" i="32"/>
  <c r="G1299" i="32"/>
  <c r="G1301" i="32"/>
  <c r="G1305" i="32"/>
  <c r="G1309" i="32"/>
  <c r="G1312" i="32"/>
  <c r="G1315" i="32"/>
  <c r="G1318" i="32"/>
  <c r="G1321" i="32"/>
  <c r="G1325" i="32"/>
  <c r="G1327" i="32"/>
  <c r="G1330" i="32"/>
  <c r="G1334" i="32"/>
  <c r="G1336" i="32"/>
  <c r="G1338" i="32"/>
  <c r="G1341" i="32"/>
  <c r="G1342" i="32"/>
  <c r="G1346" i="32"/>
  <c r="G1349" i="32"/>
  <c r="G1353" i="32"/>
  <c r="G1354" i="32"/>
  <c r="G1357" i="32"/>
  <c r="G1359" i="32"/>
  <c r="G1362" i="32"/>
  <c r="G1365" i="32"/>
  <c r="G1368" i="32"/>
  <c r="G1372" i="32"/>
  <c r="G1373" i="32"/>
  <c r="G1377" i="32"/>
  <c r="G1380" i="32"/>
  <c r="G1384" i="32"/>
  <c r="G1389" i="32"/>
  <c r="G1391" i="32"/>
  <c r="G1393" i="32"/>
  <c r="G1395" i="32"/>
  <c r="G1397" i="32"/>
  <c r="G1401" i="32"/>
  <c r="G1403" i="32"/>
  <c r="G1405" i="32"/>
  <c r="G1410" i="32"/>
  <c r="G1411" i="32"/>
  <c r="G1414" i="32"/>
  <c r="G1418" i="32"/>
  <c r="G1419" i="32"/>
  <c r="G1422" i="32"/>
  <c r="G1426" i="32"/>
  <c r="G1428" i="32"/>
  <c r="G1430" i="32"/>
  <c r="G1432" i="32"/>
  <c r="G1436" i="32"/>
  <c r="G1438" i="32"/>
  <c r="G1440" i="32"/>
  <c r="G1442" i="32"/>
  <c r="G1446" i="32"/>
  <c r="G1448" i="32"/>
  <c r="G1450" i="32"/>
  <c r="G1452" i="32"/>
  <c r="G1455" i="32"/>
  <c r="G1459" i="32"/>
  <c r="G1462" i="32"/>
  <c r="G1464" i="32"/>
  <c r="G1466" i="32"/>
  <c r="G1468" i="32"/>
  <c r="G1472" i="32"/>
  <c r="G1475" i="32"/>
  <c r="G1477" i="32"/>
  <c r="G1479" i="32"/>
  <c r="G1481" i="32"/>
  <c r="G1485" i="32"/>
  <c r="G1486" i="32"/>
  <c r="G1488" i="32"/>
  <c r="G1492" i="32"/>
  <c r="G1494" i="32"/>
  <c r="G1498" i="32"/>
  <c r="G1502" i="32"/>
  <c r="G1505" i="32"/>
  <c r="G1510" i="32"/>
  <c r="G1514" i="32"/>
  <c r="G1516" i="32"/>
  <c r="G1520" i="32"/>
  <c r="G1521" i="32"/>
  <c r="G1525" i="32"/>
  <c r="G1528" i="32"/>
  <c r="G1530" i="32"/>
  <c r="G1533" i="32"/>
  <c r="G1538" i="32"/>
  <c r="G1541" i="32"/>
  <c r="G1545" i="32"/>
  <c r="G1548" i="32"/>
  <c r="G1551" i="32"/>
  <c r="G1553" i="32"/>
  <c r="G1556" i="32"/>
  <c r="G1557" i="32"/>
  <c r="G1560" i="32"/>
  <c r="G1562" i="32"/>
  <c r="G1565" i="32"/>
  <c r="G1566" i="32"/>
  <c r="G1570" i="32"/>
  <c r="G1572" i="32"/>
  <c r="G1574" i="32"/>
  <c r="G1576" i="32"/>
  <c r="G1578" i="32"/>
  <c r="G1580" i="32"/>
  <c r="G1582" i="32"/>
  <c r="G1584" i="32"/>
  <c r="G1586" i="32"/>
  <c r="G1588" i="32"/>
  <c r="G1590" i="32"/>
  <c r="G1592" i="32"/>
  <c r="G1593" i="32"/>
  <c r="G1595" i="32"/>
  <c r="G1597" i="32"/>
  <c r="G1599" i="32"/>
  <c r="G1600" i="32"/>
  <c r="G1601" i="32"/>
  <c r="G1603" i="32"/>
  <c r="G1605" i="32"/>
  <c r="G1607" i="32"/>
  <c r="G1609" i="32"/>
  <c r="G1611" i="32"/>
  <c r="G1613" i="32"/>
  <c r="G1615" i="32"/>
  <c r="G1617" i="32"/>
  <c r="G1618" i="32"/>
  <c r="G1620" i="32"/>
  <c r="G1622" i="32"/>
  <c r="G1624" i="32"/>
  <c r="G1628" i="32"/>
  <c r="G1631" i="32"/>
  <c r="G1635" i="32"/>
  <c r="G1637" i="32"/>
  <c r="G1640" i="32"/>
  <c r="G1643" i="32"/>
  <c r="G1645" i="32"/>
  <c r="G1647" i="32"/>
  <c r="G1650" i="32"/>
  <c r="G1652" i="32"/>
  <c r="G1655" i="32"/>
  <c r="G1658" i="32"/>
  <c r="G1662" i="32"/>
  <c r="G1666" i="32"/>
  <c r="G1670" i="32"/>
  <c r="G1673" i="32"/>
  <c r="G1676" i="32"/>
  <c r="G1681" i="32"/>
  <c r="G1684" i="32"/>
  <c r="G1686" i="32"/>
  <c r="G2497" i="32"/>
  <c r="G2503" i="32"/>
  <c r="G2506" i="32"/>
  <c r="G2508" i="32"/>
  <c r="G2514" i="32"/>
  <c r="G2519" i="32"/>
  <c r="G2523" i="32"/>
  <c r="G2527" i="32"/>
  <c r="G2530" i="32"/>
  <c r="G2534" i="32"/>
  <c r="G2536" i="32"/>
  <c r="G2542" i="32"/>
  <c r="G2548" i="32"/>
  <c r="G2552" i="32"/>
  <c r="G2554" i="32"/>
  <c r="G2556" i="32"/>
  <c r="G2560" i="32"/>
  <c r="G2565" i="32"/>
  <c r="G2569" i="32"/>
  <c r="G2571" i="32"/>
  <c r="G2576" i="32"/>
  <c r="G2581" i="32"/>
  <c r="G2587" i="32"/>
  <c r="G2591" i="32"/>
  <c r="G2598" i="32"/>
  <c r="G2604" i="32"/>
  <c r="G2609" i="32"/>
  <c r="G2614" i="32"/>
  <c r="G2617" i="32"/>
  <c r="G2621" i="32"/>
  <c r="G2623" i="32"/>
  <c r="G2628" i="32"/>
  <c r="G2630" i="32"/>
  <c r="G2632" i="32"/>
  <c r="G2636" i="32"/>
  <c r="G2639" i="32"/>
  <c r="G2644" i="32"/>
  <c r="G2646" i="32"/>
  <c r="G2650" i="32"/>
  <c r="G2653" i="32"/>
  <c r="G2661" i="32"/>
  <c r="G2664" i="32"/>
  <c r="G2666" i="32"/>
  <c r="G2670" i="32"/>
  <c r="G2674" i="32"/>
  <c r="G2677" i="32"/>
  <c r="G2679" i="32"/>
  <c r="G2681" i="32"/>
  <c r="G2684" i="32"/>
  <c r="G2688" i="32"/>
  <c r="G2694" i="32"/>
  <c r="G2696" i="32"/>
  <c r="G2698" i="32"/>
  <c r="G2700" i="32"/>
  <c r="G2707" i="32"/>
  <c r="G2709" i="32"/>
  <c r="G2713" i="32"/>
  <c r="G2715" i="32"/>
  <c r="G2721" i="32"/>
  <c r="G2723" i="32"/>
  <c r="G2726" i="32"/>
  <c r="G2728" i="32"/>
  <c r="G2731" i="32"/>
  <c r="G2735" i="32"/>
  <c r="G2737" i="32"/>
  <c r="G2739" i="32"/>
  <c r="G2746" i="32"/>
  <c r="G2750" i="32"/>
  <c r="G2752" i="32"/>
  <c r="G2757" i="32"/>
  <c r="G2759" i="32"/>
  <c r="G2763" i="32"/>
  <c r="G2767" i="32"/>
  <c r="G2771" i="32"/>
  <c r="G2864" i="32"/>
  <c r="G2866" i="32"/>
  <c r="G2869" i="32"/>
  <c r="G2875" i="32"/>
  <c r="G2880" i="32"/>
  <c r="G2885" i="32"/>
  <c r="G2887" i="32"/>
  <c r="G2890" i="32"/>
  <c r="G2894" i="32"/>
  <c r="G2901" i="32"/>
  <c r="G2904" i="32"/>
  <c r="G2909" i="32"/>
  <c r="G2913" i="32"/>
  <c r="G2919" i="32"/>
  <c r="G2924" i="32"/>
  <c r="G2930" i="32"/>
  <c r="G2932" i="32"/>
  <c r="G2937" i="32"/>
  <c r="G2941" i="32"/>
  <c r="G2943" i="32"/>
  <c r="G2949" i="32"/>
  <c r="G2951" i="32"/>
  <c r="G2954" i="32"/>
  <c r="G2956" i="32"/>
  <c r="G2959" i="32"/>
  <c r="G2961" i="32"/>
  <c r="G2965" i="32"/>
  <c r="G2970" i="32"/>
  <c r="G2974" i="32"/>
  <c r="G2977" i="32"/>
  <c r="G2981" i="32"/>
  <c r="G2985" i="32"/>
  <c r="G2987" i="32"/>
  <c r="G2993" i="32"/>
  <c r="G2996" i="32"/>
  <c r="G3000" i="32"/>
  <c r="G3005" i="32"/>
  <c r="G3010" i="32"/>
  <c r="G3013" i="32"/>
  <c r="G3017" i="32"/>
  <c r="G3020" i="32"/>
  <c r="G3024" i="32"/>
  <c r="G3026" i="32"/>
  <c r="G3029" i="32"/>
  <c r="G3031" i="32"/>
  <c r="G3033" i="32"/>
  <c r="G3035" i="32"/>
  <c r="G3038" i="32"/>
  <c r="G3042" i="32"/>
  <c r="G3044" i="32"/>
  <c r="G3048" i="32"/>
  <c r="G3051" i="32"/>
  <c r="G3053" i="32"/>
  <c r="G3057" i="32"/>
  <c r="G3061" i="32"/>
  <c r="G3065" i="32"/>
  <c r="G3073" i="32"/>
  <c r="G3076" i="32"/>
  <c r="G3081" i="32"/>
  <c r="G3086" i="32"/>
  <c r="G3091" i="32"/>
  <c r="G3094" i="32"/>
  <c r="G3096" i="32"/>
  <c r="G3098" i="32"/>
  <c r="G3103" i="32"/>
  <c r="G3108" i="32"/>
  <c r="G3112" i="32"/>
  <c r="G3115" i="32"/>
  <c r="G3117" i="32"/>
  <c r="G3119" i="32"/>
  <c r="G3121" i="32"/>
  <c r="G3123" i="32"/>
  <c r="G3125" i="32"/>
  <c r="G3127" i="32"/>
  <c r="G3129" i="32"/>
  <c r="G3131" i="32"/>
  <c r="G3133" i="32"/>
  <c r="G3135" i="32"/>
  <c r="G3137" i="32"/>
  <c r="G3139" i="32"/>
  <c r="G3141" i="32"/>
  <c r="G3143" i="32"/>
  <c r="G3145" i="32"/>
  <c r="G3147" i="32"/>
  <c r="G3149" i="32"/>
  <c r="G3151" i="32"/>
  <c r="G3153" i="32"/>
  <c r="G3155" i="32"/>
  <c r="G3157" i="32"/>
  <c r="G3159" i="32"/>
  <c r="G3161" i="32"/>
  <c r="G3163" i="32"/>
  <c r="G3165" i="32"/>
  <c r="G3167" i="32"/>
  <c r="G3169" i="32"/>
  <c r="G3171" i="32"/>
  <c r="G3173" i="32"/>
  <c r="G3177" i="32"/>
  <c r="G3180" i="32"/>
  <c r="G3182" i="32"/>
  <c r="G3185" i="32"/>
  <c r="G3189" i="32"/>
  <c r="G3192" i="32"/>
  <c r="G3194" i="32"/>
  <c r="G3196" i="32"/>
  <c r="G3199" i="32"/>
  <c r="G3201" i="32"/>
  <c r="G3205" i="32"/>
  <c r="G3209" i="32"/>
  <c r="G3211" i="32"/>
  <c r="G3214" i="32"/>
  <c r="G3218" i="32"/>
  <c r="G3220" i="32"/>
  <c r="G3225" i="32"/>
  <c r="G3228" i="32"/>
  <c r="G3232" i="32"/>
  <c r="G3234" i="32"/>
  <c r="G3239" i="32"/>
  <c r="G3242" i="32"/>
  <c r="G3244" i="32"/>
  <c r="G3246" i="32"/>
  <c r="G3250" i="32"/>
  <c r="G3257" i="32"/>
  <c r="G3261" i="32"/>
  <c r="G3265" i="32"/>
  <c r="G3267" i="32"/>
  <c r="G3271" i="32"/>
  <c r="G3276" i="32"/>
  <c r="G3282" i="32"/>
  <c r="G3287" i="32"/>
  <c r="G3292" i="32"/>
  <c r="G3295" i="32"/>
  <c r="G3299" i="32"/>
  <c r="G3310" i="32"/>
  <c r="G3315" i="32"/>
  <c r="G3318" i="32"/>
  <c r="G3320" i="32"/>
  <c r="G3326" i="32"/>
  <c r="G3330" i="32"/>
  <c r="G3332" i="32"/>
  <c r="G3338" i="32"/>
  <c r="G3341" i="32"/>
  <c r="G3346" i="32"/>
  <c r="G3350" i="32"/>
  <c r="G3352" i="32"/>
  <c r="G3356" i="32"/>
  <c r="G3361" i="32"/>
  <c r="G3363" i="32"/>
  <c r="G3370" i="32"/>
  <c r="G3372" i="32"/>
  <c r="G3942" i="32"/>
  <c r="G3956" i="32"/>
  <c r="G3960" i="32"/>
  <c r="G3964" i="32"/>
  <c r="G3966" i="32"/>
  <c r="G3973" i="32"/>
  <c r="G3975" i="32"/>
  <c r="G3979" i="32"/>
  <c r="G3984" i="32"/>
  <c r="G3989" i="32"/>
  <c r="G3992" i="32"/>
  <c r="G3995" i="32"/>
  <c r="G4003" i="32"/>
  <c r="G4013" i="32"/>
  <c r="G4020" i="32"/>
  <c r="G4031" i="32"/>
  <c r="G4033" i="32"/>
  <c r="G4036" i="32"/>
  <c r="G4038" i="32"/>
  <c r="G4045" i="32"/>
  <c r="G4057" i="32"/>
  <c r="G4073" i="32"/>
  <c r="G4077" i="32"/>
  <c r="G4080" i="32"/>
  <c r="G4086" i="32"/>
  <c r="G4096" i="32"/>
  <c r="G4100" i="32"/>
  <c r="G4109" i="32"/>
  <c r="G4112" i="32"/>
  <c r="G4122" i="32"/>
  <c r="G4126" i="32"/>
  <c r="G4140" i="32"/>
  <c r="G4147" i="32"/>
  <c r="G4162" i="32"/>
  <c r="G4169" i="32"/>
  <c r="G4178" i="32"/>
  <c r="G4188" i="32"/>
  <c r="G4191" i="32"/>
  <c r="G4193" i="32"/>
  <c r="G4196" i="32"/>
  <c r="G4198" i="32"/>
  <c r="G4203" i="32"/>
  <c r="G4208" i="32"/>
  <c r="G4212" i="32"/>
  <c r="G4216" i="32"/>
  <c r="G4218" i="32"/>
  <c r="G4220" i="32"/>
  <c r="G4222" i="32"/>
  <c r="G4226" i="32"/>
  <c r="G4228" i="32"/>
  <c r="G4235" i="32"/>
  <c r="G4237" i="32"/>
  <c r="G4246" i="32"/>
  <c r="G4257" i="32"/>
  <c r="G4260" i="32"/>
  <c r="G4266" i="32"/>
  <c r="G4271" i="32"/>
  <c r="G4274" i="32"/>
  <c r="G4279" i="32"/>
  <c r="G4301" i="32"/>
  <c r="G4306" i="32"/>
  <c r="G4309" i="32"/>
  <c r="G4313" i="32"/>
  <c r="G4318" i="32"/>
  <c r="G4324" i="32"/>
  <c r="G4330" i="32"/>
  <c r="G4342" i="32"/>
  <c r="G4348" i="32"/>
  <c r="G4351" i="32"/>
  <c r="G4353" i="32"/>
  <c r="G4356" i="32"/>
  <c r="G4358" i="32"/>
  <c r="G4362" i="32"/>
  <c r="G4368" i="32"/>
  <c r="G4373" i="32"/>
  <c r="G4381" i="32"/>
  <c r="G4390" i="32"/>
  <c r="G4392" i="32"/>
  <c r="G4405" i="32"/>
  <c r="G4414" i="32"/>
  <c r="G4434" i="32"/>
  <c r="G4438" i="32"/>
  <c r="G4443" i="32"/>
  <c r="G4466" i="32"/>
  <c r="G4471" i="32"/>
  <c r="G4473" i="32"/>
  <c r="G4476" i="32"/>
  <c r="G4488" i="32"/>
  <c r="G4494" i="32"/>
  <c r="G4503" i="32"/>
  <c r="G4508" i="32"/>
  <c r="G4510" i="32"/>
  <c r="G4514" i="32"/>
  <c r="G4544" i="32"/>
  <c r="G4555" i="32"/>
  <c r="G4562" i="32"/>
  <c r="G4571" i="32"/>
  <c r="G4578" i="32"/>
  <c r="G4584" i="32"/>
  <c r="G4586" i="32"/>
  <c r="G4594" i="32"/>
  <c r="G4600" i="32"/>
  <c r="G4604" i="32"/>
  <c r="G4612" i="32"/>
  <c r="G4614" i="32"/>
  <c r="G4623" i="32"/>
  <c r="G4631" i="32"/>
  <c r="G4634" i="32"/>
  <c r="G4640" i="32"/>
  <c r="G4642" i="32"/>
  <c r="G4652" i="32"/>
  <c r="G4654" i="32"/>
  <c r="G4667" i="32"/>
  <c r="G4701" i="32"/>
  <c r="G4706" i="32"/>
  <c r="G4713" i="32"/>
  <c r="G4726" i="32"/>
  <c r="G4740" i="32"/>
  <c r="G4742" i="32"/>
  <c r="G4749" i="32"/>
  <c r="G4753" i="32"/>
  <c r="G4755" i="32"/>
  <c r="G4771" i="32"/>
  <c r="G4775" i="32"/>
  <c r="G4778" i="32"/>
  <c r="G4782" i="32"/>
  <c r="G4806" i="32"/>
  <c r="G4812" i="32"/>
  <c r="G4830" i="32"/>
  <c r="G4834" i="32"/>
  <c r="G4853" i="32"/>
  <c r="G4857" i="32"/>
  <c r="G4863" i="32"/>
  <c r="G4869" i="32"/>
  <c r="G4873" i="32"/>
  <c r="G4877" i="32"/>
  <c r="G4887" i="32"/>
  <c r="G4890" i="32"/>
  <c r="G4894" i="32"/>
  <c r="G4899" i="32"/>
  <c r="G4903" i="32"/>
  <c r="G4907" i="32"/>
  <c r="G4912" i="32"/>
  <c r="G4922" i="32"/>
  <c r="G4926" i="32"/>
  <c r="G4930" i="32"/>
  <c r="G4942" i="32"/>
  <c r="G4948" i="32"/>
  <c r="G4952" i="32"/>
  <c r="G4954" i="32"/>
  <c r="G4960" i="32"/>
  <c r="G4966" i="32"/>
  <c r="G4973" i="32"/>
  <c r="G4983" i="32"/>
  <c r="G4996" i="32"/>
  <c r="G4998" i="32"/>
  <c r="G5003" i="32"/>
  <c r="G5018" i="32"/>
  <c r="G5029" i="32"/>
  <c r="G5038" i="32"/>
  <c r="G5047" i="32"/>
  <c r="G5049" i="32"/>
  <c r="G5054" i="32"/>
  <c r="G6148" i="32"/>
  <c r="G6164" i="32"/>
  <c r="G6165" i="32"/>
  <c r="G6171" i="32"/>
  <c r="G6195" i="32"/>
  <c r="G6196" i="32"/>
  <c r="G6213" i="32"/>
  <c r="G6218" i="32"/>
  <c r="G6225" i="32"/>
  <c r="G6257" i="32"/>
  <c r="G6264" i="32"/>
  <c r="G6267" i="32"/>
  <c r="G6285" i="32"/>
  <c r="G6294" i="32"/>
  <c r="G6335" i="32"/>
  <c r="G6353" i="32"/>
  <c r="G6365" i="32"/>
  <c r="G6371" i="32"/>
  <c r="G6380" i="32"/>
  <c r="G6393" i="32"/>
  <c r="G6401" i="32"/>
  <c r="G6429" i="32"/>
  <c r="G6436" i="32"/>
  <c r="G6444" i="32"/>
  <c r="G6452" i="32"/>
  <c r="G6469" i="32"/>
  <c r="G6473" i="32"/>
  <c r="G1687" i="32"/>
  <c r="G1688" i="32"/>
  <c r="G1689" i="32"/>
  <c r="G1690" i="32"/>
  <c r="G1691" i="32"/>
  <c r="G1692" i="32"/>
  <c r="G1693" i="32"/>
  <c r="G1694" i="32"/>
  <c r="G1695" i="32"/>
  <c r="G1696" i="32"/>
  <c r="G1697" i="32"/>
  <c r="G1698" i="32"/>
  <c r="G1699" i="32"/>
  <c r="G1700" i="32"/>
  <c r="G1701" i="32"/>
  <c r="G1702" i="32"/>
  <c r="G1703" i="32"/>
  <c r="G1704" i="32"/>
  <c r="G1705" i="32"/>
  <c r="G1706" i="32"/>
  <c r="G1707" i="32"/>
  <c r="G1708" i="32"/>
  <c r="G1709" i="32"/>
  <c r="G1710" i="32"/>
  <c r="G1711" i="32"/>
  <c r="G1712" i="32"/>
  <c r="G1713" i="32"/>
  <c r="G1714" i="32"/>
  <c r="G1715" i="32"/>
  <c r="G1716" i="32"/>
  <c r="G1717" i="32"/>
  <c r="G1718" i="32"/>
  <c r="G1719" i="32"/>
  <c r="G1720" i="32"/>
  <c r="G1721" i="32"/>
  <c r="G1722" i="32"/>
  <c r="G1723" i="32"/>
  <c r="G1724" i="32"/>
  <c r="G1725" i="32"/>
  <c r="G1726" i="32"/>
  <c r="G1727" i="32"/>
  <c r="G1728" i="32"/>
  <c r="G1729" i="32"/>
  <c r="G1730" i="32"/>
  <c r="G1731" i="32"/>
  <c r="G1732" i="32"/>
  <c r="G1733" i="32"/>
  <c r="G1734" i="32"/>
  <c r="G1735" i="32"/>
  <c r="G1736" i="32"/>
  <c r="G1737" i="32"/>
  <c r="G1738" i="32"/>
  <c r="G1739" i="32"/>
  <c r="G1740" i="32"/>
  <c r="G1741" i="32"/>
  <c r="G1742" i="32"/>
  <c r="G1743" i="32"/>
  <c r="G1744" i="32"/>
  <c r="G1745" i="32"/>
  <c r="G1746" i="32"/>
  <c r="G1747" i="32"/>
  <c r="G1748" i="32"/>
  <c r="G1749" i="32"/>
  <c r="G1750" i="32"/>
  <c r="G1751" i="32"/>
  <c r="G1752" i="32"/>
  <c r="G1753" i="32"/>
  <c r="G1754" i="32"/>
  <c r="G1755" i="32"/>
  <c r="G1756" i="32"/>
  <c r="G1757" i="32"/>
  <c r="G1758" i="32"/>
  <c r="G1759" i="32"/>
  <c r="G1760" i="32"/>
  <c r="G1761" i="32"/>
  <c r="G1762" i="32"/>
  <c r="G1763" i="32"/>
  <c r="G1764" i="32"/>
  <c r="G1765" i="32"/>
  <c r="G1766" i="32"/>
  <c r="G1767" i="32"/>
  <c r="G1768" i="32"/>
  <c r="G1769" i="32"/>
  <c r="G1770" i="32"/>
  <c r="G1771" i="32"/>
  <c r="G1772" i="32"/>
  <c r="G1773" i="32"/>
  <c r="G1774" i="32"/>
  <c r="G1775" i="32"/>
  <c r="G1776" i="32"/>
  <c r="G1777" i="32"/>
  <c r="G1778" i="32"/>
  <c r="G1779" i="32"/>
  <c r="G1780" i="32"/>
  <c r="G1781" i="32"/>
  <c r="G1782" i="32"/>
  <c r="G1783" i="32"/>
  <c r="G1784" i="32"/>
  <c r="G1785" i="32"/>
  <c r="G1786" i="32"/>
  <c r="G1787" i="32"/>
  <c r="G1788" i="32"/>
  <c r="G1789" i="32"/>
  <c r="G1790" i="32"/>
  <c r="G1791" i="32"/>
  <c r="G1792" i="32"/>
  <c r="G1793" i="32"/>
  <c r="G1794" i="32"/>
  <c r="G1795" i="32"/>
  <c r="G1796" i="32"/>
  <c r="G1797" i="32"/>
  <c r="G1798" i="32"/>
  <c r="G1799" i="32"/>
  <c r="G1800" i="32"/>
  <c r="G1801" i="32"/>
  <c r="G1802" i="32"/>
  <c r="G1803" i="32"/>
  <c r="G1804" i="32"/>
  <c r="G1805" i="32"/>
  <c r="G1806" i="32"/>
  <c r="G1807" i="32"/>
  <c r="G1808" i="32"/>
  <c r="G1809" i="32"/>
  <c r="G1810" i="32"/>
  <c r="G1811" i="32"/>
  <c r="G1812" i="32"/>
  <c r="G1813" i="32"/>
  <c r="G1814" i="32"/>
  <c r="G1815" i="32"/>
  <c r="G1816" i="32"/>
  <c r="G1817" i="32"/>
  <c r="G1818" i="32"/>
  <c r="G1819" i="32"/>
  <c r="G1820" i="32"/>
  <c r="G1821" i="32"/>
  <c r="G1822" i="32"/>
  <c r="G1823" i="32"/>
  <c r="G1824" i="32"/>
  <c r="G1825" i="32"/>
  <c r="G1826" i="32"/>
  <c r="G1827" i="32"/>
  <c r="G1828" i="32"/>
  <c r="G1829" i="32"/>
  <c r="G1830" i="32"/>
  <c r="G1831" i="32"/>
  <c r="G1832" i="32"/>
  <c r="G1833" i="32"/>
  <c r="G1834" i="32"/>
  <c r="G1835" i="32"/>
  <c r="G1836" i="32"/>
  <c r="G1837" i="32"/>
  <c r="G1838" i="32"/>
  <c r="G1839" i="32"/>
  <c r="G1840" i="32"/>
  <c r="G1841" i="32"/>
  <c r="G1842" i="32"/>
  <c r="G1843" i="32"/>
  <c r="G1844" i="32"/>
  <c r="G1845" i="32"/>
  <c r="G1846" i="32"/>
  <c r="G1847" i="32"/>
  <c r="G1848" i="32"/>
  <c r="G1849" i="32"/>
  <c r="G1850" i="32"/>
  <c r="G1851" i="32"/>
  <c r="G1852" i="32"/>
  <c r="G1853" i="32"/>
  <c r="G1854" i="32"/>
  <c r="G1855" i="32"/>
  <c r="G1856" i="32"/>
  <c r="G1857" i="32"/>
  <c r="G1858" i="32"/>
  <c r="G1859" i="32"/>
  <c r="G1860" i="32"/>
  <c r="G1861" i="32"/>
  <c r="G1862" i="32"/>
  <c r="G1863" i="32"/>
  <c r="G1864" i="32"/>
  <c r="G1865" i="32"/>
  <c r="G1866" i="32"/>
  <c r="G1867" i="32"/>
  <c r="G1868" i="32"/>
  <c r="G1869" i="32"/>
  <c r="G1870" i="32"/>
  <c r="G1871" i="32"/>
  <c r="G1872" i="32"/>
  <c r="G1873" i="32"/>
  <c r="G1874" i="32"/>
  <c r="G1875" i="32"/>
  <c r="G1876" i="32"/>
  <c r="G1877" i="32"/>
  <c r="G1878" i="32"/>
  <c r="G1879" i="32"/>
  <c r="G1880" i="32"/>
  <c r="G1881" i="32"/>
  <c r="G1882" i="32"/>
  <c r="G1883" i="32"/>
  <c r="G1884" i="32"/>
  <c r="G1885" i="32"/>
  <c r="G1886" i="32"/>
  <c r="G1887" i="32"/>
  <c r="G1888" i="32"/>
  <c r="G1889" i="32"/>
  <c r="G1890" i="32"/>
  <c r="G1891" i="32"/>
  <c r="G1892" i="32"/>
  <c r="G1893" i="32"/>
  <c r="G1894" i="32"/>
  <c r="G1895" i="32"/>
  <c r="G1896" i="32"/>
  <c r="G1897" i="32"/>
  <c r="G1898" i="32"/>
  <c r="G1899" i="32"/>
  <c r="G1900" i="32"/>
  <c r="G1901" i="32"/>
  <c r="G1902" i="32"/>
  <c r="G1903" i="32"/>
  <c r="G1904" i="32"/>
  <c r="G1905" i="32"/>
  <c r="G1906" i="32"/>
  <c r="G1907" i="32"/>
  <c r="G1908" i="32"/>
  <c r="G1909" i="32"/>
  <c r="G1910" i="32"/>
  <c r="G1911" i="32"/>
  <c r="G1912" i="32"/>
  <c r="G1913" i="32"/>
  <c r="G1914" i="32"/>
  <c r="G1915" i="32"/>
  <c r="G1916" i="32"/>
  <c r="G1917" i="32"/>
  <c r="G1918" i="32"/>
  <c r="G1919" i="32"/>
  <c r="G1920" i="32"/>
  <c r="G1921" i="32"/>
  <c r="G1922" i="32"/>
  <c r="G1923" i="32"/>
  <c r="G1924" i="32"/>
  <c r="G1925" i="32"/>
  <c r="G1926" i="32"/>
  <c r="G1927" i="32"/>
  <c r="G1928" i="32"/>
  <c r="G1929" i="32"/>
  <c r="G1930" i="32"/>
  <c r="G1931" i="32"/>
  <c r="G1932" i="32"/>
  <c r="G1933" i="32"/>
  <c r="G1934" i="32"/>
  <c r="G1935" i="32"/>
  <c r="G1936" i="32"/>
  <c r="G1937" i="32"/>
  <c r="G1938" i="32"/>
  <c r="G1939" i="32"/>
  <c r="G1940" i="32"/>
  <c r="G1941" i="32"/>
  <c r="G1942" i="32"/>
  <c r="G1943" i="32"/>
  <c r="G1944" i="32"/>
  <c r="G1945" i="32"/>
  <c r="G1946" i="32"/>
  <c r="G1947" i="32"/>
  <c r="G1948" i="32"/>
  <c r="G1949" i="32"/>
  <c r="G1950" i="32"/>
  <c r="G1951" i="32"/>
  <c r="G1952" i="32"/>
  <c r="G1953" i="32"/>
  <c r="G1954" i="32"/>
  <c r="G1955" i="32"/>
  <c r="G1956" i="32"/>
  <c r="G1957" i="32"/>
  <c r="G1958" i="32"/>
  <c r="G1959" i="32"/>
  <c r="G1960" i="32"/>
  <c r="G1961" i="32"/>
  <c r="G1962" i="32"/>
  <c r="G1963" i="32"/>
  <c r="G1964" i="32"/>
  <c r="G1965" i="32"/>
  <c r="G1966" i="32"/>
  <c r="G1967" i="32"/>
  <c r="G1968" i="32"/>
  <c r="G1969" i="32"/>
  <c r="G1970" i="32"/>
  <c r="G1971" i="32"/>
  <c r="G1972" i="32"/>
  <c r="G1973" i="32"/>
  <c r="G1974" i="32"/>
  <c r="G1975" i="32"/>
  <c r="G1976" i="32"/>
  <c r="G1977" i="32"/>
  <c r="G1978" i="32"/>
  <c r="G1979" i="32"/>
  <c r="G1980" i="32"/>
  <c r="G1981" i="32"/>
  <c r="G1982" i="32"/>
  <c r="G1983" i="32"/>
  <c r="G1984" i="32"/>
  <c r="G1985" i="32"/>
  <c r="G1986" i="32"/>
  <c r="G1987" i="32"/>
  <c r="G1988" i="32"/>
  <c r="G1989" i="32"/>
  <c r="G1990" i="32"/>
  <c r="G1991" i="32"/>
  <c r="G1992" i="32"/>
  <c r="G1993" i="32"/>
  <c r="G1994" i="32"/>
  <c r="G1995" i="32"/>
  <c r="G1996" i="32"/>
  <c r="G1997" i="32"/>
  <c r="G1998" i="32"/>
  <c r="G1999" i="32"/>
  <c r="G2000" i="32"/>
  <c r="G2001" i="32"/>
  <c r="G2002" i="32"/>
  <c r="G2003" i="32"/>
  <c r="G2004" i="32"/>
  <c r="G2005" i="32"/>
  <c r="G2006" i="32"/>
  <c r="G2007" i="32"/>
  <c r="G2008" i="32"/>
  <c r="G2009" i="32"/>
  <c r="G2010" i="32"/>
  <c r="G2011" i="32"/>
  <c r="G2012" i="32"/>
  <c r="G2013" i="32"/>
  <c r="G2014" i="32"/>
  <c r="G2015" i="32"/>
  <c r="G2016" i="32"/>
  <c r="G2017" i="32"/>
  <c r="G2018" i="32"/>
  <c r="G2019" i="32"/>
  <c r="G2020" i="32"/>
  <c r="G2021" i="32"/>
  <c r="G2022" i="32"/>
  <c r="G2023" i="32"/>
  <c r="G2024" i="32"/>
  <c r="G2025" i="32"/>
  <c r="G2026" i="32"/>
  <c r="G2027" i="32"/>
  <c r="G2028" i="32"/>
  <c r="G2029" i="32"/>
  <c r="G2030" i="32"/>
  <c r="G2031" i="32"/>
  <c r="G2032" i="32"/>
  <c r="G2033" i="32"/>
  <c r="G2034" i="32"/>
  <c r="G2035" i="32"/>
  <c r="G2036" i="32"/>
  <c r="G2037" i="32"/>
  <c r="G2038" i="32"/>
  <c r="G2039" i="32"/>
  <c r="G2040" i="32"/>
  <c r="G2041" i="32"/>
  <c r="G2042" i="32"/>
  <c r="G2043" i="32"/>
  <c r="G2044" i="32"/>
  <c r="G2045" i="32"/>
  <c r="G2046" i="32"/>
  <c r="G2047" i="32"/>
  <c r="G2048" i="32"/>
  <c r="G2049" i="32"/>
  <c r="G2050" i="32"/>
  <c r="G2051" i="32"/>
  <c r="G2052" i="32"/>
  <c r="G2053" i="32"/>
  <c r="G2054" i="32"/>
  <c r="G2055" i="32"/>
  <c r="G2056" i="32"/>
  <c r="G2057" i="32"/>
  <c r="G2058" i="32"/>
  <c r="G2059" i="32"/>
  <c r="G2060" i="32"/>
  <c r="G2061" i="32"/>
  <c r="G2062" i="32"/>
  <c r="G2063" i="32"/>
  <c r="G2064" i="32"/>
  <c r="G2065" i="32"/>
  <c r="G2066" i="32"/>
  <c r="G2067" i="32"/>
  <c r="G2068" i="32"/>
  <c r="G2069" i="32"/>
  <c r="G2070" i="32"/>
  <c r="G2071" i="32"/>
  <c r="G2072" i="32"/>
  <c r="G2073" i="32"/>
  <c r="G2074" i="32"/>
  <c r="G2075" i="32"/>
  <c r="G2076" i="32"/>
  <c r="G2077" i="32"/>
  <c r="G2078" i="32"/>
  <c r="G2079" i="32"/>
  <c r="G2080" i="32"/>
  <c r="G2081" i="32"/>
  <c r="G2082" i="32"/>
  <c r="G2083" i="32"/>
  <c r="G2084" i="32"/>
  <c r="G2085" i="32"/>
  <c r="G2086" i="32"/>
  <c r="G2087" i="32"/>
  <c r="G2088" i="32"/>
  <c r="G2089" i="32"/>
  <c r="G2090" i="32"/>
  <c r="G2091" i="32"/>
  <c r="G2092" i="32"/>
  <c r="G2093" i="32"/>
  <c r="G2094" i="32"/>
  <c r="G2095" i="32"/>
  <c r="G2096" i="32"/>
  <c r="G2097" i="32"/>
  <c r="G2098" i="32"/>
  <c r="G2099" i="32"/>
  <c r="G2100" i="32"/>
  <c r="G2101" i="32"/>
  <c r="G2102" i="32"/>
  <c r="G2103" i="32"/>
  <c r="G2104" i="32"/>
  <c r="G2105" i="32"/>
  <c r="G2106" i="32"/>
  <c r="G2107" i="32"/>
  <c r="G2108" i="32"/>
  <c r="G2109" i="32"/>
  <c r="G2110" i="32"/>
  <c r="G2111" i="32"/>
  <c r="G2112" i="32"/>
  <c r="G2113" i="32"/>
  <c r="G2114" i="32"/>
  <c r="G2115" i="32"/>
  <c r="G2116" i="32"/>
  <c r="G2117" i="32"/>
  <c r="G2118" i="32"/>
  <c r="G2119" i="32"/>
  <c r="G2120" i="32"/>
  <c r="G2121" i="32"/>
  <c r="G2122" i="32"/>
  <c r="G2123" i="32"/>
  <c r="G2124" i="32"/>
  <c r="G2125" i="32"/>
  <c r="G2126" i="32"/>
  <c r="G2127" i="32"/>
  <c r="G2128" i="32"/>
  <c r="G2129" i="32"/>
  <c r="G2130" i="32"/>
  <c r="G2131" i="32"/>
  <c r="G2132" i="32"/>
  <c r="G2133" i="32"/>
  <c r="G2134" i="32"/>
  <c r="G2135" i="32"/>
  <c r="G2136" i="32"/>
  <c r="G2137" i="32"/>
  <c r="G2138" i="32"/>
  <c r="G2139" i="32"/>
  <c r="G2140" i="32"/>
  <c r="G2141" i="32"/>
  <c r="G2142" i="32"/>
  <c r="G2143" i="32"/>
  <c r="G2144" i="32"/>
  <c r="G2145" i="32"/>
  <c r="G2146" i="32"/>
  <c r="G2147" i="32"/>
  <c r="G2148" i="32"/>
  <c r="G2149" i="32"/>
  <c r="G2150" i="32"/>
  <c r="G2151" i="32"/>
  <c r="G2152" i="32"/>
  <c r="G2153" i="32"/>
  <c r="G2154" i="32"/>
  <c r="G2155" i="32"/>
  <c r="G2156" i="32"/>
  <c r="G2157" i="32"/>
  <c r="G2158" i="32"/>
  <c r="G2159" i="32"/>
  <c r="G2160" i="32"/>
  <c r="G2161" i="32"/>
  <c r="G2162" i="32"/>
  <c r="G2163" i="32"/>
  <c r="G2164" i="32"/>
  <c r="G2165" i="32"/>
  <c r="G2166" i="32"/>
  <c r="G2167" i="32"/>
  <c r="G2168" i="32"/>
  <c r="G2169" i="32"/>
  <c r="G2170" i="32"/>
  <c r="G2171" i="32"/>
  <c r="G2172" i="32"/>
  <c r="G2173" i="32"/>
  <c r="G2174" i="32"/>
  <c r="G2175" i="32"/>
  <c r="G2176" i="32"/>
  <c r="G2177" i="32"/>
  <c r="G2178" i="32"/>
  <c r="G2179" i="32"/>
  <c r="G2180" i="32"/>
  <c r="G2181" i="32"/>
  <c r="G2182" i="32"/>
  <c r="G2183" i="32"/>
  <c r="G2184" i="32"/>
  <c r="G2185" i="32"/>
  <c r="G2186" i="32"/>
  <c r="G2187" i="32"/>
  <c r="G2188" i="32"/>
  <c r="G2189" i="32"/>
  <c r="G2190" i="32"/>
  <c r="G2191" i="32"/>
  <c r="G2192" i="32"/>
  <c r="G2193" i="32"/>
  <c r="G2194" i="32"/>
  <c r="G2195" i="32"/>
  <c r="G2196" i="32"/>
  <c r="G2197" i="32"/>
  <c r="G2198" i="32"/>
  <c r="G2199" i="32"/>
  <c r="G2200" i="32"/>
  <c r="G2201" i="32"/>
  <c r="G2202" i="32"/>
  <c r="G2203" i="32"/>
  <c r="G2204" i="32"/>
  <c r="G2205" i="32"/>
  <c r="G2206" i="32"/>
  <c r="G2207" i="32"/>
  <c r="G2208" i="32"/>
  <c r="G2209" i="32"/>
  <c r="G2210" i="32"/>
  <c r="G2211" i="32"/>
  <c r="G2212" i="32"/>
  <c r="G2213" i="32"/>
  <c r="G2214" i="32"/>
  <c r="G2215" i="32"/>
  <c r="G2216" i="32"/>
  <c r="G2217" i="32"/>
  <c r="G2218" i="32"/>
  <c r="G2219" i="32"/>
  <c r="G2220" i="32"/>
  <c r="G2221" i="32"/>
  <c r="G2222" i="32"/>
  <c r="G2223" i="32"/>
  <c r="G2224" i="32"/>
  <c r="G2225" i="32"/>
  <c r="G2226" i="32"/>
  <c r="G2227" i="32"/>
  <c r="G2228" i="32"/>
  <c r="G2229" i="32"/>
  <c r="G2230" i="32"/>
  <c r="G2231" i="32"/>
  <c r="G2232" i="32"/>
  <c r="G2233" i="32"/>
  <c r="G2234" i="32"/>
  <c r="G2235" i="32"/>
  <c r="G2236" i="32"/>
  <c r="G2237" i="32"/>
  <c r="G2238" i="32"/>
  <c r="G2239" i="32"/>
  <c r="G2240" i="32"/>
  <c r="G2241" i="32"/>
  <c r="G2242" i="32"/>
  <c r="G2243" i="32"/>
  <c r="G2244" i="32"/>
  <c r="G2245" i="32"/>
  <c r="G2246" i="32"/>
  <c r="G2247" i="32"/>
  <c r="G2248" i="32"/>
  <c r="G2249" i="32"/>
  <c r="G2250" i="32"/>
  <c r="G2251" i="32"/>
  <c r="G2252" i="32"/>
  <c r="G2253" i="32"/>
  <c r="G2254" i="32"/>
  <c r="G2255" i="32"/>
  <c r="G2256" i="32"/>
  <c r="G2257" i="32"/>
  <c r="G2258" i="32"/>
  <c r="G2259" i="32"/>
  <c r="G2260" i="32"/>
  <c r="G2261" i="32"/>
  <c r="G2262" i="32"/>
  <c r="G2263" i="32"/>
  <c r="G2264" i="32"/>
  <c r="G2265" i="32"/>
  <c r="G2266" i="32"/>
  <c r="G2267" i="32"/>
  <c r="G2268" i="32"/>
  <c r="G2269" i="32"/>
  <c r="G2270" i="32"/>
  <c r="G2271" i="32"/>
  <c r="G2272" i="32"/>
  <c r="G2273" i="32"/>
  <c r="G2274" i="32"/>
  <c r="G2275" i="32"/>
  <c r="G2276" i="32"/>
  <c r="G2277" i="32"/>
  <c r="G2278" i="32"/>
  <c r="G2279" i="32"/>
  <c r="G2280" i="32"/>
  <c r="G2281" i="32"/>
  <c r="G2282" i="32"/>
  <c r="G2283" i="32"/>
  <c r="G2284" i="32"/>
  <c r="G2285" i="32"/>
  <c r="G2286" i="32"/>
  <c r="G2287" i="32"/>
  <c r="G2288" i="32"/>
  <c r="G2289" i="32"/>
  <c r="G2290" i="32"/>
  <c r="G2291" i="32"/>
  <c r="G2292" i="32"/>
  <c r="G2293" i="32"/>
  <c r="G2294" i="32"/>
  <c r="G2295" i="32"/>
  <c r="G2296" i="32"/>
  <c r="G2297" i="32"/>
  <c r="G2298" i="32"/>
  <c r="G2299" i="32"/>
  <c r="G2300" i="32"/>
  <c r="G2301" i="32"/>
  <c r="G2302" i="32"/>
  <c r="G2303" i="32"/>
  <c r="G2304" i="32"/>
  <c r="G2305" i="32"/>
  <c r="G2306" i="32"/>
  <c r="G2307" i="32"/>
  <c r="G2308" i="32"/>
  <c r="G2309" i="32"/>
  <c r="G2310" i="32"/>
  <c r="G2311" i="32"/>
  <c r="G2312" i="32"/>
  <c r="G2313" i="32"/>
  <c r="G2314" i="32"/>
  <c r="G2315" i="32"/>
  <c r="G2316" i="32"/>
  <c r="G2317" i="32"/>
  <c r="G2318" i="32"/>
  <c r="G2319" i="32"/>
  <c r="G2320" i="32"/>
  <c r="G2321" i="32"/>
  <c r="G2322" i="32"/>
  <c r="G2323" i="32"/>
  <c r="G2324" i="32"/>
  <c r="G2325" i="32"/>
  <c r="G2326" i="32"/>
  <c r="G2327" i="32"/>
  <c r="G2328" i="32"/>
  <c r="G2329" i="32"/>
  <c r="G2330" i="32"/>
  <c r="G2331" i="32"/>
  <c r="G2332" i="32"/>
  <c r="G2333" i="32"/>
  <c r="G2334" i="32"/>
  <c r="G2335" i="32"/>
  <c r="G2336" i="32"/>
  <c r="G2337" i="32"/>
  <c r="G2338" i="32"/>
  <c r="G2339" i="32"/>
  <c r="G2340" i="32"/>
  <c r="G2341" i="32"/>
  <c r="G2342" i="32"/>
  <c r="G2343" i="32"/>
  <c r="G2344" i="32"/>
  <c r="G2345" i="32"/>
  <c r="G2346" i="32"/>
  <c r="G2347" i="32"/>
  <c r="G2348" i="32"/>
  <c r="G2349" i="32"/>
  <c r="G2350" i="32"/>
  <c r="G2351" i="32"/>
  <c r="G2352" i="32"/>
  <c r="G2353" i="32"/>
  <c r="G2354" i="32"/>
  <c r="G2355" i="32"/>
  <c r="G2356" i="32"/>
  <c r="G2357" i="32"/>
  <c r="G2358" i="32"/>
  <c r="G2359" i="32"/>
  <c r="G2360" i="32"/>
  <c r="G2361" i="32"/>
  <c r="G2362" i="32"/>
  <c r="G2363" i="32"/>
  <c r="G2364" i="32"/>
  <c r="G2365" i="32"/>
  <c r="G2366" i="32"/>
  <c r="G2367" i="32"/>
  <c r="G2368" i="32"/>
  <c r="G2369" i="32"/>
  <c r="G2370" i="32"/>
  <c r="G2371" i="32"/>
  <c r="G2372" i="32"/>
  <c r="G2373" i="32"/>
  <c r="G2374" i="32"/>
  <c r="G2375" i="32"/>
  <c r="G2376" i="32"/>
  <c r="G2377" i="32"/>
  <c r="G2378" i="32"/>
  <c r="G2379" i="32"/>
  <c r="G2380" i="32"/>
  <c r="G2381" i="32"/>
  <c r="G2382" i="32"/>
  <c r="G2383" i="32"/>
  <c r="G2384" i="32"/>
  <c r="G2385" i="32"/>
  <c r="G2386" i="32"/>
  <c r="G2387" i="32"/>
  <c r="G2388" i="32"/>
  <c r="G2389" i="32"/>
  <c r="G2390" i="32"/>
  <c r="G2391" i="32"/>
  <c r="G2392" i="32"/>
  <c r="G2393" i="32"/>
  <c r="G2394" i="32"/>
  <c r="G2395" i="32"/>
  <c r="G2396" i="32"/>
  <c r="G2397" i="32"/>
  <c r="G2398" i="32"/>
  <c r="G2399" i="32"/>
  <c r="G2400" i="32"/>
  <c r="G2401" i="32"/>
  <c r="G2402" i="32"/>
  <c r="G2403" i="32"/>
  <c r="G2404" i="32"/>
  <c r="G2405" i="32"/>
  <c r="G2406" i="32"/>
  <c r="G2407" i="32"/>
  <c r="G2408" i="32"/>
  <c r="G2409" i="32"/>
  <c r="G2410" i="32"/>
  <c r="G2411" i="32"/>
  <c r="G2412" i="32"/>
  <c r="G2413" i="32"/>
  <c r="G2414" i="32"/>
  <c r="G2415" i="32"/>
  <c r="G2416" i="32"/>
  <c r="G2417" i="32"/>
  <c r="G2418" i="32"/>
  <c r="G2419" i="32"/>
  <c r="G2420" i="32"/>
  <c r="G2421" i="32"/>
  <c r="G2422" i="32"/>
  <c r="G2423" i="32"/>
  <c r="G2424" i="32"/>
  <c r="G2425" i="32"/>
  <c r="G2426" i="32"/>
  <c r="G2427" i="32"/>
  <c r="G2428" i="32"/>
  <c r="G2429" i="32"/>
  <c r="G2430" i="32"/>
  <c r="G2431" i="32"/>
  <c r="G2432" i="32"/>
  <c r="G2433" i="32"/>
  <c r="G2434" i="32"/>
  <c r="G2435" i="32"/>
  <c r="G2436" i="32"/>
  <c r="G2437" i="32"/>
  <c r="G2438" i="32"/>
  <c r="G2439" i="32"/>
  <c r="G2440" i="32"/>
  <c r="G2441" i="32"/>
  <c r="G2442" i="32"/>
  <c r="G2443" i="32"/>
  <c r="G2444" i="32"/>
  <c r="G2445" i="32"/>
  <c r="G2446" i="32"/>
  <c r="G2447" i="32"/>
  <c r="G2448" i="32"/>
  <c r="G2449" i="32"/>
  <c r="G2450" i="32"/>
  <c r="G2451" i="32"/>
  <c r="G2452" i="32"/>
  <c r="G2453" i="32"/>
  <c r="G2454" i="32"/>
  <c r="G2455" i="32"/>
  <c r="G2456" i="32"/>
  <c r="G2457" i="32"/>
  <c r="G2458" i="32"/>
  <c r="G2459" i="32"/>
  <c r="G2460" i="32"/>
  <c r="G2461" i="32"/>
  <c r="G2462" i="32"/>
  <c r="G2463" i="32"/>
  <c r="G2464" i="32"/>
  <c r="G2465" i="32"/>
  <c r="G2466" i="32"/>
  <c r="G2467" i="32"/>
  <c r="G2468" i="32"/>
  <c r="G2469" i="32"/>
  <c r="G2470" i="32"/>
  <c r="G2471" i="32"/>
  <c r="G2472" i="32"/>
  <c r="G2473" i="32"/>
  <c r="G2474" i="32"/>
  <c r="G2475" i="32"/>
  <c r="G2476" i="32"/>
  <c r="G2477" i="32"/>
  <c r="G2478" i="32"/>
  <c r="G2479" i="32"/>
  <c r="G2480" i="32"/>
  <c r="G2481" i="32"/>
  <c r="G2482" i="32"/>
  <c r="G2483" i="32"/>
  <c r="G2484" i="32"/>
  <c r="G2485" i="32"/>
  <c r="G2486" i="32"/>
  <c r="G2487" i="32"/>
  <c r="G2488" i="32"/>
  <c r="G2489" i="32"/>
  <c r="G2490" i="32"/>
  <c r="G2491" i="32"/>
  <c r="G2492" i="32"/>
  <c r="G2493" i="32"/>
  <c r="G2496" i="32"/>
  <c r="G2498" i="32"/>
  <c r="G2500" i="32"/>
  <c r="G2502" i="32"/>
  <c r="G2505" i="32"/>
  <c r="G2509" i="32"/>
  <c r="G2512" i="32"/>
  <c r="G2515" i="32"/>
  <c r="G2517" i="32"/>
  <c r="G2521" i="32"/>
  <c r="G2524" i="32"/>
  <c r="G2526" i="32"/>
  <c r="G2529" i="32"/>
  <c r="G2535" i="32"/>
  <c r="G2539" i="32"/>
  <c r="G2541" i="32"/>
  <c r="G2546" i="32"/>
  <c r="G2549" i="32"/>
  <c r="G2551" i="32"/>
  <c r="G2553" i="32"/>
  <c r="G2557" i="32"/>
  <c r="G2559" i="32"/>
  <c r="G2561" i="32"/>
  <c r="G2564" i="32"/>
  <c r="G2566" i="32"/>
  <c r="G2568" i="32"/>
  <c r="G2573" i="32"/>
  <c r="G2578" i="32"/>
  <c r="G2582" i="32"/>
  <c r="G2584" i="32"/>
  <c r="G2586" i="32"/>
  <c r="G2589" i="32"/>
  <c r="G2592" i="32"/>
  <c r="G2595" i="32"/>
  <c r="G2597" i="32"/>
  <c r="G2601" i="32"/>
  <c r="G2605" i="32"/>
  <c r="G2608" i="32"/>
  <c r="G2610" i="32"/>
  <c r="G2613" i="32"/>
  <c r="G2616" i="32"/>
  <c r="G2622" i="32"/>
  <c r="G2624" i="32"/>
  <c r="G2629" i="32"/>
  <c r="G2634" i="32"/>
  <c r="G2638" i="32"/>
  <c r="G2641" i="32"/>
  <c r="G2643" i="32"/>
  <c r="G2645" i="32"/>
  <c r="G2648" i="32"/>
  <c r="G2652" i="32"/>
  <c r="G2656" i="32"/>
  <c r="G2660" i="32"/>
  <c r="G2663" i="32"/>
  <c r="G2668" i="32"/>
  <c r="G2673" i="32"/>
  <c r="G2678" i="32"/>
  <c r="G2683" i="32"/>
  <c r="G2686" i="32"/>
  <c r="G2689" i="32"/>
  <c r="G2691" i="32"/>
  <c r="G2695" i="32"/>
  <c r="G2702" i="32"/>
  <c r="G2704" i="32"/>
  <c r="G2706" i="32"/>
  <c r="G2712" i="32"/>
  <c r="G2716" i="32"/>
  <c r="G2718" i="32"/>
  <c r="G2720" i="32"/>
  <c r="G2724" i="32"/>
  <c r="G2729" i="32"/>
  <c r="G2733" i="32"/>
  <c r="G2738" i="32"/>
  <c r="G2741" i="32"/>
  <c r="G2745" i="32"/>
  <c r="G2747" i="32"/>
  <c r="G2753" i="32"/>
  <c r="G2755" i="32"/>
  <c r="G2761" i="32"/>
  <c r="G2766" i="32"/>
  <c r="G2769" i="32"/>
  <c r="G2773" i="32"/>
  <c r="G2775" i="32"/>
  <c r="G2779" i="32"/>
  <c r="G2781" i="32"/>
  <c r="G2784" i="32"/>
  <c r="G2787" i="32"/>
  <c r="G2790" i="32"/>
  <c r="G2792" i="32"/>
  <c r="G2794" i="32"/>
  <c r="G2796" i="32"/>
  <c r="G2799" i="32"/>
  <c r="G2804" i="32"/>
  <c r="G2805" i="32"/>
  <c r="G2809" i="32"/>
  <c r="G2812" i="32"/>
  <c r="G2813" i="32"/>
  <c r="G2817" i="32"/>
  <c r="G2818" i="32"/>
  <c r="G2821" i="32"/>
  <c r="G2823" i="32"/>
  <c r="G2827" i="32"/>
  <c r="G2829" i="32"/>
  <c r="G2832" i="32"/>
  <c r="G2834" i="32"/>
  <c r="G2836" i="32"/>
  <c r="G2839" i="32"/>
  <c r="G2842" i="32"/>
  <c r="G2846" i="32"/>
  <c r="G2849" i="32"/>
  <c r="G2851" i="32"/>
  <c r="G2853" i="32"/>
  <c r="G2855" i="32"/>
  <c r="G2859" i="32"/>
  <c r="G2860" i="32"/>
  <c r="G2862" i="32"/>
  <c r="G2865" i="32"/>
  <c r="G2871" i="32"/>
  <c r="G2873" i="32"/>
  <c r="G2876" i="32"/>
  <c r="G2881" i="32"/>
  <c r="G2884" i="32"/>
  <c r="G2888" i="32"/>
  <c r="G2892" i="32"/>
  <c r="G2895" i="32"/>
  <c r="G2900" i="32"/>
  <c r="G2903" i="32"/>
  <c r="G2907" i="32"/>
  <c r="G2911" i="32"/>
  <c r="G2914" i="32"/>
  <c r="G2916" i="32"/>
  <c r="G2918" i="32"/>
  <c r="G2921" i="32"/>
  <c r="G2923" i="32"/>
  <c r="G2926" i="32"/>
  <c r="G2929" i="32"/>
  <c r="G2935" i="32"/>
  <c r="G2939" i="32"/>
  <c r="G2944" i="32"/>
  <c r="G2948" i="32"/>
  <c r="G2953" i="32"/>
  <c r="G2958" i="32"/>
  <c r="G2963" i="32"/>
  <c r="G2967" i="32"/>
  <c r="G2971" i="32"/>
  <c r="G2973" i="32"/>
  <c r="G2976" i="32"/>
  <c r="G2978" i="32"/>
  <c r="G2982" i="32"/>
  <c r="G2989" i="32"/>
  <c r="G2991" i="32"/>
  <c r="G2995" i="32"/>
  <c r="G2998" i="32"/>
  <c r="G3001" i="32"/>
  <c r="G3003" i="32"/>
  <c r="G3006" i="32"/>
  <c r="G3008" i="32"/>
  <c r="G3012" i="32"/>
  <c r="G3014" i="32"/>
  <c r="G3021" i="32"/>
  <c r="G3025" i="32"/>
  <c r="G3030" i="32"/>
  <c r="G3032" i="32"/>
  <c r="G3040" i="32"/>
  <c r="G3046" i="32"/>
  <c r="G3050" i="32"/>
  <c r="G3055" i="32"/>
  <c r="G3059" i="32"/>
  <c r="G3064" i="32"/>
  <c r="G3066" i="32"/>
  <c r="G3068" i="32"/>
  <c r="G3071" i="32"/>
  <c r="G3075" i="32"/>
  <c r="G3077" i="32"/>
  <c r="G3079" i="32"/>
  <c r="G3083" i="32"/>
  <c r="G3087" i="32"/>
  <c r="G3089" i="32"/>
  <c r="G3093" i="32"/>
  <c r="G3100" i="32"/>
  <c r="G3102" i="32"/>
  <c r="G3104" i="32"/>
  <c r="G3106" i="32"/>
  <c r="G3110" i="32"/>
  <c r="G3116" i="32"/>
  <c r="G3118" i="32"/>
  <c r="G3122" i="32"/>
  <c r="G3124" i="32"/>
  <c r="G3126" i="32"/>
  <c r="G3128" i="32"/>
  <c r="G3130" i="32"/>
  <c r="G3132" i="32"/>
  <c r="G3134" i="32"/>
  <c r="G3136" i="32"/>
  <c r="G3138" i="32"/>
  <c r="G3140" i="32"/>
  <c r="G3142" i="32"/>
  <c r="G3144" i="32"/>
  <c r="G3146" i="32"/>
  <c r="G3148" i="32"/>
  <c r="G3150" i="32"/>
  <c r="G3152" i="32"/>
  <c r="G3154" i="32"/>
  <c r="G3156" i="32"/>
  <c r="G3158" i="32"/>
  <c r="G3160" i="32"/>
  <c r="G3162" i="32"/>
  <c r="G3164" i="32"/>
  <c r="G3166" i="32"/>
  <c r="G3168" i="32"/>
  <c r="G3170" i="32"/>
  <c r="G3172" i="32"/>
  <c r="G3174" i="32"/>
  <c r="G3176" i="32"/>
  <c r="G3181" i="32"/>
  <c r="G3184" i="32"/>
  <c r="G3186" i="32"/>
  <c r="G3188" i="32"/>
  <c r="G3190" i="32"/>
  <c r="G3193" i="32"/>
  <c r="G3198" i="32"/>
  <c r="G3202" i="32"/>
  <c r="G3204" i="32"/>
  <c r="G3207" i="32"/>
  <c r="G3212" i="32"/>
  <c r="G3215" i="32"/>
  <c r="G3217" i="32"/>
  <c r="G3221" i="32"/>
  <c r="G3223" i="32"/>
  <c r="G3227" i="32"/>
  <c r="G3230" i="32"/>
  <c r="G3233" i="32"/>
  <c r="G3236" i="32"/>
  <c r="G3238" i="32"/>
  <c r="G3240" i="32"/>
  <c r="G3245" i="32"/>
  <c r="G3247" i="32"/>
  <c r="G3253" i="32"/>
  <c r="G3256" i="32"/>
  <c r="G3259" i="32"/>
  <c r="G3262" i="32"/>
  <c r="G3264" i="32"/>
  <c r="G3269" i="32"/>
  <c r="G3272" i="32"/>
  <c r="G3274" i="32"/>
  <c r="G3278" i="32"/>
  <c r="G3280" i="32"/>
  <c r="G3283" i="32"/>
  <c r="G3285" i="32"/>
  <c r="G3288" i="32"/>
  <c r="G3290" i="32"/>
  <c r="G3293" i="32"/>
  <c r="G3298" i="32"/>
  <c r="G3302" i="32"/>
  <c r="G3304" i="32"/>
  <c r="G3306" i="32"/>
  <c r="G3308" i="32"/>
  <c r="G3312" i="32"/>
  <c r="G3316" i="32"/>
  <c r="G3322" i="32"/>
  <c r="G3324" i="32"/>
  <c r="G3329" i="32"/>
  <c r="G3337" i="32"/>
  <c r="G3339" i="32"/>
  <c r="G3344" i="32"/>
  <c r="G3349" i="32"/>
  <c r="G3354" i="32"/>
  <c r="G3358" i="32"/>
  <c r="G3362" i="32"/>
  <c r="G3364" i="32"/>
  <c r="G3367" i="32"/>
  <c r="G3371" i="32"/>
  <c r="G3945" i="32"/>
  <c r="G3950" i="32"/>
  <c r="G3962" i="32"/>
  <c r="G3974" i="32"/>
  <c r="G3982" i="32"/>
  <c r="G3987" i="32"/>
  <c r="G3999" i="32"/>
  <c r="G4004" i="32"/>
  <c r="G4006" i="32"/>
  <c r="G4016" i="32"/>
  <c r="G4018" i="32"/>
  <c r="G4022" i="32"/>
  <c r="G4024" i="32"/>
  <c r="G4026" i="32"/>
  <c r="G4034" i="32"/>
  <c r="G4039" i="32"/>
  <c r="G4041" i="32"/>
  <c r="G4044" i="32"/>
  <c r="G4055" i="32"/>
  <c r="G4059" i="32"/>
  <c r="G4064" i="32"/>
  <c r="G4075" i="32"/>
  <c r="G4098" i="32"/>
  <c r="G4108" i="32"/>
  <c r="G4115" i="32"/>
  <c r="G4117" i="32"/>
  <c r="G4124" i="32"/>
  <c r="G4128" i="32"/>
  <c r="G4134" i="32"/>
  <c r="G4143" i="32"/>
  <c r="G4145" i="32"/>
  <c r="G4150" i="32"/>
  <c r="G4156" i="32"/>
  <c r="G4158" i="32"/>
  <c r="G4163" i="32"/>
  <c r="G4164" i="32"/>
  <c r="G4167" i="32"/>
  <c r="G4170" i="32"/>
  <c r="G4174" i="32"/>
  <c r="G4184" i="32"/>
  <c r="G4187" i="32"/>
  <c r="G4197" i="32"/>
  <c r="G4202" i="32"/>
  <c r="G4206" i="32"/>
  <c r="G4210" i="32"/>
  <c r="G4213" i="32"/>
  <c r="G4215" i="32"/>
  <c r="G4217" i="32"/>
  <c r="G4221" i="32"/>
  <c r="G4225" i="32"/>
  <c r="G4231" i="32"/>
  <c r="G4233" i="32"/>
  <c r="G4236" i="32"/>
  <c r="G4238" i="32"/>
  <c r="G4243" i="32"/>
  <c r="G4262" i="32"/>
  <c r="G4273" i="32"/>
  <c r="G4276" i="32"/>
  <c r="G4282" i="32"/>
  <c r="G4288" i="32"/>
  <c r="G4292" i="32"/>
  <c r="G4294" i="32"/>
  <c r="G4296" i="32"/>
  <c r="G4298" i="32"/>
  <c r="G4312" i="32"/>
  <c r="G4316" i="32"/>
  <c r="G4332" i="32"/>
  <c r="G4334" i="32"/>
  <c r="G4336" i="32"/>
  <c r="G4338" i="32"/>
  <c r="G4350" i="32"/>
  <c r="G4364" i="32"/>
  <c r="G4367" i="32"/>
  <c r="G4370" i="32"/>
  <c r="G4386" i="32"/>
  <c r="G4394" i="32"/>
  <c r="G4396" i="32"/>
  <c r="G4398" i="32"/>
  <c r="G4402" i="32"/>
  <c r="G4407" i="32"/>
  <c r="G4409" i="32"/>
  <c r="G4418" i="32"/>
  <c r="G4423" i="32"/>
  <c r="G4425" i="32"/>
  <c r="G4429" i="32"/>
  <c r="G4433" i="32"/>
  <c r="G4446" i="32"/>
  <c r="G4454" i="32"/>
  <c r="G4478" i="32"/>
  <c r="G4519" i="32"/>
  <c r="G4521" i="32"/>
  <c r="G4524" i="32"/>
  <c r="G4526" i="32"/>
  <c r="G4534" i="32"/>
  <c r="G4536" i="32"/>
  <c r="G4567" i="32"/>
  <c r="G4573" i="32"/>
  <c r="G4588" i="32"/>
  <c r="G4590" i="32"/>
  <c r="G4598" i="32"/>
  <c r="G4605" i="32"/>
  <c r="G4618" i="32"/>
  <c r="G4624" i="32"/>
  <c r="G4627" i="32"/>
  <c r="G4633" i="32"/>
  <c r="G4636" i="32"/>
  <c r="G4638" i="32"/>
  <c r="G4650" i="32"/>
  <c r="G4656" i="32"/>
  <c r="G4679" i="32"/>
  <c r="G4681" i="32"/>
  <c r="G4685" i="32"/>
  <c r="G4688" i="32"/>
  <c r="G4690" i="32"/>
  <c r="G4696" i="32"/>
  <c r="G4716" i="32"/>
  <c r="G4718" i="32"/>
  <c r="G4723" i="32"/>
  <c r="G4728" i="32"/>
  <c r="G4730" i="32"/>
  <c r="G4736" i="32"/>
  <c r="G4738" i="32"/>
  <c r="G4747" i="32"/>
  <c r="G4759" i="32"/>
  <c r="G4766" i="32"/>
  <c r="G4770" i="32"/>
  <c r="G4773" i="32"/>
  <c r="G4777" i="32"/>
  <c r="G4799" i="32"/>
  <c r="G4803" i="32"/>
  <c r="G4808" i="32"/>
  <c r="G4820" i="32"/>
  <c r="G4822" i="32"/>
  <c r="G4828" i="32"/>
  <c r="G4831" i="32"/>
  <c r="G4838" i="32"/>
  <c r="G4847" i="32"/>
  <c r="G4850" i="32"/>
  <c r="G4854" i="32"/>
  <c r="G4865" i="32"/>
  <c r="G4871" i="32"/>
  <c r="G4874" i="32"/>
  <c r="G4878" i="32"/>
  <c r="G4885" i="32"/>
  <c r="G4892" i="32"/>
  <c r="G4896" i="32"/>
  <c r="G4918" i="32"/>
  <c r="G4923" i="32"/>
  <c r="G4938" i="32"/>
  <c r="G4941" i="32"/>
  <c r="G4968" i="32"/>
  <c r="G4981" i="32"/>
  <c r="G4987" i="32"/>
  <c r="G4989" i="32"/>
  <c r="G4999" i="32"/>
  <c r="G5002" i="32"/>
  <c r="G5005" i="32"/>
  <c r="G5008" i="32"/>
  <c r="G5012" i="32"/>
  <c r="G5015" i="32"/>
  <c r="G5020" i="32"/>
  <c r="G5022" i="32"/>
  <c r="G5026" i="32"/>
  <c r="G5032" i="32"/>
  <c r="G5034" i="32"/>
  <c r="G5040" i="32"/>
  <c r="G5042" i="32"/>
  <c r="G5052" i="32"/>
  <c r="G6155" i="32"/>
  <c r="G6167" i="32"/>
  <c r="G6169" i="32"/>
  <c r="G6182" i="32"/>
  <c r="G6189" i="32"/>
  <c r="G6194" i="32"/>
  <c r="G6202" i="32"/>
  <c r="G6210" i="32"/>
  <c r="G6217" i="32"/>
  <c r="G6223" i="32"/>
  <c r="G6228" i="32"/>
  <c r="G6235" i="32"/>
  <c r="G6238" i="32"/>
  <c r="G6243" i="32"/>
  <c r="G6248" i="32"/>
  <c r="G6251" i="32"/>
  <c r="G6260" i="32"/>
  <c r="G6263" i="32"/>
  <c r="G6265" i="32"/>
  <c r="G6270" i="32"/>
  <c r="G6284" i="32"/>
  <c r="G6286" i="32"/>
  <c r="G6298" i="32"/>
  <c r="G6305" i="32"/>
  <c r="G6311" i="32"/>
  <c r="G6314" i="32"/>
  <c r="G6323" i="32"/>
  <c r="G6363" i="32"/>
  <c r="G6378" i="32"/>
  <c r="G6381" i="32"/>
  <c r="G6388" i="32"/>
  <c r="G6410" i="32"/>
  <c r="G6412" i="32"/>
  <c r="G6460" i="32"/>
  <c r="G6471" i="32"/>
  <c r="G6476" i="32"/>
  <c r="G3373" i="32"/>
  <c r="G3374" i="32"/>
  <c r="G3375" i="32"/>
  <c r="G3376" i="32"/>
  <c r="G3377" i="32"/>
  <c r="G3378" i="32"/>
  <c r="G3379" i="32"/>
  <c r="G3380" i="32"/>
  <c r="G3381" i="32"/>
  <c r="G3382" i="32"/>
  <c r="G3383" i="32"/>
  <c r="G3384" i="32"/>
  <c r="G3385" i="32"/>
  <c r="G3386" i="32"/>
  <c r="G3387" i="32"/>
  <c r="G3388" i="32"/>
  <c r="G3389" i="32"/>
  <c r="G3390" i="32"/>
  <c r="G3391" i="32"/>
  <c r="G3392" i="32"/>
  <c r="G3393" i="32"/>
  <c r="G3394" i="32"/>
  <c r="G3395" i="32"/>
  <c r="G3396" i="32"/>
  <c r="G3397" i="32"/>
  <c r="G3398" i="32"/>
  <c r="G3399" i="32"/>
  <c r="G3400" i="32"/>
  <c r="G3401" i="32"/>
  <c r="G3402" i="32"/>
  <c r="G3403" i="32"/>
  <c r="G3404" i="32"/>
  <c r="G3405" i="32"/>
  <c r="G3406" i="32"/>
  <c r="G3407" i="32"/>
  <c r="G3408" i="32"/>
  <c r="G3409" i="32"/>
  <c r="G3410" i="32"/>
  <c r="G3411" i="32"/>
  <c r="G3412" i="32"/>
  <c r="G3413" i="32"/>
  <c r="G3414" i="32"/>
  <c r="G3415" i="32"/>
  <c r="G3416" i="32"/>
  <c r="G3417" i="32"/>
  <c r="G3418" i="32"/>
  <c r="G3419" i="32"/>
  <c r="G3420" i="32"/>
  <c r="G3421" i="32"/>
  <c r="G3422" i="32"/>
  <c r="G3423" i="32"/>
  <c r="G3424" i="32"/>
  <c r="G3425" i="32"/>
  <c r="G3426" i="32"/>
  <c r="G3427" i="32"/>
  <c r="G3428" i="32"/>
  <c r="G3429" i="32"/>
  <c r="G3430" i="32"/>
  <c r="G3431" i="32"/>
  <c r="G3432" i="32"/>
  <c r="G3433" i="32"/>
  <c r="G3434" i="32"/>
  <c r="G3435" i="32"/>
  <c r="G3436" i="32"/>
  <c r="G3437" i="32"/>
  <c r="G3438" i="32"/>
  <c r="G3439" i="32"/>
  <c r="G3440" i="32"/>
  <c r="G3441" i="32"/>
  <c r="G3442" i="32"/>
  <c r="G3443" i="32"/>
  <c r="G3444" i="32"/>
  <c r="G3445" i="32"/>
  <c r="G3446" i="32"/>
  <c r="G3447" i="32"/>
  <c r="G3448" i="32"/>
  <c r="G3449" i="32"/>
  <c r="G3450" i="32"/>
  <c r="G3451" i="32"/>
  <c r="G3452" i="32"/>
  <c r="G3453" i="32"/>
  <c r="G3454" i="32"/>
  <c r="G3455" i="32"/>
  <c r="G3456" i="32"/>
  <c r="G3457" i="32"/>
  <c r="G3458" i="32"/>
  <c r="G3459" i="32"/>
  <c r="G3460" i="32"/>
  <c r="G3461" i="32"/>
  <c r="G3462" i="32"/>
  <c r="G3463" i="32"/>
  <c r="G3464" i="32"/>
  <c r="G3465" i="32"/>
  <c r="G3466" i="32"/>
  <c r="G3467" i="32"/>
  <c r="G3468" i="32"/>
  <c r="G3469" i="32"/>
  <c r="G3470" i="32"/>
  <c r="G3471" i="32"/>
  <c r="G3472" i="32"/>
  <c r="G3473" i="32"/>
  <c r="G3474" i="32"/>
  <c r="G3475" i="32"/>
  <c r="G3476" i="32"/>
  <c r="G3477" i="32"/>
  <c r="G3478" i="32"/>
  <c r="G3479" i="32"/>
  <c r="G3480" i="32"/>
  <c r="G3481" i="32"/>
  <c r="G3482" i="32"/>
  <c r="G3483" i="32"/>
  <c r="G3484" i="32"/>
  <c r="G3485" i="32"/>
  <c r="G3486" i="32"/>
  <c r="G3487" i="32"/>
  <c r="G3488" i="32"/>
  <c r="G3489" i="32"/>
  <c r="G3490" i="32"/>
  <c r="G3491" i="32"/>
  <c r="G3492" i="32"/>
  <c r="G3493" i="32"/>
  <c r="G3494" i="32"/>
  <c r="G3495" i="32"/>
  <c r="G3496" i="32"/>
  <c r="G3497" i="32"/>
  <c r="G3498" i="32"/>
  <c r="G3499" i="32"/>
  <c r="G3500" i="32"/>
  <c r="G3501" i="32"/>
  <c r="G3502" i="32"/>
  <c r="G3503" i="32"/>
  <c r="G3504" i="32"/>
  <c r="G3505" i="32"/>
  <c r="G3506" i="32"/>
  <c r="G3507" i="32"/>
  <c r="G3508" i="32"/>
  <c r="G3509" i="32"/>
  <c r="G3510" i="32"/>
  <c r="G3511" i="32"/>
  <c r="G3512" i="32"/>
  <c r="G3513" i="32"/>
  <c r="G3514" i="32"/>
  <c r="G3515" i="32"/>
  <c r="G3516" i="32"/>
  <c r="G3517" i="32"/>
  <c r="G3518" i="32"/>
  <c r="G3519" i="32"/>
  <c r="G3520" i="32"/>
  <c r="G3521" i="32"/>
  <c r="G3522" i="32"/>
  <c r="G3523" i="32"/>
  <c r="G3524" i="32"/>
  <c r="G3525" i="32"/>
  <c r="G3526" i="32"/>
  <c r="G3527" i="32"/>
  <c r="G3528" i="32"/>
  <c r="G3529" i="32"/>
  <c r="G3530" i="32"/>
  <c r="G3531" i="32"/>
  <c r="G3532" i="32"/>
  <c r="G3533" i="32"/>
  <c r="G3534" i="32"/>
  <c r="G3535" i="32"/>
  <c r="G3536" i="32"/>
  <c r="G3537" i="32"/>
  <c r="G3538" i="32"/>
  <c r="G3539" i="32"/>
  <c r="G3540" i="32"/>
  <c r="G3541" i="32"/>
  <c r="G3542" i="32"/>
  <c r="G3543" i="32"/>
  <c r="G3544" i="32"/>
  <c r="G3545" i="32"/>
  <c r="G3546" i="32"/>
  <c r="G3547" i="32"/>
  <c r="G3548" i="32"/>
  <c r="G3549" i="32"/>
  <c r="G3550" i="32"/>
  <c r="G3551" i="32"/>
  <c r="G3552" i="32"/>
  <c r="G3553" i="32"/>
  <c r="G3554" i="32"/>
  <c r="G3555" i="32"/>
  <c r="G3556" i="32"/>
  <c r="G3557" i="32"/>
  <c r="G3558" i="32"/>
  <c r="G3559" i="32"/>
  <c r="G3560" i="32"/>
  <c r="G3561" i="32"/>
  <c r="G3562" i="32"/>
  <c r="G3563" i="32"/>
  <c r="G3564" i="32"/>
  <c r="G3565" i="32"/>
  <c r="G3566" i="32"/>
  <c r="G3567" i="32"/>
  <c r="G3568" i="32"/>
  <c r="G3569" i="32"/>
  <c r="G3570" i="32"/>
  <c r="G3571" i="32"/>
  <c r="G3572" i="32"/>
  <c r="G3573" i="32"/>
  <c r="G3574" i="32"/>
  <c r="G3575" i="32"/>
  <c r="G3576" i="32"/>
  <c r="G3577" i="32"/>
  <c r="G3578" i="32"/>
  <c r="G3579" i="32"/>
  <c r="G3580" i="32"/>
  <c r="G3581" i="32"/>
  <c r="G3582" i="32"/>
  <c r="G3583" i="32"/>
  <c r="G3584" i="32"/>
  <c r="G3585" i="32"/>
  <c r="G3586" i="32"/>
  <c r="G3587" i="32"/>
  <c r="G3588" i="32"/>
  <c r="G3589" i="32"/>
  <c r="G3590" i="32"/>
  <c r="G3591" i="32"/>
  <c r="G3592" i="32"/>
  <c r="G3593" i="32"/>
  <c r="G3594" i="32"/>
  <c r="G3595" i="32"/>
  <c r="G3596" i="32"/>
  <c r="G3597" i="32"/>
  <c r="G3598" i="32"/>
  <c r="G3599" i="32"/>
  <c r="G3600" i="32"/>
  <c r="G3601" i="32"/>
  <c r="G3602" i="32"/>
  <c r="G3603" i="32"/>
  <c r="G3604" i="32"/>
  <c r="G3605" i="32"/>
  <c r="G3606" i="32"/>
  <c r="G3607" i="32"/>
  <c r="G3608" i="32"/>
  <c r="G3609" i="32"/>
  <c r="G3610" i="32"/>
  <c r="G3611" i="32"/>
  <c r="G3612" i="32"/>
  <c r="G3613" i="32"/>
  <c r="G3614" i="32"/>
  <c r="G3615" i="32"/>
  <c r="G3616" i="32"/>
  <c r="G3617" i="32"/>
  <c r="G3618" i="32"/>
  <c r="G3619" i="32"/>
  <c r="G3620" i="32"/>
  <c r="G3621" i="32"/>
  <c r="G3622" i="32"/>
  <c r="G3623" i="32"/>
  <c r="G3624" i="32"/>
  <c r="G3625" i="32"/>
  <c r="G3626" i="32"/>
  <c r="G3627" i="32"/>
  <c r="G3628" i="32"/>
  <c r="G3629" i="32"/>
  <c r="G3630" i="32"/>
  <c r="G3631" i="32"/>
  <c r="G3632" i="32"/>
  <c r="G3633" i="32"/>
  <c r="G3634" i="32"/>
  <c r="G3635" i="32"/>
  <c r="G3636" i="32"/>
  <c r="G3637" i="32"/>
  <c r="G3638" i="32"/>
  <c r="G3639" i="32"/>
  <c r="G3640" i="32"/>
  <c r="G3641" i="32"/>
  <c r="G3642" i="32"/>
  <c r="G3643" i="32"/>
  <c r="G3644" i="32"/>
  <c r="G3645" i="32"/>
  <c r="G3646" i="32"/>
  <c r="G3647" i="32"/>
  <c r="G3648" i="32"/>
  <c r="G3649" i="32"/>
  <c r="G3650" i="32"/>
  <c r="G3651" i="32"/>
  <c r="G3652" i="32"/>
  <c r="G3653" i="32"/>
  <c r="G3654" i="32"/>
  <c r="G3655" i="32"/>
  <c r="G3656" i="32"/>
  <c r="G3657" i="32"/>
  <c r="G3658" i="32"/>
  <c r="G3659" i="32"/>
  <c r="G3660" i="32"/>
  <c r="G3661" i="32"/>
  <c r="G3662" i="32"/>
  <c r="G3663" i="32"/>
  <c r="G3664" i="32"/>
  <c r="G3665" i="32"/>
  <c r="G3666" i="32"/>
  <c r="G3667" i="32"/>
  <c r="G3668" i="32"/>
  <c r="G3669" i="32"/>
  <c r="G3670" i="32"/>
  <c r="G3671" i="32"/>
  <c r="G3672" i="32"/>
  <c r="G3673" i="32"/>
  <c r="G3674" i="32"/>
  <c r="G3675" i="32"/>
  <c r="G3676" i="32"/>
  <c r="G3677" i="32"/>
  <c r="G3678" i="32"/>
  <c r="G3679" i="32"/>
  <c r="G3680" i="32"/>
  <c r="G3681" i="32"/>
  <c r="G3682" i="32"/>
  <c r="G3683" i="32"/>
  <c r="G3684" i="32"/>
  <c r="G3685" i="32"/>
  <c r="G3686" i="32"/>
  <c r="G3687" i="32"/>
  <c r="G3688" i="32"/>
  <c r="G3689" i="32"/>
  <c r="G3690" i="32"/>
  <c r="G3691" i="32"/>
  <c r="G3692" i="32"/>
  <c r="G3693" i="32"/>
  <c r="G3694" i="32"/>
  <c r="G3695" i="32"/>
  <c r="G3696" i="32"/>
  <c r="G3697" i="32"/>
  <c r="G3698" i="32"/>
  <c r="G3699" i="32"/>
  <c r="G3700" i="32"/>
  <c r="G3701" i="32"/>
  <c r="G3702" i="32"/>
  <c r="G3703" i="32"/>
  <c r="G3704" i="32"/>
  <c r="G3705" i="32"/>
  <c r="G3706" i="32"/>
  <c r="G3707" i="32"/>
  <c r="G3708" i="32"/>
  <c r="G3709" i="32"/>
  <c r="G3710" i="32"/>
  <c r="G3711" i="32"/>
  <c r="G3712" i="32"/>
  <c r="G3713" i="32"/>
  <c r="G3714" i="32"/>
  <c r="G3715" i="32"/>
  <c r="G3716" i="32"/>
  <c r="G3717" i="32"/>
  <c r="G3718" i="32"/>
  <c r="G3719" i="32"/>
  <c r="G3720" i="32"/>
  <c r="G3721" i="32"/>
  <c r="G3722" i="32"/>
  <c r="G3723" i="32"/>
  <c r="G3724" i="32"/>
  <c r="G3725" i="32"/>
  <c r="G3726" i="32"/>
  <c r="G3727" i="32"/>
  <c r="G3728" i="32"/>
  <c r="G3729" i="32"/>
  <c r="G3730" i="32"/>
  <c r="G3731" i="32"/>
  <c r="G3732" i="32"/>
  <c r="G3733" i="32"/>
  <c r="G3734" i="32"/>
  <c r="G3735" i="32"/>
  <c r="G3736" i="32"/>
  <c r="G3737" i="32"/>
  <c r="G3738" i="32"/>
  <c r="G3739" i="32"/>
  <c r="G3740" i="32"/>
  <c r="G3741" i="32"/>
  <c r="G3742" i="32"/>
  <c r="G3743" i="32"/>
  <c r="G3744" i="32"/>
  <c r="G3745" i="32"/>
  <c r="G3746" i="32"/>
  <c r="G3747" i="32"/>
  <c r="G3748" i="32"/>
  <c r="G3749" i="32"/>
  <c r="G3750" i="32"/>
  <c r="G3751" i="32"/>
  <c r="G3752" i="32"/>
  <c r="G3753" i="32"/>
  <c r="G3754" i="32"/>
  <c r="G3755" i="32"/>
  <c r="G3756" i="32"/>
  <c r="G3757" i="32"/>
  <c r="G3758" i="32"/>
  <c r="G3759" i="32"/>
  <c r="G3760" i="32"/>
  <c r="G3761" i="32"/>
  <c r="G3762" i="32"/>
  <c r="G3763" i="32"/>
  <c r="G3764" i="32"/>
  <c r="G3765" i="32"/>
  <c r="G3766" i="32"/>
  <c r="G3767" i="32"/>
  <c r="G3768" i="32"/>
  <c r="G3769" i="32"/>
  <c r="G3770" i="32"/>
  <c r="G3771" i="32"/>
  <c r="G3772" i="32"/>
  <c r="G3773" i="32"/>
  <c r="G3774" i="32"/>
  <c r="G3775" i="32"/>
  <c r="G3776" i="32"/>
  <c r="G3777" i="32"/>
  <c r="G3778" i="32"/>
  <c r="G3779" i="32"/>
  <c r="G3780" i="32"/>
  <c r="G3781" i="32"/>
  <c r="G3782" i="32"/>
  <c r="G3783" i="32"/>
  <c r="G3784" i="32"/>
  <c r="G3785" i="32"/>
  <c r="G3786" i="32"/>
  <c r="G3787" i="32"/>
  <c r="G3788" i="32"/>
  <c r="G3789" i="32"/>
  <c r="G3790" i="32"/>
  <c r="G3791" i="32"/>
  <c r="G3792" i="32"/>
  <c r="G3793" i="32"/>
  <c r="G3794" i="32"/>
  <c r="G3795" i="32"/>
  <c r="G3796" i="32"/>
  <c r="G3797" i="32"/>
  <c r="G3798" i="32"/>
  <c r="G3799" i="32"/>
  <c r="G3800" i="32"/>
  <c r="G3801" i="32"/>
  <c r="G3802" i="32"/>
  <c r="G3803" i="32"/>
  <c r="G3804" i="32"/>
  <c r="G3805" i="32"/>
  <c r="G3806" i="32"/>
  <c r="G3807" i="32"/>
  <c r="G3808" i="32"/>
  <c r="G3809" i="32"/>
  <c r="G3810" i="32"/>
  <c r="G3811" i="32"/>
  <c r="G3812" i="32"/>
  <c r="G3813" i="32"/>
  <c r="G3814" i="32"/>
  <c r="G3815" i="32"/>
  <c r="G3816" i="32"/>
  <c r="G3817" i="32"/>
  <c r="G3818" i="32"/>
  <c r="G3819" i="32"/>
  <c r="G3820" i="32"/>
  <c r="G3821" i="32"/>
  <c r="G3822" i="32"/>
  <c r="G3823" i="32"/>
  <c r="G3824" i="32"/>
  <c r="G3825" i="32"/>
  <c r="G3826" i="32"/>
  <c r="G3827" i="32"/>
  <c r="G3828" i="32"/>
  <c r="G3829" i="32"/>
  <c r="G3830" i="32"/>
  <c r="G3831" i="32"/>
  <c r="G3832" i="32"/>
  <c r="G3833" i="32"/>
  <c r="G3834" i="32"/>
  <c r="G3835" i="32"/>
  <c r="G3836" i="32"/>
  <c r="G3837" i="32"/>
  <c r="G3838" i="32"/>
  <c r="G3839" i="32"/>
  <c r="G3840" i="32"/>
  <c r="G3841" i="32"/>
  <c r="G3842" i="32"/>
  <c r="G3843" i="32"/>
  <c r="G3844" i="32"/>
  <c r="G3845" i="32"/>
  <c r="G3846" i="32"/>
  <c r="G3847" i="32"/>
  <c r="G3848" i="32"/>
  <c r="G3849" i="32"/>
  <c r="G3850" i="32"/>
  <c r="G3851" i="32"/>
  <c r="G3852" i="32"/>
  <c r="G3853" i="32"/>
  <c r="G3854" i="32"/>
  <c r="G3855" i="32"/>
  <c r="G3856" i="32"/>
  <c r="G3857" i="32"/>
  <c r="G3858" i="32"/>
  <c r="G3859" i="32"/>
  <c r="G3860" i="32"/>
  <c r="G3861" i="32"/>
  <c r="G3862" i="32"/>
  <c r="G3863" i="32"/>
  <c r="G3864" i="32"/>
  <c r="G3865" i="32"/>
  <c r="G3866" i="32"/>
  <c r="G3867" i="32"/>
  <c r="G3868" i="32"/>
  <c r="G3869" i="32"/>
  <c r="G3870" i="32"/>
  <c r="G3871" i="32"/>
  <c r="G3872" i="32"/>
  <c r="G3873" i="32"/>
  <c r="G3874" i="32"/>
  <c r="G3875" i="32"/>
  <c r="G3876" i="32"/>
  <c r="G3877" i="32"/>
  <c r="G3878" i="32"/>
  <c r="G3879" i="32"/>
  <c r="G3880" i="32"/>
  <c r="G3881" i="32"/>
  <c r="G3882" i="32"/>
  <c r="G3883" i="32"/>
  <c r="G3884" i="32"/>
  <c r="G3885" i="32"/>
  <c r="G3886" i="32"/>
  <c r="G3887" i="32"/>
  <c r="G3888" i="32"/>
  <c r="G3889" i="32"/>
  <c r="G3890" i="32"/>
  <c r="G3891" i="32"/>
  <c r="G3892" i="32"/>
  <c r="G3893" i="32"/>
  <c r="G3894" i="32"/>
  <c r="G3895" i="32"/>
  <c r="G3896" i="32"/>
  <c r="G3897" i="32"/>
  <c r="G3898" i="32"/>
  <c r="G3899" i="32"/>
  <c r="G3900" i="32"/>
  <c r="G3901" i="32"/>
  <c r="G3902" i="32"/>
  <c r="G3903" i="32"/>
  <c r="G3904" i="32"/>
  <c r="G3905" i="32"/>
  <c r="G3906" i="32"/>
  <c r="G3907" i="32"/>
  <c r="G3908" i="32"/>
  <c r="G3909" i="32"/>
  <c r="G3910" i="32"/>
  <c r="G3911" i="32"/>
  <c r="G3912" i="32"/>
  <c r="G3913" i="32"/>
  <c r="G3914" i="32"/>
  <c r="G3915" i="32"/>
  <c r="G3916" i="32"/>
  <c r="G3917" i="32"/>
  <c r="G3918" i="32"/>
  <c r="G3919" i="32"/>
  <c r="G3920" i="32"/>
  <c r="G3921" i="32"/>
  <c r="G3922" i="32"/>
  <c r="G3923" i="32"/>
  <c r="G3924" i="32"/>
  <c r="G3925" i="32"/>
  <c r="G3926" i="32"/>
  <c r="G3927" i="32"/>
  <c r="G3928" i="32"/>
  <c r="G3929" i="32"/>
  <c r="G3930" i="32"/>
  <c r="G3931" i="32"/>
  <c r="G3932" i="32"/>
  <c r="G3933" i="32"/>
  <c r="G3934" i="32"/>
  <c r="G3935" i="32"/>
  <c r="G3936" i="32"/>
  <c r="G3937" i="32"/>
  <c r="G3938" i="32"/>
  <c r="G3939" i="32"/>
  <c r="G3940" i="32"/>
  <c r="G3941" i="32"/>
  <c r="G3943" i="32"/>
  <c r="G3944" i="32"/>
  <c r="G3947" i="32"/>
  <c r="G3949" i="32"/>
  <c r="G3951" i="32"/>
  <c r="G3953" i="32"/>
  <c r="G3955" i="32"/>
  <c r="G3957" i="32"/>
  <c r="G3959" i="32"/>
  <c r="G3961" i="32"/>
  <c r="G3963" i="32"/>
  <c r="G3965" i="32"/>
  <c r="G3967" i="32"/>
  <c r="G3969" i="32"/>
  <c r="G3971" i="32"/>
  <c r="G3976" i="32"/>
  <c r="G3978" i="32"/>
  <c r="G3980" i="32"/>
  <c r="G3988" i="32"/>
  <c r="G3991" i="32"/>
  <c r="G3993" i="32"/>
  <c r="G3996" i="32"/>
  <c r="G3998" i="32"/>
  <c r="G4000" i="32"/>
  <c r="G4002" i="32"/>
  <c r="G4007" i="32"/>
  <c r="G4009" i="32"/>
  <c r="G4011" i="32"/>
  <c r="G4014" i="32"/>
  <c r="G4015" i="32"/>
  <c r="G4017" i="32"/>
  <c r="G4019" i="32"/>
  <c r="G4021" i="32"/>
  <c r="G4023" i="32"/>
  <c r="G4025" i="32"/>
  <c r="G4027" i="32"/>
  <c r="G4029" i="32"/>
  <c r="G4030" i="32"/>
  <c r="G4032" i="32"/>
  <c r="G4035" i="32"/>
  <c r="G4037" i="32"/>
  <c r="G4040" i="32"/>
  <c r="G4043" i="32"/>
  <c r="G4047" i="32"/>
  <c r="G4048" i="32"/>
  <c r="G4050" i="32"/>
  <c r="G4052" i="32"/>
  <c r="G4054" i="32"/>
  <c r="G4056" i="32"/>
  <c r="G4058" i="32"/>
  <c r="G4060" i="32"/>
  <c r="G4062" i="32"/>
  <c r="G4065" i="32"/>
  <c r="G4067" i="32"/>
  <c r="G4069" i="32"/>
  <c r="G4070" i="32"/>
  <c r="G4072" i="32"/>
  <c r="G4074" i="32"/>
  <c r="G4076" i="32"/>
  <c r="G4079" i="32"/>
  <c r="G4081" i="32"/>
  <c r="G4082" i="32"/>
  <c r="G4084" i="32"/>
  <c r="G4085" i="32"/>
  <c r="G4087" i="32"/>
  <c r="G4089" i="32"/>
  <c r="G4091" i="32"/>
  <c r="G4093" i="32"/>
  <c r="G4095" i="32"/>
  <c r="G4097" i="32"/>
  <c r="G4099" i="32"/>
  <c r="G4103" i="32"/>
  <c r="G4105" i="32"/>
  <c r="G4107" i="32"/>
  <c r="G4111" i="32"/>
  <c r="G4113" i="32"/>
  <c r="G4114" i="32"/>
  <c r="G4116" i="32"/>
  <c r="G4118" i="32"/>
  <c r="G4120" i="32"/>
  <c r="G4121" i="32"/>
  <c r="G4123" i="32"/>
  <c r="G4125" i="32"/>
  <c r="G4127" i="32"/>
  <c r="G4129" i="32"/>
  <c r="G4130" i="32"/>
  <c r="G4132" i="32"/>
  <c r="G4133" i="32"/>
  <c r="G4136" i="32"/>
  <c r="G4139" i="32"/>
  <c r="G4141" i="32"/>
  <c r="G4142" i="32"/>
  <c r="G4144" i="32"/>
  <c r="G4146" i="32"/>
  <c r="G4148" i="32"/>
  <c r="G4149" i="32"/>
  <c r="G4151" i="32"/>
  <c r="G4153" i="32"/>
  <c r="G4155" i="32"/>
  <c r="G4157" i="32"/>
  <c r="G4159" i="32"/>
  <c r="G4161" i="32"/>
  <c r="G4165" i="32"/>
  <c r="G4166" i="32"/>
  <c r="G4168" i="32"/>
  <c r="G4172" i="32"/>
  <c r="G4173" i="32"/>
  <c r="G4175" i="32"/>
  <c r="G4177" i="32"/>
  <c r="G4179" i="32"/>
  <c r="G4183" i="32"/>
  <c r="G4185" i="32"/>
  <c r="G4192" i="32"/>
  <c r="G4195" i="32"/>
  <c r="G4239" i="32"/>
  <c r="G4241" i="32"/>
  <c r="G4242" i="32"/>
  <c r="G4244" i="32"/>
  <c r="G4245" i="32"/>
  <c r="G4247" i="32"/>
  <c r="G4249" i="32"/>
  <c r="G4250" i="32"/>
  <c r="G4252" i="32"/>
  <c r="G4254" i="32"/>
  <c r="G4256" i="32"/>
  <c r="G4259" i="32"/>
  <c r="G4261" i="32"/>
  <c r="G4263" i="32"/>
  <c r="G4265" i="32"/>
  <c r="G4268" i="32"/>
  <c r="G4270" i="32"/>
  <c r="G4278" i="32"/>
  <c r="G4280" i="32"/>
  <c r="G4283" i="32"/>
  <c r="G4287" i="32"/>
  <c r="G4289" i="32"/>
  <c r="G4291" i="32"/>
  <c r="G4295" i="32"/>
  <c r="G4297" i="32"/>
  <c r="G4299" i="32"/>
  <c r="G4302" i="32"/>
  <c r="G4304" i="32"/>
  <c r="G4307" i="32"/>
  <c r="G4311" i="32"/>
  <c r="G4314" i="32"/>
  <c r="G4319" i="32"/>
  <c r="G4321" i="32"/>
  <c r="G4322" i="32"/>
  <c r="G4325" i="32"/>
  <c r="G4328" i="32"/>
  <c r="G4329" i="32"/>
  <c r="G4331" i="32"/>
  <c r="G4333" i="32"/>
  <c r="G4335" i="32"/>
  <c r="G4337" i="32"/>
  <c r="G4339" i="32"/>
  <c r="G4341" i="32"/>
  <c r="G4343" i="32"/>
  <c r="G4345" i="32"/>
  <c r="G4347" i="32"/>
  <c r="G4352" i="32"/>
  <c r="G4355" i="32"/>
  <c r="G4357" i="32"/>
  <c r="G4360" i="32"/>
  <c r="G4361" i="32"/>
  <c r="G4363" i="32"/>
  <c r="G4366" i="32"/>
  <c r="G4369" i="32"/>
  <c r="G4371" i="32"/>
  <c r="G4374" i="32"/>
  <c r="G4375" i="32"/>
  <c r="G4376" i="32"/>
  <c r="G4377" i="32"/>
  <c r="G4378" i="32"/>
  <c r="G4380" i="32"/>
  <c r="G4382" i="32"/>
  <c r="G4384" i="32"/>
  <c r="G4387" i="32"/>
  <c r="G4389" i="32"/>
  <c r="G4391" i="32"/>
  <c r="G4393" i="32"/>
  <c r="G4395" i="32"/>
  <c r="G4397" i="32"/>
  <c r="G4400" i="32"/>
  <c r="G4401" i="32"/>
  <c r="G4403" i="32"/>
  <c r="G4406" i="32"/>
  <c r="G4408" i="32"/>
  <c r="G4410" i="32"/>
  <c r="G4412" i="32"/>
  <c r="G4413" i="32"/>
  <c r="G4415" i="32"/>
  <c r="G4417" i="32"/>
  <c r="G4419" i="32"/>
  <c r="G4421" i="32"/>
  <c r="G4422" i="32"/>
  <c r="G4424" i="32"/>
  <c r="G4427" i="32"/>
  <c r="G4430" i="32"/>
  <c r="G4432" i="32"/>
  <c r="G4435" i="32"/>
  <c r="G4437" i="32"/>
  <c r="G4439" i="32"/>
  <c r="G4441" i="32"/>
  <c r="G4442" i="32"/>
  <c r="G4444" i="32"/>
  <c r="G4445" i="32"/>
  <c r="G4447" i="32"/>
  <c r="G4449" i="32"/>
  <c r="G4451" i="32"/>
  <c r="G4453" i="32"/>
  <c r="G4455" i="32"/>
  <c r="G4457" i="32"/>
  <c r="G4459" i="32"/>
  <c r="G4461" i="32"/>
  <c r="G4463" i="32"/>
  <c r="G4465" i="32"/>
  <c r="G4467" i="32"/>
  <c r="G4469" i="32"/>
  <c r="G4470" i="32"/>
  <c r="G4472" i="32"/>
  <c r="G4475" i="32"/>
  <c r="G4477" i="32"/>
  <c r="G4479" i="32"/>
  <c r="G4481" i="32"/>
  <c r="G4483" i="32"/>
  <c r="G4485" i="32"/>
  <c r="G4487" i="32"/>
  <c r="G4489" i="32"/>
  <c r="G4490" i="32"/>
  <c r="G4492" i="32"/>
  <c r="G4493" i="32"/>
  <c r="G4495" i="32"/>
  <c r="G4497" i="32"/>
  <c r="G4499" i="32"/>
  <c r="G4501" i="32"/>
  <c r="G4504" i="32"/>
  <c r="G4505" i="32"/>
  <c r="G4507" i="32"/>
  <c r="G4509" i="32"/>
  <c r="G4511" i="32"/>
  <c r="G4513" i="32"/>
  <c r="G4515" i="32"/>
  <c r="G4517" i="32"/>
  <c r="G4520" i="32"/>
  <c r="G4523" i="32"/>
  <c r="G4525" i="32"/>
  <c r="G4527" i="32"/>
  <c r="G4529" i="32"/>
  <c r="G4531" i="32"/>
  <c r="G4533" i="32"/>
  <c r="G4535" i="32"/>
  <c r="G4537" i="32"/>
  <c r="G4539" i="32"/>
  <c r="G4541" i="32"/>
  <c r="G4543" i="32"/>
  <c r="G4545" i="32"/>
  <c r="G4546" i="32"/>
  <c r="G4548" i="32"/>
  <c r="G4550" i="32"/>
  <c r="G4552" i="32"/>
  <c r="G4553" i="32"/>
  <c r="G4554" i="32"/>
  <c r="G4556" i="32"/>
  <c r="G4558" i="32"/>
  <c r="G4560" i="32"/>
  <c r="G4561" i="32"/>
  <c r="G4563" i="32"/>
  <c r="G4565" i="32"/>
  <c r="G4568" i="32"/>
  <c r="G4570" i="32"/>
  <c r="G4572" i="32"/>
  <c r="G4574" i="32"/>
  <c r="G4576" i="32"/>
  <c r="G4579" i="32"/>
  <c r="G4581" i="32"/>
  <c r="G4583" i="32"/>
  <c r="G4585" i="32"/>
  <c r="G4587" i="32"/>
  <c r="G4589" i="32"/>
  <c r="G4592" i="32"/>
  <c r="G4595" i="32"/>
  <c r="G4597" i="32"/>
  <c r="G4599" i="32"/>
  <c r="G4601" i="32"/>
  <c r="G4603" i="32"/>
  <c r="G4607" i="32"/>
  <c r="G4608" i="32"/>
  <c r="G4609" i="32"/>
  <c r="G4611" i="32"/>
  <c r="G4613" i="32"/>
  <c r="G4615" i="32"/>
  <c r="G4617" i="32"/>
  <c r="G4619" i="32"/>
  <c r="G4621" i="32"/>
  <c r="G4625" i="32"/>
  <c r="G4628" i="32"/>
  <c r="G4630" i="32"/>
  <c r="G4632" i="32"/>
  <c r="G4635" i="32"/>
  <c r="G4637" i="32"/>
  <c r="G4639" i="32"/>
  <c r="G4641" i="32"/>
  <c r="G4643" i="32"/>
  <c r="G4645" i="32"/>
  <c r="G4646" i="32"/>
  <c r="G4647" i="32"/>
  <c r="G4648" i="32"/>
  <c r="G4651" i="32"/>
  <c r="G4653" i="32"/>
  <c r="G4655" i="32"/>
  <c r="G4657" i="32"/>
  <c r="G4658" i="32"/>
  <c r="G4660" i="32"/>
  <c r="G4661" i="32"/>
  <c r="G4662" i="32"/>
  <c r="G4664" i="32"/>
  <c r="G4666" i="32"/>
  <c r="G4668" i="32"/>
  <c r="G4669" i="32"/>
  <c r="G4671" i="32"/>
  <c r="G4673" i="32"/>
  <c r="G4675" i="32"/>
  <c r="G4677" i="32"/>
  <c r="G4678" i="32"/>
  <c r="G4680" i="32"/>
  <c r="G4682" i="32"/>
  <c r="G4684" i="32"/>
  <c r="G4687" i="32"/>
  <c r="G4689" i="32"/>
  <c r="G4691" i="32"/>
  <c r="G4693" i="32"/>
  <c r="G4695" i="32"/>
  <c r="G4697" i="32"/>
  <c r="G4698" i="32"/>
  <c r="G4700" i="32"/>
  <c r="G4702" i="32"/>
  <c r="G4704" i="32"/>
  <c r="G4705" i="32"/>
  <c r="G4707" i="32"/>
  <c r="G4709" i="32"/>
  <c r="G4712" i="32"/>
  <c r="G4715" i="32"/>
  <c r="G4717" i="32"/>
  <c r="G4719" i="32"/>
  <c r="G4721" i="32"/>
  <c r="G4722" i="32"/>
  <c r="G4724" i="32"/>
  <c r="G4725" i="32"/>
  <c r="G4727" i="32"/>
  <c r="G4729" i="32"/>
  <c r="G4731" i="32"/>
  <c r="G4733" i="32"/>
  <c r="G4735" i="32"/>
  <c r="G4737" i="32"/>
  <c r="G4739" i="32"/>
  <c r="G4741" i="32"/>
  <c r="G4744" i="32"/>
  <c r="G4745" i="32"/>
  <c r="G4746" i="32"/>
  <c r="G4748" i="32"/>
  <c r="G4750" i="32"/>
  <c r="G4752" i="32"/>
  <c r="G4754" i="32"/>
  <c r="G4756" i="32"/>
  <c r="G4758" i="32"/>
  <c r="G4760" i="32"/>
  <c r="G4761" i="32"/>
  <c r="G4763" i="32"/>
  <c r="G4764" i="32"/>
  <c r="G4765" i="32"/>
  <c r="G4767" i="32"/>
  <c r="G4769" i="32"/>
  <c r="G4772" i="32"/>
  <c r="G4774" i="32"/>
  <c r="G4776" i="32"/>
  <c r="G4780" i="32"/>
  <c r="G4781" i="32"/>
  <c r="G4783" i="32"/>
  <c r="G4785" i="32"/>
  <c r="G4787" i="32"/>
  <c r="G4789" i="32"/>
  <c r="G4791" i="32"/>
  <c r="G4793" i="32"/>
  <c r="G4794" i="32"/>
  <c r="G4796" i="32"/>
  <c r="G4798" i="32"/>
  <c r="G4800" i="32"/>
  <c r="G4801" i="32"/>
  <c r="G4802" i="32"/>
  <c r="G4805" i="32"/>
  <c r="G4807" i="32"/>
  <c r="G4809" i="32"/>
  <c r="G4811" i="32"/>
  <c r="G4813" i="32"/>
  <c r="G4815" i="32"/>
  <c r="G4817" i="32"/>
  <c r="G4818" i="32"/>
  <c r="G4819" i="32"/>
  <c r="G4823" i="32"/>
  <c r="G4825" i="32"/>
  <c r="G4827" i="32"/>
  <c r="G4829" i="32"/>
  <c r="G4832" i="32"/>
  <c r="G4833" i="32"/>
  <c r="G4835" i="32"/>
  <c r="G4837" i="32"/>
  <c r="G4839" i="32"/>
  <c r="G4841" i="32"/>
  <c r="G4843" i="32"/>
  <c r="G4845" i="32"/>
  <c r="G4846" i="32"/>
  <c r="G4848" i="32"/>
  <c r="G4851" i="32"/>
  <c r="G4856" i="32"/>
  <c r="G4858" i="32"/>
  <c r="G4860" i="32"/>
  <c r="G4862" i="32"/>
  <c r="G4864" i="32"/>
  <c r="G4867" i="32"/>
  <c r="G4872" i="32"/>
  <c r="G4875" i="32"/>
  <c r="G4880" i="32"/>
  <c r="G4883" i="32"/>
  <c r="G4886" i="32"/>
  <c r="G4888" i="32"/>
  <c r="G4891" i="32"/>
  <c r="G4893" i="32"/>
  <c r="G4895" i="32"/>
  <c r="G4897" i="32"/>
  <c r="G4898" i="32"/>
  <c r="G4900" i="32"/>
  <c r="G4902" i="32"/>
  <c r="G4904" i="32"/>
  <c r="G4905" i="32"/>
  <c r="G4906" i="32"/>
  <c r="G4908" i="32"/>
  <c r="G4909" i="32"/>
  <c r="G4911" i="32"/>
  <c r="G4913" i="32"/>
  <c r="G4914" i="32"/>
  <c r="G4916" i="32"/>
  <c r="G4919" i="32"/>
  <c r="G4925" i="32"/>
  <c r="G4927" i="32"/>
  <c r="G4929" i="32"/>
  <c r="G4932" i="32"/>
  <c r="G4934" i="32"/>
  <c r="G4935" i="32"/>
  <c r="G4936" i="32"/>
  <c r="G4939" i="32"/>
  <c r="G4943" i="32"/>
  <c r="G4945" i="32"/>
  <c r="G4947" i="32"/>
  <c r="G4949" i="32"/>
  <c r="G4951" i="32"/>
  <c r="G4953" i="32"/>
  <c r="G4955" i="32"/>
  <c r="G4957" i="32"/>
  <c r="G4959" i="32"/>
  <c r="G4961" i="32"/>
  <c r="G4962" i="32"/>
  <c r="G4964" i="32"/>
  <c r="G4967" i="32"/>
  <c r="G4969" i="32"/>
  <c r="G4972" i="32"/>
  <c r="G4974" i="32"/>
  <c r="G4976" i="32"/>
  <c r="G4977" i="32"/>
  <c r="G4978" i="32"/>
  <c r="G4980" i="32"/>
  <c r="G4982" i="32"/>
  <c r="G4984" i="32"/>
  <c r="G4986" i="32"/>
  <c r="G4988" i="32"/>
  <c r="G4990" i="32"/>
  <c r="G4992" i="32"/>
  <c r="G4993" i="32"/>
  <c r="G4995" i="32"/>
  <c r="G4997" i="32"/>
  <c r="G5000" i="32"/>
  <c r="G5001" i="32"/>
  <c r="G5006" i="32"/>
  <c r="G5007" i="32"/>
  <c r="G5009" i="32"/>
  <c r="G5011" i="32"/>
  <c r="G5016" i="32"/>
  <c r="G5017" i="32"/>
  <c r="G5019" i="32"/>
  <c r="G5021" i="32"/>
  <c r="G5024" i="32"/>
  <c r="G5025" i="32"/>
  <c r="G5027" i="32"/>
  <c r="G5031" i="32"/>
  <c r="G5033" i="32"/>
  <c r="G5035" i="32"/>
  <c r="G5037" i="32"/>
  <c r="G5039" i="32"/>
  <c r="G5041" i="32"/>
  <c r="G5043" i="32"/>
  <c r="G5045" i="32"/>
  <c r="G5048" i="32"/>
  <c r="G5051" i="32"/>
  <c r="G5053" i="32"/>
  <c r="G5055" i="32"/>
  <c r="G5056" i="32"/>
  <c r="G6151" i="32"/>
  <c r="G6152" i="32"/>
  <c r="G6154" i="32"/>
  <c r="G6156" i="32"/>
  <c r="G6158" i="32"/>
  <c r="G6160" i="32"/>
  <c r="G6163" i="32"/>
  <c r="G6170" i="32"/>
  <c r="G6173" i="32"/>
  <c r="G6176" i="32"/>
  <c r="G6178" i="32"/>
  <c r="G6180" i="32"/>
  <c r="G6183" i="32"/>
  <c r="G6186" i="32"/>
  <c r="G6193" i="32"/>
  <c r="G6197" i="32"/>
  <c r="G6199" i="32"/>
  <c r="G6203" i="32"/>
  <c r="G6205" i="32"/>
  <c r="G6208" i="32"/>
  <c r="G6212" i="32"/>
  <c r="G6216" i="32"/>
  <c r="G6221" i="32"/>
  <c r="G6227" i="32"/>
  <c r="G6231" i="32"/>
  <c r="G6234" i="32"/>
  <c r="G6236" i="32"/>
  <c r="G6239" i="32"/>
  <c r="G6241" i="32"/>
  <c r="G6244" i="32"/>
  <c r="G6245" i="32"/>
  <c r="G6247" i="32"/>
  <c r="G6250" i="32"/>
  <c r="G6252" i="32"/>
  <c r="G6255" i="32"/>
  <c r="G6259" i="32"/>
  <c r="G6262" i="32"/>
  <c r="G6269" i="32"/>
  <c r="G6271" i="32"/>
  <c r="G6273" i="32"/>
  <c r="G6275" i="32"/>
  <c r="G6278" i="32"/>
  <c r="G6280" i="32"/>
  <c r="G6282" i="32"/>
  <c r="G6287" i="32"/>
  <c r="G6289" i="32"/>
  <c r="G6291" i="32"/>
  <c r="G6296" i="32"/>
  <c r="G6299" i="32"/>
  <c r="G6301" i="32"/>
  <c r="G6306" i="32"/>
  <c r="G6308" i="32"/>
  <c r="G6309" i="32"/>
  <c r="G6312" i="32"/>
  <c r="G6315" i="32"/>
  <c r="G6317" i="32"/>
  <c r="G6319" i="32"/>
  <c r="G6321" i="32"/>
  <c r="G6324" i="32"/>
  <c r="G6326" i="32"/>
  <c r="G6328" i="32"/>
  <c r="G6330" i="32"/>
  <c r="G6332" i="32"/>
  <c r="G6333" i="32"/>
  <c r="G6336" i="32"/>
  <c r="G6338" i="32"/>
  <c r="G6340" i="32"/>
  <c r="G6343" i="32"/>
  <c r="G6345" i="32"/>
  <c r="G6347" i="32"/>
  <c r="G6352" i="32"/>
  <c r="G6358" i="32"/>
  <c r="G6360" i="32"/>
  <c r="G6362" i="32"/>
  <c r="G6364" i="32"/>
  <c r="G6368" i="32"/>
  <c r="G6370" i="32"/>
  <c r="G6372" i="32"/>
  <c r="G6374" i="32"/>
  <c r="G6379" i="32"/>
  <c r="G6382" i="32"/>
  <c r="G6383" i="32"/>
  <c r="G6385" i="32"/>
  <c r="G6387" i="32"/>
  <c r="G6390" i="32"/>
  <c r="G6392" i="32"/>
  <c r="G6396" i="32"/>
  <c r="G6398" i="32"/>
  <c r="G6403" i="32"/>
  <c r="G6406" i="32"/>
  <c r="G6409" i="32"/>
  <c r="G6415" i="32"/>
  <c r="G6418" i="32"/>
  <c r="G6421" i="32"/>
  <c r="G6424" i="32"/>
  <c r="G6426" i="32"/>
  <c r="G6428" i="32"/>
  <c r="G6431" i="32"/>
  <c r="G6434" i="32"/>
  <c r="G6437" i="32"/>
  <c r="G6441" i="32"/>
  <c r="G6443" i="32"/>
  <c r="G6449" i="32"/>
  <c r="G6453" i="32"/>
  <c r="G6457" i="32"/>
  <c r="G6459" i="32"/>
  <c r="G6461" i="32"/>
  <c r="G6465" i="32"/>
  <c r="G6467" i="32"/>
  <c r="G6475" i="32"/>
  <c r="G6478" i="32"/>
  <c r="G5058" i="32"/>
  <c r="G5059" i="32"/>
  <c r="G5060" i="32"/>
  <c r="G5061" i="32"/>
  <c r="G5062" i="32"/>
  <c r="G5063" i="32"/>
  <c r="G5064" i="32"/>
  <c r="G5065" i="32"/>
  <c r="G5066" i="32"/>
  <c r="G5067" i="32"/>
  <c r="G5068" i="32"/>
  <c r="G5069" i="32"/>
  <c r="G5070" i="32"/>
  <c r="G5071" i="32"/>
  <c r="G5072" i="32"/>
  <c r="G5073" i="32"/>
  <c r="G5074" i="32"/>
  <c r="G5075" i="32"/>
  <c r="G5076" i="32"/>
  <c r="G5077" i="32"/>
  <c r="G5078" i="32"/>
  <c r="G5079" i="32"/>
  <c r="G5080" i="32"/>
  <c r="G5081" i="32"/>
  <c r="G5082" i="32"/>
  <c r="G5083" i="32"/>
  <c r="G5084" i="32"/>
  <c r="G5085" i="32"/>
  <c r="G5086" i="32"/>
  <c r="G5087" i="32"/>
  <c r="G5088" i="32"/>
  <c r="G5089" i="32"/>
  <c r="G5090" i="32"/>
  <c r="G5091" i="32"/>
  <c r="G5092" i="32"/>
  <c r="G5093" i="32"/>
  <c r="G5094" i="32"/>
  <c r="G5095" i="32"/>
  <c r="G5096" i="32"/>
  <c r="G5097" i="32"/>
  <c r="G5098" i="32"/>
  <c r="G5099" i="32"/>
  <c r="G5100" i="32"/>
  <c r="G5101" i="32"/>
  <c r="G5102" i="32"/>
  <c r="G5103" i="32"/>
  <c r="G5104" i="32"/>
  <c r="G5105" i="32"/>
  <c r="G5106" i="32"/>
  <c r="G5107" i="32"/>
  <c r="G5108" i="32"/>
  <c r="G5109" i="32"/>
  <c r="G5110" i="32"/>
  <c r="G5111" i="32"/>
  <c r="G5112" i="32"/>
  <c r="G5113" i="32"/>
  <c r="G5114" i="32"/>
  <c r="G5115" i="32"/>
  <c r="G5116" i="32"/>
  <c r="G5117" i="32"/>
  <c r="G5118" i="32"/>
  <c r="G5119" i="32"/>
  <c r="G5120" i="32"/>
  <c r="G5121" i="32"/>
  <c r="G5122" i="32"/>
  <c r="G5123" i="32"/>
  <c r="G5124" i="32"/>
  <c r="G5125" i="32"/>
  <c r="G5126" i="32"/>
  <c r="G5127" i="32"/>
  <c r="G5128" i="32"/>
  <c r="G5129" i="32"/>
  <c r="G5130" i="32"/>
  <c r="G5131" i="32"/>
  <c r="G5132" i="32"/>
  <c r="G5133" i="32"/>
  <c r="G5134" i="32"/>
  <c r="G5135" i="32"/>
  <c r="G5136" i="32"/>
  <c r="G5137" i="32"/>
  <c r="G5138" i="32"/>
  <c r="G5139" i="32"/>
  <c r="G5140" i="32"/>
  <c r="G5141" i="32"/>
  <c r="G5142" i="32"/>
  <c r="G5143" i="32"/>
  <c r="G5144" i="32"/>
  <c r="G5145" i="32"/>
  <c r="G5146" i="32"/>
  <c r="G5147" i="32"/>
  <c r="G5148" i="32"/>
  <c r="G5149" i="32"/>
  <c r="G5150" i="32"/>
  <c r="G5151" i="32"/>
  <c r="G5152" i="32"/>
  <c r="G5153" i="32"/>
  <c r="G5154" i="32"/>
  <c r="G5155" i="32"/>
  <c r="G5156" i="32"/>
  <c r="G5157" i="32"/>
  <c r="G5158" i="32"/>
  <c r="G5159" i="32"/>
  <c r="G5160" i="32"/>
  <c r="G5161" i="32"/>
  <c r="G5162" i="32"/>
  <c r="G5163" i="32"/>
  <c r="G5164" i="32"/>
  <c r="G5165" i="32"/>
  <c r="G5166" i="32"/>
  <c r="G5167" i="32"/>
  <c r="G5168" i="32"/>
  <c r="G5169" i="32"/>
  <c r="G5170" i="32"/>
  <c r="G5171" i="32"/>
  <c r="G5172" i="32"/>
  <c r="G5173" i="32"/>
  <c r="G5174" i="32"/>
  <c r="G5175" i="32"/>
  <c r="G5176" i="32"/>
  <c r="G5177" i="32"/>
  <c r="G5178" i="32"/>
  <c r="G5179" i="32"/>
  <c r="G5180" i="32"/>
  <c r="G5181" i="32"/>
  <c r="G5182" i="32"/>
  <c r="G5183" i="32"/>
  <c r="G5184" i="32"/>
  <c r="G5185" i="32"/>
  <c r="G5186" i="32"/>
  <c r="G5187" i="32"/>
  <c r="G5188" i="32"/>
  <c r="G5189" i="32"/>
  <c r="G5190" i="32"/>
  <c r="G5191" i="32"/>
  <c r="G5192" i="32"/>
  <c r="G5193" i="32"/>
  <c r="G5194" i="32"/>
  <c r="G5195" i="32"/>
  <c r="G5196" i="32"/>
  <c r="G5197" i="32"/>
  <c r="G5198" i="32"/>
  <c r="G5199" i="32"/>
  <c r="G5200" i="32"/>
  <c r="G5201" i="32"/>
  <c r="G5202" i="32"/>
  <c r="G5203" i="32"/>
  <c r="G5204" i="32"/>
  <c r="G5205" i="32"/>
  <c r="G5206" i="32"/>
  <c r="G5207" i="32"/>
  <c r="G5208" i="32"/>
  <c r="G5209" i="32"/>
  <c r="G5210" i="32"/>
  <c r="G5211" i="32"/>
  <c r="G5212" i="32"/>
  <c r="G5213" i="32"/>
  <c r="G5214" i="32"/>
  <c r="G5215" i="32"/>
  <c r="G5216" i="32"/>
  <c r="G5217" i="32"/>
  <c r="G5218" i="32"/>
  <c r="G5219" i="32"/>
  <c r="G5220" i="32"/>
  <c r="G5221" i="32"/>
  <c r="G5222" i="32"/>
  <c r="G5223" i="32"/>
  <c r="G5224" i="32"/>
  <c r="G5225" i="32"/>
  <c r="G5226" i="32"/>
  <c r="G5227" i="32"/>
  <c r="G5228" i="32"/>
  <c r="G5229" i="32"/>
  <c r="G5230" i="32"/>
  <c r="G5231" i="32"/>
  <c r="G5232" i="32"/>
  <c r="G5233" i="32"/>
  <c r="G5234" i="32"/>
  <c r="G5235" i="32"/>
  <c r="G5236" i="32"/>
  <c r="G5237" i="32"/>
  <c r="G5238" i="32"/>
  <c r="G5239" i="32"/>
  <c r="G5240" i="32"/>
  <c r="G5241" i="32"/>
  <c r="G5242" i="32"/>
  <c r="G5243" i="32"/>
  <c r="G5244" i="32"/>
  <c r="G5245" i="32"/>
  <c r="G5246" i="32"/>
  <c r="G5247" i="32"/>
  <c r="G5248" i="32"/>
  <c r="G5249" i="32"/>
  <c r="G5250" i="32"/>
  <c r="G5251" i="32"/>
  <c r="G5252" i="32"/>
  <c r="G5253" i="32"/>
  <c r="G5254" i="32"/>
  <c r="G5255" i="32"/>
  <c r="G5256" i="32"/>
  <c r="G5257" i="32"/>
  <c r="G5258" i="32"/>
  <c r="G5259" i="32"/>
  <c r="G5260" i="32"/>
  <c r="G5261" i="32"/>
  <c r="G5262" i="32"/>
  <c r="G5263" i="32"/>
  <c r="G5264" i="32"/>
  <c r="G5265" i="32"/>
  <c r="G5266" i="32"/>
  <c r="G5267" i="32"/>
  <c r="G5268" i="32"/>
  <c r="G5269" i="32"/>
  <c r="G5270" i="32"/>
  <c r="G5271" i="32"/>
  <c r="G5272" i="32"/>
  <c r="G5273" i="32"/>
  <c r="G5274" i="32"/>
  <c r="G5275" i="32"/>
  <c r="G5276" i="32"/>
  <c r="G5277" i="32"/>
  <c r="G5278" i="32"/>
  <c r="G5279" i="32"/>
  <c r="G5280" i="32"/>
  <c r="G5281" i="32"/>
  <c r="G5282" i="32"/>
  <c r="G5283" i="32"/>
  <c r="G5284" i="32"/>
  <c r="G5285" i="32"/>
  <c r="G5286" i="32"/>
  <c r="G5287" i="32"/>
  <c r="G5288" i="32"/>
  <c r="G5289" i="32"/>
  <c r="G5290" i="32"/>
  <c r="G5291" i="32"/>
  <c r="G5292" i="32"/>
  <c r="G5293" i="32"/>
  <c r="G5294" i="32"/>
  <c r="G5295" i="32"/>
  <c r="G5296" i="32"/>
  <c r="G5297" i="32"/>
  <c r="G5298" i="32"/>
  <c r="G5299" i="32"/>
  <c r="G5300" i="32"/>
  <c r="G5301" i="32"/>
  <c r="G5302" i="32"/>
  <c r="G5303" i="32"/>
  <c r="G5304" i="32"/>
  <c r="G5305" i="32"/>
  <c r="G5306" i="32"/>
  <c r="G5307" i="32"/>
  <c r="G5308" i="32"/>
  <c r="G5309" i="32"/>
  <c r="G5310" i="32"/>
  <c r="G5311" i="32"/>
  <c r="G5312" i="32"/>
  <c r="G5313" i="32"/>
  <c r="G5314" i="32"/>
  <c r="G5315" i="32"/>
  <c r="G5316" i="32"/>
  <c r="G5317" i="32"/>
  <c r="G5318" i="32"/>
  <c r="G5319" i="32"/>
  <c r="G5320" i="32"/>
  <c r="G5321" i="32"/>
  <c r="G5322" i="32"/>
  <c r="G5323" i="32"/>
  <c r="G5324" i="32"/>
  <c r="G5325" i="32"/>
  <c r="G5326" i="32"/>
  <c r="G5327" i="32"/>
  <c r="G5328" i="32"/>
  <c r="G5329" i="32"/>
  <c r="G5330" i="32"/>
  <c r="G5331" i="32"/>
  <c r="G5332" i="32"/>
  <c r="G5333" i="32"/>
  <c r="G5334" i="32"/>
  <c r="G5335" i="32"/>
  <c r="G5336" i="32"/>
  <c r="G5337" i="32"/>
  <c r="G5338" i="32"/>
  <c r="G5339" i="32"/>
  <c r="G5340" i="32"/>
  <c r="G5341" i="32"/>
  <c r="G5342" i="32"/>
  <c r="G5343" i="32"/>
  <c r="G5344" i="32"/>
  <c r="G5345" i="32"/>
  <c r="G5346" i="32"/>
  <c r="G5347" i="32"/>
  <c r="G5348" i="32"/>
  <c r="G5349" i="32"/>
  <c r="G5350" i="32"/>
  <c r="G5351" i="32"/>
  <c r="G5352" i="32"/>
  <c r="G5353" i="32"/>
  <c r="G5354" i="32"/>
  <c r="G5355" i="32"/>
  <c r="G5356" i="32"/>
  <c r="G5357" i="32"/>
  <c r="G5358" i="32"/>
  <c r="G5359" i="32"/>
  <c r="G5360" i="32"/>
  <c r="G5361" i="32"/>
  <c r="G5362" i="32"/>
  <c r="G5363" i="32"/>
  <c r="G5364" i="32"/>
  <c r="G5365" i="32"/>
  <c r="G5366" i="32"/>
  <c r="G5367" i="32"/>
  <c r="G5368" i="32"/>
  <c r="G5369" i="32"/>
  <c r="G5370" i="32"/>
  <c r="G5371" i="32"/>
  <c r="G5372" i="32"/>
  <c r="G5373" i="32"/>
  <c r="G5374" i="32"/>
  <c r="G5375" i="32"/>
  <c r="G5376" i="32"/>
  <c r="G5377" i="32"/>
  <c r="G5378" i="32"/>
  <c r="G5379" i="32"/>
  <c r="G5380" i="32"/>
  <c r="G5381" i="32"/>
  <c r="G5382" i="32"/>
  <c r="G5383" i="32"/>
  <c r="G5384" i="32"/>
  <c r="G5385" i="32"/>
  <c r="G5386" i="32"/>
  <c r="G5387" i="32"/>
  <c r="G5388" i="32"/>
  <c r="G5389" i="32"/>
  <c r="G5390" i="32"/>
  <c r="G5391" i="32"/>
  <c r="G5392" i="32"/>
  <c r="G5393" i="32"/>
  <c r="G5394" i="32"/>
  <c r="G5395" i="32"/>
  <c r="G5396" i="32"/>
  <c r="G5397" i="32"/>
  <c r="G5398" i="32"/>
  <c r="G5399" i="32"/>
  <c r="G5400" i="32"/>
  <c r="G5401" i="32"/>
  <c r="G5402" i="32"/>
  <c r="G5403" i="32"/>
  <c r="G5404" i="32"/>
  <c r="G5405" i="32"/>
  <c r="G5406" i="32"/>
  <c r="G5407" i="32"/>
  <c r="G5408" i="32"/>
  <c r="G5409" i="32"/>
  <c r="G5410" i="32"/>
  <c r="G5411" i="32"/>
  <c r="G5412" i="32"/>
  <c r="G5413" i="32"/>
  <c r="G5414" i="32"/>
  <c r="G5415" i="32"/>
  <c r="G5416" i="32"/>
  <c r="G5417" i="32"/>
  <c r="G5418" i="32"/>
  <c r="G5419" i="32"/>
  <c r="G5420" i="32"/>
  <c r="G5421" i="32"/>
  <c r="G5422" i="32"/>
  <c r="G5423" i="32"/>
  <c r="G5424" i="32"/>
  <c r="G5425" i="32"/>
  <c r="G5426" i="32"/>
  <c r="G5427" i="32"/>
  <c r="G5428" i="32"/>
  <c r="G5429" i="32"/>
  <c r="G5430" i="32"/>
  <c r="G5431" i="32"/>
  <c r="G5432" i="32"/>
  <c r="G5433" i="32"/>
  <c r="G5434" i="32"/>
  <c r="G5435" i="32"/>
  <c r="G5436" i="32"/>
  <c r="G5437" i="32"/>
  <c r="G5438" i="32"/>
  <c r="G5439" i="32"/>
  <c r="G5440" i="32"/>
  <c r="G5441" i="32"/>
  <c r="G5442" i="32"/>
  <c r="G5443" i="32"/>
  <c r="G5444" i="32"/>
  <c r="G5445" i="32"/>
  <c r="G5446" i="32"/>
  <c r="G5447" i="32"/>
  <c r="G5448" i="32"/>
  <c r="G5449" i="32"/>
  <c r="G5450" i="32"/>
  <c r="G5451" i="32"/>
  <c r="G5452" i="32"/>
  <c r="G5453" i="32"/>
  <c r="G5454" i="32"/>
  <c r="G5455" i="32"/>
  <c r="G5456" i="32"/>
  <c r="G5457" i="32"/>
  <c r="G5458" i="32"/>
  <c r="G5459" i="32"/>
  <c r="G5460" i="32"/>
  <c r="G5461" i="32"/>
  <c r="G5462" i="32"/>
  <c r="G5463" i="32"/>
  <c r="G5464" i="32"/>
  <c r="G5465" i="32"/>
  <c r="G5466" i="32"/>
  <c r="G5467" i="32"/>
  <c r="G5468" i="32"/>
  <c r="G5469" i="32"/>
  <c r="G5470" i="32"/>
  <c r="G5471" i="32"/>
  <c r="G5472" i="32"/>
  <c r="G5473" i="32"/>
  <c r="G5474" i="32"/>
  <c r="G5475" i="32"/>
  <c r="G5476" i="32"/>
  <c r="G5477" i="32"/>
  <c r="G5478" i="32"/>
  <c r="G5479" i="32"/>
  <c r="G5480" i="32"/>
  <c r="G5481" i="32"/>
  <c r="G5482" i="32"/>
  <c r="G5483" i="32"/>
  <c r="G5484" i="32"/>
  <c r="G5485" i="32"/>
  <c r="G5486" i="32"/>
  <c r="G5487" i="32"/>
  <c r="G5488" i="32"/>
  <c r="G5489" i="32"/>
  <c r="G5490" i="32"/>
  <c r="G5491" i="32"/>
  <c r="G5492" i="32"/>
  <c r="G5493" i="32"/>
  <c r="G5494" i="32"/>
  <c r="G5495" i="32"/>
  <c r="G5496" i="32"/>
  <c r="G5497" i="32"/>
  <c r="G5498" i="32"/>
  <c r="G5499" i="32"/>
  <c r="G5500" i="32"/>
  <c r="G5501" i="32"/>
  <c r="G5502" i="32"/>
  <c r="G5503" i="32"/>
  <c r="G5504" i="32"/>
  <c r="G5505" i="32"/>
  <c r="G5506" i="32"/>
  <c r="G5507" i="32"/>
  <c r="G5508" i="32"/>
  <c r="G5509" i="32"/>
  <c r="G5510" i="32"/>
  <c r="G5511" i="32"/>
  <c r="G5512" i="32"/>
  <c r="G5513" i="32"/>
  <c r="G5514" i="32"/>
  <c r="G5515" i="32"/>
  <c r="G5516" i="32"/>
  <c r="G5517" i="32"/>
  <c r="G5518" i="32"/>
  <c r="G5519" i="32"/>
  <c r="G5520" i="32"/>
  <c r="G5521" i="32"/>
  <c r="G5522" i="32"/>
  <c r="G5523" i="32"/>
  <c r="G5524" i="32"/>
  <c r="G5525" i="32"/>
  <c r="G5526" i="32"/>
  <c r="G5527" i="32"/>
  <c r="G5528" i="32"/>
  <c r="G5529" i="32"/>
  <c r="G5530" i="32"/>
  <c r="G5531" i="32"/>
  <c r="G5532" i="32"/>
  <c r="G5533" i="32"/>
  <c r="G5534" i="32"/>
  <c r="G5535" i="32"/>
  <c r="G5536" i="32"/>
  <c r="G5537" i="32"/>
  <c r="G5538" i="32"/>
  <c r="G5539" i="32"/>
  <c r="G5540" i="32"/>
  <c r="G5541" i="32"/>
  <c r="G5542" i="32"/>
  <c r="G5543" i="32"/>
  <c r="G5544" i="32"/>
  <c r="G5545" i="32"/>
  <c r="G5546" i="32"/>
  <c r="G5547" i="32"/>
  <c r="G5548" i="32"/>
  <c r="G5549" i="32"/>
  <c r="G5550" i="32"/>
  <c r="G5551" i="32"/>
  <c r="G5552" i="32"/>
  <c r="G5553" i="32"/>
  <c r="G5554" i="32"/>
  <c r="G5555" i="32"/>
  <c r="G5556" i="32"/>
  <c r="G5557" i="32"/>
  <c r="G5558" i="32"/>
  <c r="G5559" i="32"/>
  <c r="G5560" i="32"/>
  <c r="G5561" i="32"/>
  <c r="G5562" i="32"/>
  <c r="G5563" i="32"/>
  <c r="G5564" i="32"/>
  <c r="G5565" i="32"/>
  <c r="G5566" i="32"/>
  <c r="G5567" i="32"/>
  <c r="G5568" i="32"/>
  <c r="G5569" i="32"/>
  <c r="G5570" i="32"/>
  <c r="G5571" i="32"/>
  <c r="G5572" i="32"/>
  <c r="G5573" i="32"/>
  <c r="G5574" i="32"/>
  <c r="G5575" i="32"/>
  <c r="G5576" i="32"/>
  <c r="G5577" i="32"/>
  <c r="G5578" i="32"/>
  <c r="G5579" i="32"/>
  <c r="G5580" i="32"/>
  <c r="G5581" i="32"/>
  <c r="G5582" i="32"/>
  <c r="G5583" i="32"/>
  <c r="G5584" i="32"/>
  <c r="G5585" i="32"/>
  <c r="G5586" i="32"/>
  <c r="G5587" i="32"/>
  <c r="G5588" i="32"/>
  <c r="G5589" i="32"/>
  <c r="G5590" i="32"/>
  <c r="G5591" i="32"/>
  <c r="G5592" i="32"/>
  <c r="G5593" i="32"/>
  <c r="G5594" i="32"/>
  <c r="G5595" i="32"/>
  <c r="G5596" i="32"/>
  <c r="G5597" i="32"/>
  <c r="G5598" i="32"/>
  <c r="G5599" i="32"/>
  <c r="G5600" i="32"/>
  <c r="G5601" i="32"/>
  <c r="G5602" i="32"/>
  <c r="G5603" i="32"/>
  <c r="G5604" i="32"/>
  <c r="G5605" i="32"/>
  <c r="G5606" i="32"/>
  <c r="G5607" i="32"/>
  <c r="G5608" i="32"/>
  <c r="G5609" i="32"/>
  <c r="G5610" i="32"/>
  <c r="G5611" i="32"/>
  <c r="G5612" i="32"/>
  <c r="G5613" i="32"/>
  <c r="G5614" i="32"/>
  <c r="G5615" i="32"/>
  <c r="G5616" i="32"/>
  <c r="G5617" i="32"/>
  <c r="G5618" i="32"/>
  <c r="G5619" i="32"/>
  <c r="G5620" i="32"/>
  <c r="G5621" i="32"/>
  <c r="G5622" i="32"/>
  <c r="G5623" i="32"/>
  <c r="G5624" i="32"/>
  <c r="G5625" i="32"/>
  <c r="G5626" i="32"/>
  <c r="G5627" i="32"/>
  <c r="G5628" i="32"/>
  <c r="G5629" i="32"/>
  <c r="G5630" i="32"/>
  <c r="G5631" i="32"/>
  <c r="G5632" i="32"/>
  <c r="G5633" i="32"/>
  <c r="G5634" i="32"/>
  <c r="G5635" i="32"/>
  <c r="G5636" i="32"/>
  <c r="G5637" i="32"/>
  <c r="G5638" i="32"/>
  <c r="G5639" i="32"/>
  <c r="G5640" i="32"/>
  <c r="G5641" i="32"/>
  <c r="G5642" i="32"/>
  <c r="G5643" i="32"/>
  <c r="G5644" i="32"/>
  <c r="G5645" i="32"/>
  <c r="G5646" i="32"/>
  <c r="G5647" i="32"/>
  <c r="G5648" i="32"/>
  <c r="G5649" i="32"/>
  <c r="G5650" i="32"/>
  <c r="G5651" i="32"/>
  <c r="G5652" i="32"/>
  <c r="G5653" i="32"/>
  <c r="G5654" i="32"/>
  <c r="G5655" i="32"/>
  <c r="G5656" i="32"/>
  <c r="G5657" i="32"/>
  <c r="G5658" i="32"/>
  <c r="G5659" i="32"/>
  <c r="G5660" i="32"/>
  <c r="G5661" i="32"/>
  <c r="G5662" i="32"/>
  <c r="G5663" i="32"/>
  <c r="G5664" i="32"/>
  <c r="G5665" i="32"/>
  <c r="G5666" i="32"/>
  <c r="G5667" i="32"/>
  <c r="G5668" i="32"/>
  <c r="G5669" i="32"/>
  <c r="G5670" i="32"/>
  <c r="G5671" i="32"/>
  <c r="G5672" i="32"/>
  <c r="G5673" i="32"/>
  <c r="G5674" i="32"/>
  <c r="G5675" i="32"/>
  <c r="G5676" i="32"/>
  <c r="G5677" i="32"/>
  <c r="G5678" i="32"/>
  <c r="G5679" i="32"/>
  <c r="G5680" i="32"/>
  <c r="G5681" i="32"/>
  <c r="G5682" i="32"/>
  <c r="G5683" i="32"/>
  <c r="G5684" i="32"/>
  <c r="G5685" i="32"/>
  <c r="G5686" i="32"/>
  <c r="G5687" i="32"/>
  <c r="G5688" i="32"/>
  <c r="G5689" i="32"/>
  <c r="G5690" i="32"/>
  <c r="G5691" i="32"/>
  <c r="G5692" i="32"/>
  <c r="G5693" i="32"/>
  <c r="G5694" i="32"/>
  <c r="G5695" i="32"/>
  <c r="G5696" i="32"/>
  <c r="G5697" i="32"/>
  <c r="G5698" i="32"/>
  <c r="G5699" i="32"/>
  <c r="G5700" i="32"/>
  <c r="G5701" i="32"/>
  <c r="G5702" i="32"/>
  <c r="G5703" i="32"/>
  <c r="G5704" i="32"/>
  <c r="G5705" i="32"/>
  <c r="G5706" i="32"/>
  <c r="G5707" i="32"/>
  <c r="G5708" i="32"/>
  <c r="G5709" i="32"/>
  <c r="G5710" i="32"/>
  <c r="G5711" i="32"/>
  <c r="G5712" i="32"/>
  <c r="G5713" i="32"/>
  <c r="G5714" i="32"/>
  <c r="G5715" i="32"/>
  <c r="G5716" i="32"/>
  <c r="G5717" i="32"/>
  <c r="G5718" i="32"/>
  <c r="G5719" i="32"/>
  <c r="G5720" i="32"/>
  <c r="G5721" i="32"/>
  <c r="G5722" i="32"/>
  <c r="G5723" i="32"/>
  <c r="G5724" i="32"/>
  <c r="G5725" i="32"/>
  <c r="G5726" i="32"/>
  <c r="G5727" i="32"/>
  <c r="G5728" i="32"/>
  <c r="G5729" i="32"/>
  <c r="G5730" i="32"/>
  <c r="G5731" i="32"/>
  <c r="G5732" i="32"/>
  <c r="G5733" i="32"/>
  <c r="G5734" i="32"/>
  <c r="G5735" i="32"/>
  <c r="G5736" i="32"/>
  <c r="G5737" i="32"/>
  <c r="G5738" i="32"/>
  <c r="G5739" i="32"/>
  <c r="G5740" i="32"/>
  <c r="G5741" i="32"/>
  <c r="G5742" i="32"/>
  <c r="G5743" i="32"/>
  <c r="G5744" i="32"/>
  <c r="G5745" i="32"/>
  <c r="G5746" i="32"/>
  <c r="G5747" i="32"/>
  <c r="G5748" i="32"/>
  <c r="G5749" i="32"/>
  <c r="G5750" i="32"/>
  <c r="G5751" i="32"/>
  <c r="G5752" i="32"/>
  <c r="G5753" i="32"/>
  <c r="G5754" i="32"/>
  <c r="G5755" i="32"/>
  <c r="G5756" i="32"/>
  <c r="G5757" i="32"/>
  <c r="G5758" i="32"/>
  <c r="G5759" i="32"/>
  <c r="G5760" i="32"/>
  <c r="G5761" i="32"/>
  <c r="G5762" i="32"/>
  <c r="G5763" i="32"/>
  <c r="G5764" i="32"/>
  <c r="G5765" i="32"/>
  <c r="G5766" i="32"/>
  <c r="G5767" i="32"/>
  <c r="G5768" i="32"/>
  <c r="G5769" i="32"/>
  <c r="G5770" i="32"/>
  <c r="G5771" i="32"/>
  <c r="G5772" i="32"/>
  <c r="G5773" i="32"/>
  <c r="G5774" i="32"/>
  <c r="G5775" i="32"/>
  <c r="G5776" i="32"/>
  <c r="G5777" i="32"/>
  <c r="G5778" i="32"/>
  <c r="G5779" i="32"/>
  <c r="G5780" i="32"/>
  <c r="G5781" i="32"/>
  <c r="G5782" i="32"/>
  <c r="G5783" i="32"/>
  <c r="G5784" i="32"/>
  <c r="G5785" i="32"/>
  <c r="G5786" i="32"/>
  <c r="G5787" i="32"/>
  <c r="G5788" i="32"/>
  <c r="G5789" i="32"/>
  <c r="G5790" i="32"/>
  <c r="G5791" i="32"/>
  <c r="G5792" i="32"/>
  <c r="G5793" i="32"/>
  <c r="G5794" i="32"/>
  <c r="G5795" i="32"/>
  <c r="G5796" i="32"/>
  <c r="G5797" i="32"/>
  <c r="G5798" i="32"/>
  <c r="G5799" i="32"/>
  <c r="G5800" i="32"/>
  <c r="G5801" i="32"/>
  <c r="G5802" i="32"/>
  <c r="G5803" i="32"/>
  <c r="G5804" i="32"/>
  <c r="G5805" i="32"/>
  <c r="G5806" i="32"/>
  <c r="G5807" i="32"/>
  <c r="G5808" i="32"/>
  <c r="G5809" i="32"/>
  <c r="G5810" i="32"/>
  <c r="G5811" i="32"/>
  <c r="G5812" i="32"/>
  <c r="G5813" i="32"/>
  <c r="G5814" i="32"/>
  <c r="G5815" i="32"/>
  <c r="G5816" i="32"/>
  <c r="G5817" i="32"/>
  <c r="G5818" i="32"/>
  <c r="G5819" i="32"/>
  <c r="G5820" i="32"/>
  <c r="G5821" i="32"/>
  <c r="G5822" i="32"/>
  <c r="G5823" i="32"/>
  <c r="G5824" i="32"/>
  <c r="G5825" i="32"/>
  <c r="G5826" i="32"/>
  <c r="G5827" i="32"/>
  <c r="G5828" i="32"/>
  <c r="G5829" i="32"/>
  <c r="G5830" i="32"/>
  <c r="G5831" i="32"/>
  <c r="G5832" i="32"/>
  <c r="G5833" i="32"/>
  <c r="G5834" i="32"/>
  <c r="G5835" i="32"/>
  <c r="G5836" i="32"/>
  <c r="G5837" i="32"/>
  <c r="G5838" i="32"/>
  <c r="G5839" i="32"/>
  <c r="G5840" i="32"/>
  <c r="G5841" i="32"/>
  <c r="G5842" i="32"/>
  <c r="G5843" i="32"/>
  <c r="G5844" i="32"/>
  <c r="G5845" i="32"/>
  <c r="G5846" i="32"/>
  <c r="G5847" i="32"/>
  <c r="G5848" i="32"/>
  <c r="G5849" i="32"/>
  <c r="G5850" i="32"/>
  <c r="G5851" i="32"/>
  <c r="G5852" i="32"/>
  <c r="G5853" i="32"/>
  <c r="G5854" i="32"/>
  <c r="G5855" i="32"/>
  <c r="G5856" i="32"/>
  <c r="G5857" i="32"/>
  <c r="G5858" i="32"/>
  <c r="G5859" i="32"/>
  <c r="G5860" i="32"/>
  <c r="G5861" i="32"/>
  <c r="G5862" i="32"/>
  <c r="G5863" i="32"/>
  <c r="G5864" i="32"/>
  <c r="G5865" i="32"/>
  <c r="G5866" i="32"/>
  <c r="G5867" i="32"/>
  <c r="G5868" i="32"/>
  <c r="G5869" i="32"/>
  <c r="G5870" i="32"/>
  <c r="G5871" i="32"/>
  <c r="G5872" i="32"/>
  <c r="G5873" i="32"/>
  <c r="G5874" i="32"/>
  <c r="G5875" i="32"/>
  <c r="G5876" i="32"/>
  <c r="G5877" i="32"/>
  <c r="G5878" i="32"/>
  <c r="G5879" i="32"/>
  <c r="G5880" i="32"/>
  <c r="G5881" i="32"/>
  <c r="G5882" i="32"/>
  <c r="G5883" i="32"/>
  <c r="G5884" i="32"/>
  <c r="G5885" i="32"/>
  <c r="G5886" i="32"/>
  <c r="G5887" i="32"/>
  <c r="G5888" i="32"/>
  <c r="G5889" i="32"/>
  <c r="G5890" i="32"/>
  <c r="G5891" i="32"/>
  <c r="G5892" i="32"/>
  <c r="G5893" i="32"/>
  <c r="G5894" i="32"/>
  <c r="G5895" i="32"/>
  <c r="G5896" i="32"/>
  <c r="G5897" i="32"/>
  <c r="G5898" i="32"/>
  <c r="G5899" i="32"/>
  <c r="G5900" i="32"/>
  <c r="G5901" i="32"/>
  <c r="G5902" i="32"/>
  <c r="G5903" i="32"/>
  <c r="G5904" i="32"/>
  <c r="G5905" i="32"/>
  <c r="G5906" i="32"/>
  <c r="G5907" i="32"/>
  <c r="G5908" i="32"/>
  <c r="G5909" i="32"/>
  <c r="G5910" i="32"/>
  <c r="G5911" i="32"/>
  <c r="G5912" i="32"/>
  <c r="G5913" i="32"/>
  <c r="G5914" i="32"/>
  <c r="G5915" i="32"/>
  <c r="G5916" i="32"/>
  <c r="G5917" i="32"/>
  <c r="G5918" i="32"/>
  <c r="G5919" i="32"/>
  <c r="G5920" i="32"/>
  <c r="G5921" i="32"/>
  <c r="G5922" i="32"/>
  <c r="G5923" i="32"/>
  <c r="G5924" i="32"/>
  <c r="G5925" i="32"/>
  <c r="G5926" i="32"/>
  <c r="G5927" i="32"/>
  <c r="G5928" i="32"/>
  <c r="G5929" i="32"/>
  <c r="G5930" i="32"/>
  <c r="G5931" i="32"/>
  <c r="G5932" i="32"/>
  <c r="G5933" i="32"/>
  <c r="G5934" i="32"/>
  <c r="G5935" i="32"/>
  <c r="G5936" i="32"/>
  <c r="G5937" i="32"/>
  <c r="G5938" i="32"/>
  <c r="G5939" i="32"/>
  <c r="G5940" i="32"/>
  <c r="G5941" i="32"/>
  <c r="G5942" i="32"/>
  <c r="G5943" i="32"/>
  <c r="G5944" i="32"/>
  <c r="G5945" i="32"/>
  <c r="G5946" i="32"/>
  <c r="G5947" i="32"/>
  <c r="G5948" i="32"/>
  <c r="G5949" i="32"/>
  <c r="G5950" i="32"/>
  <c r="G5951" i="32"/>
  <c r="G5952" i="32"/>
  <c r="G5953" i="32"/>
  <c r="G5954" i="32"/>
  <c r="G5955" i="32"/>
  <c r="G5956" i="32"/>
  <c r="G5957" i="32"/>
  <c r="G5958" i="32"/>
  <c r="G5959" i="32"/>
  <c r="G5960" i="32"/>
  <c r="G5961" i="32"/>
  <c r="G5962" i="32"/>
  <c r="G5963" i="32"/>
  <c r="G5964" i="32"/>
  <c r="G5965" i="32"/>
  <c r="G5966" i="32"/>
  <c r="G5967" i="32"/>
  <c r="G5968" i="32"/>
  <c r="G5969" i="32"/>
  <c r="G5970" i="32"/>
  <c r="G5971" i="32"/>
  <c r="G5972" i="32"/>
  <c r="G5973" i="32"/>
  <c r="G5974" i="32"/>
  <c r="G5975" i="32"/>
  <c r="G5976" i="32"/>
  <c r="G5977" i="32"/>
  <c r="G5978" i="32"/>
  <c r="G5979" i="32"/>
  <c r="G5980" i="32"/>
  <c r="G5981" i="32"/>
  <c r="G5982" i="32"/>
  <c r="G5983" i="32"/>
  <c r="G5984" i="32"/>
  <c r="G5985" i="32"/>
  <c r="G5986" i="32"/>
  <c r="G5987" i="32"/>
  <c r="G5988" i="32"/>
  <c r="G5989" i="32"/>
  <c r="G5990" i="32"/>
  <c r="G5991" i="32"/>
  <c r="G5992" i="32"/>
  <c r="G5993" i="32"/>
  <c r="G5994" i="32"/>
  <c r="G5995" i="32"/>
  <c r="G5996" i="32"/>
  <c r="G5997" i="32"/>
  <c r="G5998" i="32"/>
  <c r="G5999" i="32"/>
  <c r="G6000" i="32"/>
  <c r="G6001" i="32"/>
  <c r="G6002" i="32"/>
  <c r="G6003" i="32"/>
  <c r="G6004" i="32"/>
  <c r="G6005" i="32"/>
  <c r="G6006" i="32"/>
  <c r="G6007" i="32"/>
  <c r="G6008" i="32"/>
  <c r="G6009" i="32"/>
  <c r="G6010" i="32"/>
  <c r="G6011" i="32"/>
  <c r="G6012" i="32"/>
  <c r="G6013" i="32"/>
  <c r="G6014" i="32"/>
  <c r="G6015" i="32"/>
  <c r="G6016" i="32"/>
  <c r="G6017" i="32"/>
  <c r="G6018" i="32"/>
  <c r="G6019" i="32"/>
  <c r="G6020" i="32"/>
  <c r="G6021" i="32"/>
  <c r="G6022" i="32"/>
  <c r="G6023" i="32"/>
  <c r="G6024" i="32"/>
  <c r="G6025" i="32"/>
  <c r="G6026" i="32"/>
  <c r="G6027" i="32"/>
  <c r="G6028" i="32"/>
  <c r="G6029" i="32"/>
  <c r="G6030" i="32"/>
  <c r="G6031" i="32"/>
  <c r="G6032" i="32"/>
  <c r="G6033" i="32"/>
  <c r="G6034" i="32"/>
  <c r="G6035" i="32"/>
  <c r="G6036" i="32"/>
  <c r="G6037" i="32"/>
  <c r="G6038" i="32"/>
  <c r="G6039" i="32"/>
  <c r="G6040" i="32"/>
  <c r="G6041" i="32"/>
  <c r="G6042" i="32"/>
  <c r="G6043" i="32"/>
  <c r="G6044" i="32"/>
  <c r="G6045" i="32"/>
  <c r="G6046" i="32"/>
  <c r="G6047" i="32"/>
  <c r="G6048" i="32"/>
  <c r="G6049" i="32"/>
  <c r="G6050" i="32"/>
  <c r="G6051" i="32"/>
  <c r="G6052" i="32"/>
  <c r="G6053" i="32"/>
  <c r="G6054" i="32"/>
  <c r="G6055" i="32"/>
  <c r="G6056" i="32"/>
  <c r="G6057" i="32"/>
  <c r="G6058" i="32"/>
  <c r="G6059" i="32"/>
  <c r="G6060" i="32"/>
  <c r="G6061" i="32"/>
  <c r="G6062" i="32"/>
  <c r="G6063" i="32"/>
  <c r="G6064" i="32"/>
  <c r="G6065" i="32"/>
  <c r="G6066" i="32"/>
  <c r="G6067" i="32"/>
  <c r="G6068" i="32"/>
  <c r="G6069" i="32"/>
  <c r="G6070" i="32"/>
  <c r="G6071" i="32"/>
  <c r="G6072" i="32"/>
  <c r="G6073" i="32"/>
  <c r="G6074" i="32"/>
  <c r="G6075" i="32"/>
  <c r="G6076" i="32"/>
  <c r="G6077" i="32"/>
  <c r="G6078" i="32"/>
  <c r="G6079" i="32"/>
  <c r="G6080" i="32"/>
  <c r="G6081" i="32"/>
  <c r="G6082" i="32"/>
  <c r="G6083" i="32"/>
  <c r="G6084" i="32"/>
  <c r="G6085" i="32"/>
  <c r="G6086" i="32"/>
  <c r="G6087" i="32"/>
  <c r="G6088" i="32"/>
  <c r="G6089" i="32"/>
  <c r="G6090" i="32"/>
  <c r="G6091" i="32"/>
  <c r="G6092" i="32"/>
  <c r="G6093" i="32"/>
  <c r="G6094" i="32"/>
  <c r="G6095" i="32"/>
  <c r="G6096" i="32"/>
  <c r="G6097" i="32"/>
  <c r="G6098" i="32"/>
  <c r="G6099" i="32"/>
  <c r="G6100" i="32"/>
  <c r="G6101" i="32"/>
  <c r="G6102" i="32"/>
  <c r="G6103" i="32"/>
  <c r="G6104" i="32"/>
  <c r="G6105" i="32"/>
  <c r="G6106" i="32"/>
  <c r="G6107" i="32"/>
  <c r="G6108" i="32"/>
  <c r="G6109" i="32"/>
  <c r="G6110" i="32"/>
  <c r="G6111" i="32"/>
  <c r="G6112" i="32"/>
  <c r="G6113" i="32"/>
  <c r="G6114" i="32"/>
  <c r="G6115" i="32"/>
  <c r="G6116" i="32"/>
  <c r="G6117" i="32"/>
  <c r="G6118" i="32"/>
  <c r="G6119" i="32"/>
  <c r="G6120" i="32"/>
  <c r="G6121" i="32"/>
  <c r="G6122" i="32"/>
  <c r="G6123" i="32"/>
  <c r="G6124" i="32"/>
  <c r="G6125" i="32"/>
  <c r="G6126" i="32"/>
  <c r="G6127" i="32"/>
  <c r="G6128" i="32"/>
  <c r="G6129" i="32"/>
  <c r="G6130" i="32"/>
  <c r="G6131" i="32"/>
  <c r="G6132" i="32"/>
  <c r="G6133" i="32"/>
  <c r="G6134" i="32"/>
  <c r="G6135" i="32"/>
  <c r="G6136" i="32"/>
  <c r="G6137" i="32"/>
  <c r="G6138" i="32"/>
  <c r="G6139" i="32"/>
  <c r="G6140" i="32"/>
  <c r="G6141" i="32"/>
  <c r="G6142" i="32"/>
  <c r="G6143" i="32"/>
  <c r="G6144" i="32"/>
  <c r="G6145" i="32"/>
  <c r="G6146" i="32"/>
  <c r="G6147" i="32"/>
  <c r="G6153" i="32"/>
  <c r="G6157" i="32"/>
  <c r="G6161" i="32"/>
  <c r="G6168" i="32"/>
  <c r="G6174" i="32"/>
  <c r="G6177" i="32"/>
  <c r="G6179" i="32"/>
  <c r="G6185" i="32"/>
  <c r="G6187" i="32"/>
  <c r="G6192" i="32"/>
  <c r="G6198" i="32"/>
  <c r="G6200" i="32"/>
  <c r="G6201" i="32"/>
  <c r="G6204" i="32"/>
  <c r="G6207" i="32"/>
  <c r="G6211" i="32"/>
  <c r="G6214" i="32"/>
  <c r="G6219" i="32"/>
  <c r="G6224" i="32"/>
  <c r="G6226" i="32"/>
  <c r="G6232" i="32"/>
  <c r="G6233" i="32"/>
  <c r="G6237" i="32"/>
  <c r="G6240" i="32"/>
  <c r="G6242" i="32"/>
  <c r="G6246" i="32"/>
  <c r="G6249" i="32"/>
  <c r="G6253" i="32"/>
  <c r="G6254" i="32"/>
  <c r="G6256" i="32"/>
  <c r="G6261" i="32"/>
  <c r="G6266" i="32"/>
  <c r="G6268" i="32"/>
  <c r="G13" i="32"/>
  <c r="G14" i="32"/>
  <c r="G6281" i="32"/>
  <c r="G6283" i="32"/>
  <c r="G6288" i="32"/>
  <c r="G6290" i="32"/>
  <c r="G6295" i="32"/>
  <c r="G6300" i="32"/>
  <c r="G6302" i="32"/>
  <c r="G6304" i="32"/>
  <c r="G6307" i="32"/>
  <c r="G6310" i="32"/>
  <c r="G6316" i="32"/>
  <c r="G6318" i="32"/>
  <c r="G6320" i="32"/>
  <c r="G6322" i="32"/>
  <c r="G6325" i="32"/>
  <c r="G6327" i="32"/>
  <c r="G6329" i="32"/>
  <c r="G6331" i="32"/>
  <c r="G6334" i="32"/>
  <c r="G6337" i="32"/>
  <c r="G6341" i="32"/>
  <c r="G6342" i="32"/>
  <c r="G6344" i="32"/>
  <c r="G6349" i="32"/>
  <c r="G6351" i="32"/>
  <c r="G6355" i="32"/>
  <c r="G6357" i="32"/>
  <c r="G6361" i="32"/>
  <c r="G6367" i="32"/>
  <c r="G6369" i="32"/>
  <c r="G6373" i="32"/>
  <c r="G6375" i="32"/>
  <c r="G6377" i="32"/>
  <c r="G6384" i="32"/>
  <c r="G6386" i="32"/>
  <c r="G6391" i="32"/>
  <c r="G6395" i="32"/>
  <c r="G6397" i="32"/>
  <c r="G6400" i="32"/>
  <c r="G6402" i="32"/>
  <c r="G6408" i="32"/>
  <c r="G6414" i="32"/>
  <c r="G6417" i="32"/>
  <c r="G6419" i="32"/>
  <c r="G6422" i="32"/>
  <c r="G6425" i="32"/>
  <c r="G6427" i="32"/>
  <c r="G6433" i="32"/>
  <c r="G6438" i="32"/>
  <c r="G6440" i="32"/>
  <c r="G6442" i="32"/>
  <c r="G6447" i="32"/>
  <c r="G6450" i="32"/>
  <c r="G6454" i="32"/>
  <c r="G6456" i="32"/>
  <c r="G6462" i="32"/>
  <c r="G6464" i="32"/>
  <c r="G6466" i="32"/>
  <c r="G6472" i="32"/>
  <c r="G6474" i="32"/>
  <c r="G6744" i="32"/>
  <c r="G6745" i="32"/>
  <c r="G6746" i="32"/>
  <c r="G6747" i="32"/>
  <c r="G6748" i="32"/>
  <c r="G6749" i="32"/>
  <c r="G6750" i="32"/>
  <c r="G6751" i="32"/>
  <c r="G6752" i="32"/>
  <c r="G6753" i="32"/>
  <c r="G6754" i="32"/>
  <c r="G6755" i="32"/>
  <c r="G6756" i="32"/>
  <c r="G6757" i="32"/>
  <c r="G6758" i="32"/>
  <c r="G6759" i="32"/>
  <c r="G6760" i="32"/>
  <c r="G6761" i="32"/>
  <c r="G6762" i="32"/>
  <c r="G6763" i="32"/>
  <c r="G6764" i="32"/>
  <c r="G6765" i="32"/>
  <c r="G6766" i="32"/>
  <c r="G6767" i="32"/>
  <c r="G6768" i="32"/>
  <c r="G6769" i="32"/>
  <c r="G6770" i="32"/>
  <c r="G6771" i="32"/>
  <c r="G6772" i="32"/>
  <c r="G6773" i="32"/>
  <c r="G6774" i="32"/>
  <c r="G6775" i="32"/>
  <c r="G6776" i="32"/>
  <c r="G6777" i="32"/>
  <c r="G6778" i="32"/>
  <c r="G6779" i="32"/>
  <c r="G6780" i="32"/>
  <c r="G6781" i="32"/>
  <c r="G6782" i="32"/>
  <c r="G6783" i="32"/>
  <c r="G6784" i="32"/>
  <c r="G6785" i="32"/>
  <c r="G6786" i="32"/>
  <c r="G6787" i="32"/>
  <c r="G6788" i="32"/>
  <c r="G6789" i="32"/>
  <c r="G6790" i="32"/>
  <c r="G6791" i="32"/>
  <c r="G6792" i="32"/>
  <c r="G6793" i="32"/>
  <c r="G6794" i="32"/>
  <c r="G6795" i="32"/>
  <c r="G6796" i="32"/>
  <c r="G6797" i="32"/>
  <c r="G6798" i="32"/>
  <c r="G6799" i="32"/>
  <c r="G6800" i="32"/>
  <c r="G6801" i="32"/>
  <c r="G6802" i="32"/>
  <c r="G6803" i="32"/>
  <c r="G6804" i="32"/>
  <c r="G6805" i="32"/>
  <c r="G6806" i="32"/>
  <c r="G6807" i="32"/>
  <c r="G6808" i="32"/>
  <c r="G6809" i="32"/>
  <c r="G6810" i="32"/>
  <c r="G6811" i="32"/>
  <c r="G6812" i="32"/>
  <c r="G6813" i="32"/>
  <c r="G6814" i="32"/>
  <c r="G6815" i="32"/>
  <c r="G6816" i="32"/>
  <c r="G6817" i="32"/>
  <c r="G6818" i="32"/>
  <c r="G6819" i="32"/>
  <c r="G6820" i="32"/>
  <c r="G6821" i="32"/>
  <c r="G6822" i="32"/>
  <c r="G6823" i="32"/>
  <c r="G6824" i="32"/>
  <c r="G6825" i="32"/>
  <c r="G6826" i="32"/>
  <c r="G6827" i="32"/>
  <c r="G6828" i="32"/>
  <c r="G6829" i="32"/>
  <c r="G6830" i="32"/>
  <c r="G6831" i="32"/>
  <c r="G6832" i="32"/>
  <c r="G6833" i="32"/>
  <c r="G6834" i="32"/>
  <c r="G6835" i="32"/>
  <c r="G6836" i="32"/>
  <c r="G6837" i="32"/>
  <c r="G6838" i="32"/>
  <c r="G6839" i="32"/>
  <c r="G6840" i="32"/>
  <c r="G6841" i="32"/>
  <c r="G6842" i="32"/>
  <c r="G6843" i="32"/>
  <c r="G6844" i="32"/>
  <c r="G6845" i="32"/>
  <c r="G6846" i="32"/>
  <c r="G6847" i="32"/>
  <c r="G6848" i="32"/>
  <c r="G6849" i="32"/>
  <c r="G6850" i="32"/>
  <c r="G6851" i="32"/>
  <c r="G6852" i="32"/>
  <c r="G6853" i="32"/>
  <c r="G6854" i="32"/>
  <c r="G6855" i="32"/>
  <c r="G6856" i="32"/>
  <c r="G6857" i="32"/>
  <c r="G6858" i="32"/>
  <c r="G6859" i="32"/>
  <c r="G6860" i="32"/>
  <c r="G6861" i="32"/>
  <c r="G6862" i="32"/>
  <c r="G6863" i="32"/>
  <c r="G6864" i="32"/>
  <c r="G6865" i="32"/>
  <c r="G6866" i="32"/>
  <c r="G6867" i="32"/>
  <c r="G6868" i="32"/>
  <c r="G6869" i="32"/>
  <c r="G6870" i="32"/>
  <c r="G6871" i="32"/>
  <c r="G6872" i="32"/>
  <c r="G6873" i="32"/>
  <c r="G6874" i="32"/>
  <c r="G6875" i="32"/>
  <c r="G6876" i="32"/>
  <c r="G6877" i="32"/>
  <c r="G6878" i="32"/>
  <c r="G6879" i="32"/>
  <c r="G6880" i="32"/>
  <c r="G6881" i="32"/>
  <c r="G6882" i="32"/>
  <c r="G6883" i="32"/>
  <c r="G6884" i="32"/>
  <c r="G6885" i="32"/>
  <c r="G6886" i="32"/>
  <c r="G6887" i="32"/>
  <c r="G6888" i="32"/>
  <c r="G6889" i="32"/>
  <c r="G6890" i="32"/>
  <c r="G6891" i="32"/>
  <c r="G6892" i="32"/>
  <c r="G6893" i="32"/>
  <c r="G6894" i="32"/>
  <c r="G6895" i="32"/>
  <c r="G6896" i="32"/>
  <c r="G6897" i="32"/>
  <c r="G6898" i="32"/>
  <c r="G6899" i="32"/>
  <c r="G6900" i="32"/>
  <c r="G6901" i="32"/>
  <c r="G6902" i="32"/>
  <c r="G6903" i="32"/>
  <c r="G6904" i="32"/>
  <c r="G6905" i="32"/>
  <c r="G6906" i="32"/>
  <c r="G6907" i="32"/>
  <c r="G6908" i="32"/>
  <c r="G6909" i="32"/>
  <c r="G6910" i="32"/>
  <c r="G6911" i="32"/>
  <c r="G6912" i="32"/>
  <c r="G6913" i="32"/>
  <c r="G6914" i="32"/>
  <c r="G6915" i="32"/>
  <c r="G6916" i="32"/>
  <c r="G6917" i="32"/>
  <c r="G6918" i="32"/>
  <c r="G6919" i="32"/>
  <c r="G6920" i="32"/>
  <c r="G6921" i="32"/>
  <c r="G6922" i="32"/>
  <c r="G6923" i="32"/>
  <c r="G6924" i="32"/>
  <c r="G6925" i="32"/>
  <c r="G6926" i="32"/>
  <c r="G6927" i="32"/>
  <c r="G6928" i="32"/>
  <c r="G6929" i="32"/>
  <c r="G6930" i="32"/>
  <c r="G6931" i="32"/>
  <c r="G6932" i="32"/>
  <c r="G6933" i="32"/>
  <c r="G6934" i="32"/>
  <c r="G6935" i="32"/>
  <c r="G6936" i="32"/>
  <c r="G6937" i="32"/>
  <c r="G6938" i="32"/>
  <c r="G6939" i="32"/>
  <c r="G6940" i="32"/>
  <c r="G6941" i="32"/>
  <c r="G6942" i="32"/>
  <c r="G6943" i="32"/>
  <c r="G6944" i="32"/>
  <c r="G6945" i="32"/>
  <c r="G6946" i="32"/>
  <c r="G6947" i="32"/>
  <c r="G6948" i="32"/>
  <c r="G6949" i="32"/>
  <c r="G6950" i="32"/>
  <c r="G6951" i="32"/>
  <c r="G6952" i="32"/>
  <c r="G6953" i="32"/>
  <c r="G6954" i="32"/>
  <c r="G6955" i="32"/>
  <c r="G6956" i="32"/>
  <c r="G6957" i="32"/>
  <c r="G6958" i="32"/>
  <c r="G6959" i="32"/>
  <c r="G6960" i="32"/>
  <c r="G6961" i="32"/>
  <c r="G6962" i="32"/>
  <c r="G6963" i="32"/>
  <c r="G6964" i="32"/>
  <c r="G6965" i="32"/>
  <c r="G6966" i="32"/>
  <c r="G6967" i="32"/>
  <c r="G6968" i="32"/>
  <c r="G6969" i="32"/>
  <c r="G6970" i="32"/>
  <c r="G6971" i="32"/>
  <c r="G6972" i="32"/>
  <c r="G6973" i="32"/>
  <c r="G6974" i="32"/>
  <c r="G6975" i="32"/>
  <c r="G6976" i="32"/>
  <c r="G6977" i="32"/>
  <c r="G6978" i="32"/>
  <c r="G6979" i="32"/>
  <c r="G6980" i="32"/>
  <c r="G6981" i="32"/>
  <c r="G6982" i="32"/>
  <c r="G6983" i="32"/>
  <c r="G6984" i="32"/>
  <c r="G6985" i="32"/>
  <c r="G6986" i="32"/>
  <c r="G6987" i="32"/>
  <c r="G6988" i="32"/>
  <c r="G6989" i="32"/>
  <c r="G6990" i="32"/>
  <c r="G6991" i="32"/>
  <c r="G6992" i="32"/>
  <c r="G6993" i="32"/>
  <c r="G6994" i="32"/>
  <c r="G6995" i="32"/>
  <c r="G6996" i="32"/>
  <c r="G6997" i="32"/>
  <c r="G6998" i="32"/>
  <c r="G6999" i="32"/>
  <c r="G7000" i="32"/>
  <c r="G7001" i="32"/>
  <c r="G7002" i="32"/>
  <c r="G7003" i="32"/>
  <c r="G7004" i="32"/>
  <c r="G7005" i="32"/>
  <c r="G7006" i="32"/>
  <c r="G7007" i="32"/>
  <c r="G7008" i="32"/>
  <c r="G7009" i="32"/>
  <c r="G7010" i="32"/>
  <c r="G7011" i="32"/>
  <c r="G7012" i="32"/>
  <c r="G7013" i="32"/>
  <c r="G7014" i="32"/>
  <c r="G7015" i="32"/>
  <c r="G7016" i="32"/>
  <c r="G7017" i="32"/>
  <c r="G7018" i="32"/>
  <c r="G7019" i="32"/>
  <c r="G7020" i="32"/>
  <c r="G7021" i="32"/>
  <c r="G7022" i="32"/>
  <c r="G7023" i="32"/>
  <c r="G7024" i="32"/>
  <c r="G7025" i="32"/>
  <c r="G7026" i="32"/>
  <c r="G7027" i="32"/>
  <c r="G7028" i="32"/>
  <c r="G7029" i="32"/>
  <c r="G7030" i="32"/>
  <c r="G7031" i="32"/>
  <c r="G7032" i="32"/>
  <c r="G7033" i="32"/>
  <c r="G7034" i="32"/>
  <c r="G7035" i="32"/>
  <c r="G7036" i="32"/>
  <c r="G7037" i="32"/>
  <c r="G7038" i="32"/>
  <c r="G7039" i="32"/>
  <c r="G7040" i="32"/>
  <c r="G7041" i="32"/>
  <c r="G7042" i="32"/>
  <c r="G7043" i="32"/>
  <c r="G7044" i="32"/>
  <c r="G7045" i="32"/>
  <c r="G7046" i="32"/>
  <c r="G7047" i="32"/>
  <c r="G7048" i="32"/>
  <c r="G7049" i="32"/>
  <c r="G7050" i="32"/>
  <c r="G7051" i="32"/>
  <c r="G7052" i="32"/>
  <c r="G7053" i="32"/>
  <c r="G7054" i="32"/>
  <c r="G7055" i="32"/>
  <c r="G7056" i="32"/>
  <c r="G7057" i="32"/>
  <c r="G7058" i="32"/>
  <c r="G7059" i="32"/>
  <c r="G7060" i="32"/>
  <c r="G7061" i="32"/>
  <c r="G7062" i="32"/>
  <c r="G7063" i="32"/>
  <c r="G7064" i="32"/>
  <c r="G7065" i="32"/>
  <c r="G7066" i="32"/>
  <c r="G7067" i="32"/>
  <c r="G7068" i="32"/>
  <c r="G7069" i="32"/>
  <c r="G7070" i="32"/>
  <c r="G7071" i="32"/>
  <c r="G7072" i="32"/>
  <c r="G7073" i="32"/>
  <c r="G7074" i="32"/>
  <c r="G7075" i="32"/>
  <c r="G7076" i="32"/>
  <c r="G7077" i="32"/>
  <c r="G7078" i="32"/>
  <c r="G7079" i="32"/>
  <c r="G7080" i="32"/>
  <c r="G7081" i="32"/>
  <c r="G7082" i="32"/>
  <c r="G7083" i="32"/>
  <c r="G7084" i="32"/>
  <c r="G7085" i="32"/>
  <c r="G7086" i="32"/>
  <c r="G7087" i="32"/>
  <c r="G7088" i="32"/>
  <c r="G7089" i="32"/>
  <c r="G7090" i="32"/>
  <c r="G7091" i="32"/>
  <c r="G7092" i="32"/>
  <c r="G7093" i="32"/>
  <c r="G7094" i="32"/>
  <c r="G7095" i="32"/>
  <c r="G7096" i="32"/>
  <c r="G7097" i="32"/>
  <c r="G7098" i="32"/>
  <c r="G7099" i="32"/>
  <c r="G7100" i="32"/>
  <c r="G7101" i="32"/>
  <c r="G7102" i="32"/>
  <c r="G7103" i="32"/>
  <c r="G7104" i="32"/>
  <c r="G7105" i="32"/>
  <c r="G7106" i="32"/>
  <c r="G7107" i="32"/>
  <c r="G7108" i="32"/>
  <c r="G7109" i="32"/>
  <c r="G7110" i="32"/>
  <c r="G7111" i="32"/>
  <c r="G7112" i="32"/>
  <c r="G7113" i="32"/>
  <c r="G7114" i="32"/>
  <c r="G7115" i="32"/>
  <c r="G7116" i="32"/>
  <c r="G7117" i="32"/>
  <c r="G7118" i="32"/>
  <c r="G7119" i="32"/>
  <c r="G7120" i="32"/>
  <c r="G7121" i="32"/>
  <c r="G7122" i="32"/>
  <c r="G7123" i="32"/>
  <c r="G7124" i="32"/>
  <c r="G7125" i="32"/>
  <c r="G7126" i="32"/>
  <c r="G7127" i="32"/>
  <c r="G7128" i="32"/>
  <c r="G7129" i="32"/>
  <c r="G7130" i="32"/>
  <c r="G7131" i="32"/>
  <c r="G7132" i="32"/>
  <c r="G7133" i="32"/>
  <c r="G7134" i="32"/>
  <c r="G7135" i="32"/>
  <c r="G7136" i="32"/>
  <c r="G7137" i="32"/>
  <c r="G7138" i="32"/>
  <c r="G7139" i="32"/>
  <c r="G7140" i="32"/>
  <c r="G7141" i="32"/>
  <c r="G7142" i="32"/>
  <c r="G7143" i="32"/>
  <c r="G7144" i="32"/>
  <c r="G7145" i="32"/>
  <c r="G7146" i="32"/>
  <c r="G7147" i="32"/>
  <c r="G7148" i="32"/>
  <c r="G7149" i="32"/>
  <c r="G7150" i="32"/>
  <c r="G7151" i="32"/>
  <c r="G7152" i="32"/>
  <c r="G7153" i="32"/>
  <c r="G7154" i="32"/>
  <c r="G7155" i="32"/>
  <c r="G7156" i="32"/>
  <c r="G7157" i="32"/>
  <c r="G7158" i="32"/>
  <c r="G7159" i="32"/>
  <c r="G7160" i="32"/>
  <c r="G7161" i="32"/>
  <c r="G7162" i="32"/>
  <c r="G7163" i="32"/>
  <c r="G7164" i="32"/>
  <c r="G7165" i="32"/>
  <c r="G7166" i="32"/>
  <c r="G7167" i="32"/>
  <c r="G7168" i="32"/>
  <c r="G7169" i="32"/>
  <c r="G7170" i="32"/>
  <c r="G7171" i="32"/>
  <c r="G7172" i="32"/>
  <c r="G7173" i="32"/>
  <c r="G7174" i="32"/>
  <c r="G7175" i="32"/>
  <c r="G7176" i="32"/>
  <c r="G7177" i="32"/>
  <c r="G7178" i="32"/>
  <c r="G7179" i="32"/>
  <c r="G7180" i="32"/>
  <c r="G7181" i="32"/>
  <c r="G7182" i="32"/>
  <c r="G7183" i="32"/>
  <c r="G7184" i="32"/>
  <c r="G7185" i="32"/>
  <c r="G7186" i="32"/>
  <c r="G7187" i="32"/>
  <c r="G7188" i="32"/>
  <c r="G7189" i="32"/>
  <c r="G7190" i="32"/>
  <c r="G7191" i="32"/>
  <c r="G7192" i="32"/>
  <c r="G7193" i="32"/>
  <c r="G7194" i="32"/>
  <c r="G7195" i="32"/>
  <c r="G7196" i="32"/>
  <c r="G7197" i="32"/>
  <c r="G7198" i="32"/>
  <c r="G7199" i="32"/>
  <c r="G7200" i="32"/>
  <c r="G7201" i="32"/>
  <c r="G7202" i="32"/>
  <c r="G7203" i="32"/>
  <c r="G7204" i="32"/>
  <c r="G7205" i="32"/>
  <c r="G7206" i="32"/>
  <c r="G7207" i="32"/>
  <c r="G7208" i="32"/>
  <c r="G7209" i="32"/>
  <c r="G7210" i="32"/>
  <c r="G7211" i="32"/>
  <c r="G7212" i="32"/>
  <c r="G7213" i="32"/>
  <c r="G7214" i="32"/>
  <c r="G7215" i="32"/>
  <c r="G7216" i="32"/>
  <c r="G7217" i="32"/>
  <c r="G7218" i="32"/>
  <c r="G7219" i="32"/>
  <c r="G7220" i="32"/>
  <c r="G7221" i="32"/>
  <c r="G7222" i="32"/>
  <c r="G7223" i="32"/>
  <c r="G7224" i="32"/>
  <c r="G7225" i="32"/>
  <c r="G7226" i="32"/>
  <c r="G7227" i="32"/>
  <c r="G7228" i="32"/>
  <c r="G7229" i="32"/>
  <c r="G7230" i="32"/>
  <c r="G7231" i="32"/>
  <c r="G7232" i="32"/>
  <c r="G7233" i="32"/>
  <c r="G7234" i="32"/>
  <c r="G7235" i="32"/>
  <c r="G7236" i="32"/>
  <c r="G7237" i="32"/>
  <c r="G7238" i="32"/>
  <c r="G7239" i="32"/>
  <c r="G7240" i="32"/>
  <c r="G7241" i="32"/>
  <c r="G7242" i="32"/>
  <c r="G7243" i="32"/>
  <c r="G7244" i="32"/>
  <c r="G7245" i="32"/>
  <c r="G7246" i="32"/>
  <c r="G7247" i="32"/>
  <c r="G7248" i="32"/>
  <c r="G7249" i="32"/>
  <c r="G7250" i="32"/>
  <c r="G7251" i="32"/>
  <c r="G7252" i="32"/>
  <c r="G7253" i="32"/>
  <c r="G7254" i="32"/>
  <c r="G7255" i="32"/>
  <c r="G7256" i="32"/>
  <c r="G7257" i="32"/>
  <c r="G7258" i="32"/>
  <c r="G7259" i="32"/>
  <c r="G7260" i="32"/>
  <c r="G7261" i="32"/>
  <c r="G7262" i="32"/>
  <c r="G7263" i="32"/>
  <c r="G7264" i="32"/>
  <c r="G7265" i="32"/>
  <c r="G7266" i="32"/>
  <c r="G7267" i="32"/>
  <c r="G7268" i="32"/>
  <c r="G7269" i="32"/>
  <c r="G7270" i="32"/>
  <c r="G7271" i="32"/>
  <c r="G7272" i="32"/>
  <c r="G7273" i="32"/>
  <c r="G7274" i="32"/>
  <c r="G7275" i="32"/>
  <c r="G7276" i="32"/>
  <c r="G7277" i="32"/>
  <c r="G7278" i="32"/>
  <c r="G7279" i="32"/>
  <c r="G7280" i="32"/>
  <c r="G7281" i="32"/>
  <c r="G7282" i="32"/>
  <c r="G7283" i="32"/>
  <c r="G7284" i="32"/>
  <c r="G7285" i="32"/>
  <c r="G7286" i="32"/>
  <c r="G7287" i="32"/>
  <c r="G7288" i="32"/>
  <c r="G7289" i="32"/>
  <c r="G7290" i="32"/>
  <c r="G7291" i="32"/>
  <c r="G7292" i="32"/>
  <c r="G7293" i="32"/>
  <c r="G7294" i="32"/>
  <c r="G7295" i="32"/>
  <c r="G7296" i="32"/>
  <c r="G7297" i="32"/>
  <c r="G7298" i="32"/>
  <c r="G7299" i="32"/>
  <c r="G7300" i="32"/>
  <c r="G7301" i="32"/>
  <c r="G7302" i="32"/>
  <c r="G7303" i="32"/>
  <c r="G7304" i="32"/>
  <c r="G7305" i="32"/>
  <c r="G7306" i="32"/>
  <c r="G7307" i="32"/>
  <c r="G7308" i="32"/>
  <c r="G7309" i="32"/>
  <c r="G7310" i="32"/>
  <c r="G7311" i="32"/>
  <c r="G7312" i="32"/>
  <c r="G7313" i="32"/>
  <c r="G7314" i="32"/>
  <c r="G7315" i="32"/>
  <c r="G7316" i="32"/>
  <c r="G7317" i="32"/>
  <c r="G7318" i="32"/>
  <c r="G7319" i="32"/>
  <c r="G7320" i="32"/>
  <c r="G7321" i="32"/>
  <c r="G7322" i="32"/>
  <c r="G7323" i="32"/>
  <c r="G7324" i="32"/>
  <c r="G7325" i="32"/>
  <c r="G7326" i="32"/>
  <c r="G7327" i="32"/>
  <c r="G7328" i="32"/>
  <c r="G7329" i="32"/>
  <c r="G7330" i="32"/>
  <c r="G7331" i="32"/>
  <c r="G7332" i="32"/>
  <c r="G7333" i="32"/>
  <c r="G7334" i="32"/>
  <c r="G7335" i="32"/>
  <c r="G7336" i="32"/>
  <c r="G7337" i="32"/>
  <c r="G7338" i="32"/>
  <c r="G7339" i="32"/>
  <c r="G7340" i="32"/>
  <c r="G7341" i="32"/>
  <c r="G7342" i="32"/>
  <c r="G7343" i="32"/>
  <c r="G7344" i="32"/>
  <c r="G7345" i="32"/>
  <c r="G7346" i="32"/>
  <c r="G7347" i="32"/>
  <c r="G7348" i="32"/>
  <c r="G7349" i="32"/>
  <c r="G7350" i="32"/>
  <c r="G7351" i="32"/>
  <c r="G7352" i="32"/>
  <c r="G7353" i="32"/>
  <c r="G7354" i="32"/>
  <c r="G7355" i="32"/>
  <c r="G7356" i="32"/>
  <c r="G7357" i="32"/>
  <c r="G7358" i="32"/>
  <c r="G7359" i="32"/>
  <c r="G7360" i="32"/>
  <c r="G7361" i="32"/>
  <c r="G7362" i="32"/>
  <c r="G7363" i="32"/>
  <c r="G7364" i="32"/>
  <c r="G7365" i="32"/>
  <c r="G7366" i="32"/>
  <c r="G7367" i="32"/>
  <c r="G7368" i="32"/>
  <c r="G7369" i="32"/>
  <c r="G7370" i="32"/>
  <c r="G7371" i="32"/>
  <c r="G7372" i="32"/>
  <c r="G7373" i="32"/>
  <c r="G7374" i="32"/>
  <c r="G7375" i="32"/>
  <c r="G7376" i="32"/>
  <c r="G7377" i="32"/>
  <c r="G7378" i="32"/>
  <c r="G7379" i="32"/>
  <c r="G7380" i="32"/>
  <c r="G7381" i="32"/>
  <c r="G7382" i="32"/>
  <c r="G7383" i="32"/>
  <c r="G7384" i="32"/>
  <c r="G7385" i="32"/>
  <c r="G7386" i="32"/>
  <c r="G7387" i="32"/>
  <c r="G7388" i="32"/>
  <c r="G7389" i="32"/>
  <c r="G7390" i="32"/>
  <c r="G7391" i="32"/>
  <c r="G7392" i="32"/>
  <c r="G7393" i="32"/>
  <c r="G7394" i="32"/>
  <c r="G7395" i="32"/>
  <c r="G7396" i="32"/>
  <c r="G7397" i="32"/>
  <c r="G7398" i="32"/>
  <c r="G7399" i="32"/>
  <c r="G7400" i="32"/>
  <c r="G7401" i="32"/>
  <c r="G7402" i="32"/>
  <c r="G7403" i="32"/>
  <c r="G7404" i="32"/>
  <c r="G7405" i="32"/>
  <c r="G7406" i="32"/>
  <c r="G7407" i="32"/>
  <c r="G7408" i="32"/>
  <c r="G7409" i="32"/>
  <c r="G7410" i="32"/>
  <c r="G7411" i="32"/>
  <c r="G7412" i="32"/>
  <c r="G7413" i="32"/>
  <c r="G7414" i="32"/>
  <c r="G7415" i="32"/>
  <c r="G7416" i="32"/>
  <c r="G7417" i="32"/>
  <c r="G7418" i="32"/>
  <c r="G7419" i="32"/>
  <c r="G7420" i="32"/>
  <c r="G7421" i="32"/>
  <c r="G7422" i="32"/>
  <c r="G7423" i="32"/>
  <c r="G7424" i="32"/>
  <c r="G7425" i="32"/>
  <c r="G7426" i="32"/>
  <c r="G7427" i="32"/>
  <c r="G7428" i="32"/>
  <c r="G7429" i="32"/>
  <c r="G7430" i="32"/>
  <c r="G7431" i="32"/>
  <c r="G7432" i="32"/>
  <c r="G7433" i="32"/>
  <c r="G7434" i="32"/>
  <c r="G7435" i="32"/>
  <c r="G7436" i="32"/>
  <c r="G7437" i="32"/>
  <c r="G7438" i="32"/>
  <c r="G7439" i="32"/>
  <c r="G7440" i="32"/>
  <c r="G7441" i="32"/>
  <c r="G7442" i="32"/>
  <c r="G7443" i="32"/>
  <c r="G7444" i="32"/>
  <c r="G7445" i="32"/>
  <c r="G7446" i="32"/>
  <c r="G7447" i="32"/>
  <c r="G7448" i="32"/>
  <c r="G7449" i="32"/>
  <c r="G7450" i="32"/>
  <c r="G7451" i="32"/>
  <c r="G7452" i="32"/>
  <c r="G7453" i="32"/>
  <c r="G7454" i="32"/>
  <c r="G7455" i="32"/>
  <c r="G7456" i="32"/>
  <c r="G7457" i="32"/>
  <c r="G7458" i="32"/>
  <c r="G7459" i="32"/>
  <c r="G7460" i="32"/>
  <c r="G7461" i="32"/>
  <c r="G7462" i="32"/>
  <c r="G7463" i="32"/>
  <c r="G7464" i="32"/>
  <c r="G7465" i="32"/>
  <c r="G7466" i="32"/>
  <c r="G7467" i="32"/>
  <c r="G7468" i="32"/>
  <c r="G7469" i="32"/>
  <c r="G7470" i="32"/>
  <c r="G7471" i="32"/>
  <c r="G7472" i="32"/>
  <c r="G7473" i="32"/>
  <c r="G7474" i="32"/>
  <c r="G7475" i="32"/>
  <c r="G7476" i="32"/>
  <c r="G7477" i="32"/>
  <c r="G7478" i="32"/>
  <c r="G7479" i="32"/>
  <c r="G7480" i="32"/>
  <c r="G7481" i="32"/>
  <c r="G7482" i="32"/>
  <c r="G7483" i="32"/>
  <c r="G7484" i="32"/>
  <c r="G7485" i="32"/>
  <c r="G7486" i="32"/>
  <c r="G7487" i="32"/>
  <c r="G7488" i="32"/>
  <c r="G7489" i="32"/>
  <c r="G7490" i="32"/>
  <c r="G7491" i="32"/>
  <c r="G7492" i="32"/>
  <c r="G7493" i="32"/>
  <c r="G7494" i="32"/>
  <c r="G7495" i="32"/>
  <c r="G7496" i="32"/>
  <c r="G7497" i="32"/>
  <c r="G7498" i="32"/>
  <c r="G7499" i="32"/>
  <c r="G7500" i="32"/>
  <c r="G7501" i="32"/>
  <c r="G7502" i="32"/>
  <c r="G7503" i="32"/>
  <c r="G7504" i="32"/>
  <c r="G7505" i="32"/>
  <c r="G7506" i="32"/>
  <c r="G7507" i="32"/>
  <c r="G7508" i="32"/>
  <c r="G7509" i="32"/>
  <c r="G7510" i="32"/>
  <c r="G7511" i="32"/>
  <c r="G7512" i="32"/>
  <c r="G7513" i="32"/>
  <c r="G7514" i="32"/>
  <c r="G7515" i="32"/>
  <c r="G7516" i="32"/>
  <c r="G7517" i="32"/>
  <c r="G7518" i="32"/>
  <c r="G7519" i="32"/>
  <c r="G7520" i="32"/>
  <c r="G7521" i="32"/>
  <c r="G7522" i="32"/>
  <c r="G7523" i="32"/>
  <c r="G7524" i="32"/>
  <c r="G7525" i="32"/>
  <c r="G7526" i="32"/>
  <c r="G7527" i="32"/>
  <c r="G7528" i="32"/>
  <c r="G7529" i="32"/>
  <c r="G7530" i="32"/>
  <c r="G7531" i="32"/>
  <c r="G7532" i="32"/>
  <c r="G7533" i="32"/>
  <c r="G7534" i="32"/>
  <c r="G7535" i="32"/>
  <c r="G7536" i="32"/>
  <c r="G7537" i="32"/>
  <c r="G7538" i="32"/>
  <c r="G7539" i="32"/>
  <c r="G7540" i="32"/>
  <c r="G7541" i="32"/>
  <c r="G7542" i="32"/>
  <c r="G7543" i="32"/>
  <c r="G7544" i="32"/>
  <c r="G7545" i="32"/>
  <c r="G7546" i="32"/>
  <c r="G7547" i="32"/>
  <c r="G7548" i="32"/>
  <c r="G7549" i="32"/>
  <c r="G7550" i="32"/>
  <c r="G7551" i="32"/>
  <c r="G7552" i="32"/>
  <c r="G7553" i="32"/>
  <c r="G7554" i="32"/>
  <c r="G7555" i="32"/>
  <c r="G7556" i="32"/>
  <c r="G7557" i="32"/>
  <c r="G7558" i="32"/>
  <c r="G7559" i="32"/>
  <c r="G7560" i="32"/>
  <c r="G7561" i="32"/>
  <c r="G7562" i="32"/>
  <c r="G7563" i="32"/>
  <c r="G7564" i="32"/>
  <c r="G7565" i="32"/>
  <c r="G7566" i="32"/>
  <c r="G7567" i="32"/>
  <c r="G7568" i="32"/>
  <c r="G7569" i="32"/>
  <c r="G7570" i="32"/>
  <c r="G7571" i="32"/>
  <c r="G7572" i="32"/>
  <c r="G7573" i="32"/>
  <c r="G7574" i="32"/>
  <c r="G7575" i="32"/>
  <c r="G7576" i="32"/>
  <c r="G7577" i="32"/>
  <c r="G7578" i="32"/>
  <c r="G7579" i="32"/>
  <c r="G7580" i="32"/>
  <c r="G7581" i="32"/>
  <c r="G7582" i="32"/>
  <c r="G7583" i="32"/>
  <c r="G7584" i="32"/>
  <c r="G7585" i="32"/>
  <c r="G7586" i="32"/>
  <c r="G7587" i="32"/>
  <c r="G7588" i="32"/>
  <c r="G7589" i="32"/>
  <c r="G7590" i="32"/>
  <c r="G7591" i="32"/>
  <c r="G7592" i="32"/>
  <c r="G7593" i="32"/>
  <c r="G7594" i="32"/>
  <c r="G7595" i="32"/>
  <c r="G7596" i="32"/>
  <c r="G7597" i="32"/>
  <c r="G7598" i="32"/>
  <c r="G7599" i="32"/>
  <c r="G7600" i="32"/>
  <c r="G7601" i="32"/>
  <c r="G7602" i="32"/>
  <c r="G7603" i="32"/>
  <c r="G7604" i="32"/>
  <c r="G7605" i="32"/>
  <c r="G7606" i="32"/>
  <c r="G7607" i="32"/>
  <c r="G7608" i="32"/>
  <c r="G7609" i="32"/>
  <c r="G7610" i="32"/>
  <c r="G7611" i="32"/>
  <c r="G7612" i="32"/>
  <c r="G7613" i="32"/>
  <c r="G7614" i="32"/>
  <c r="G7615" i="32"/>
  <c r="G7616" i="32"/>
  <c r="G7617" i="32"/>
  <c r="G7618" i="32"/>
  <c r="G7619" i="32"/>
  <c r="G7620" i="32"/>
  <c r="G7621" i="32"/>
  <c r="G7622" i="32"/>
  <c r="G7623" i="32"/>
  <c r="G7624" i="32"/>
  <c r="G7625" i="32"/>
  <c r="G7626" i="32"/>
  <c r="G7627" i="32"/>
  <c r="G7628" i="32"/>
  <c r="G7629" i="32"/>
  <c r="G7630" i="32"/>
  <c r="G7631" i="32"/>
  <c r="G7632" i="32"/>
  <c r="G7633" i="32"/>
  <c r="G7634" i="32"/>
  <c r="G7635" i="32"/>
  <c r="G7636" i="32"/>
  <c r="G7637" i="32"/>
  <c r="G7638" i="32"/>
  <c r="G7639" i="32"/>
  <c r="G7640" i="32"/>
  <c r="G7641" i="32"/>
  <c r="G7642" i="32"/>
  <c r="G7643" i="32"/>
  <c r="G7644" i="32"/>
  <c r="G7645" i="32"/>
  <c r="G7646" i="32"/>
  <c r="G7647" i="32"/>
  <c r="G7648" i="32"/>
  <c r="G7649" i="32"/>
  <c r="G7650" i="32"/>
  <c r="G7651" i="32"/>
  <c r="G7652" i="32"/>
  <c r="G7653" i="32"/>
  <c r="G7654" i="32"/>
  <c r="G7655" i="32"/>
  <c r="G7656" i="32"/>
  <c r="G7657" i="32"/>
  <c r="G7658" i="32"/>
  <c r="G7659" i="32"/>
  <c r="G7660" i="32"/>
  <c r="G7661" i="32"/>
  <c r="G7662" i="32"/>
  <c r="G7663" i="32"/>
  <c r="G7664" i="32"/>
  <c r="G7665" i="32"/>
  <c r="G7666" i="32"/>
  <c r="G7667" i="32"/>
  <c r="G7668" i="32"/>
  <c r="G7669" i="32"/>
  <c r="G7670" i="32"/>
  <c r="G7671" i="32"/>
  <c r="G7672" i="32"/>
  <c r="G7673" i="32"/>
  <c r="G7674" i="32"/>
  <c r="G7675" i="32"/>
  <c r="G7676" i="32"/>
  <c r="G7677" i="32"/>
  <c r="G7678" i="32"/>
  <c r="G7679" i="32"/>
  <c r="G7680" i="32"/>
  <c r="G7681" i="32"/>
  <c r="G7682" i="32"/>
  <c r="G7683" i="32"/>
  <c r="G7684" i="32"/>
  <c r="G7685" i="32"/>
  <c r="G7686" i="32"/>
  <c r="G7687" i="32"/>
  <c r="G7688" i="32"/>
  <c r="G7689" i="32"/>
  <c r="G7690" i="32"/>
  <c r="G7691" i="32"/>
  <c r="G7692" i="32"/>
  <c r="G7693" i="32"/>
  <c r="G7694" i="32"/>
  <c r="G7695" i="32"/>
  <c r="G7696" i="32"/>
  <c r="G7697" i="32"/>
  <c r="G7698" i="32"/>
  <c r="G7699" i="32"/>
  <c r="G7700" i="32"/>
  <c r="G7701" i="32"/>
  <c r="G7702" i="32"/>
  <c r="G7703" i="32"/>
  <c r="G7704" i="32"/>
  <c r="G7705" i="32"/>
  <c r="G7706" i="32"/>
  <c r="G7707" i="32"/>
  <c r="G7708" i="32"/>
  <c r="G7709" i="32"/>
  <c r="G7710" i="32"/>
  <c r="G7711" i="32"/>
  <c r="G7712" i="32"/>
  <c r="G7713" i="32"/>
  <c r="G7714" i="32"/>
  <c r="G7715" i="32"/>
  <c r="G7716" i="32"/>
  <c r="G7717" i="32"/>
  <c r="G7718" i="32"/>
  <c r="G7719" i="32"/>
  <c r="G7720" i="32"/>
  <c r="G7721" i="32"/>
  <c r="G7722" i="32"/>
  <c r="G7723" i="32"/>
  <c r="G7724" i="32"/>
  <c r="G7725" i="32"/>
  <c r="G7726" i="32"/>
  <c r="G7727" i="32"/>
  <c r="G7728" i="32"/>
  <c r="G7729" i="32"/>
  <c r="G7730" i="32"/>
  <c r="G7731" i="32"/>
  <c r="G7732" i="32"/>
  <c r="G7733" i="32"/>
  <c r="G7734" i="32"/>
  <c r="G7735" i="32"/>
  <c r="G7736" i="32"/>
  <c r="G7737" i="32"/>
  <c r="G7738" i="32"/>
  <c r="G7739" i="32"/>
  <c r="G7740" i="32"/>
  <c r="G7741" i="32"/>
  <c r="G7742" i="32"/>
  <c r="G7743" i="32"/>
  <c r="G7744" i="32"/>
  <c r="G7745" i="32"/>
  <c r="G7746" i="32"/>
  <c r="G7747" i="32"/>
  <c r="G7748" i="32"/>
  <c r="G7749" i="32"/>
  <c r="G7750" i="32"/>
  <c r="G7751" i="32"/>
  <c r="G7752" i="32"/>
  <c r="G7753" i="32"/>
  <c r="G7754" i="32"/>
  <c r="G7755" i="32"/>
  <c r="G7756" i="32"/>
  <c r="G7757" i="32"/>
  <c r="G7758" i="32"/>
  <c r="G7759" i="32"/>
  <c r="G7760" i="32"/>
  <c r="G7761" i="32"/>
  <c r="G7762" i="32"/>
  <c r="G7763" i="32"/>
  <c r="G7764" i="32"/>
  <c r="G7765" i="32"/>
  <c r="G7766" i="32"/>
  <c r="G7767" i="32"/>
  <c r="G7768" i="32"/>
  <c r="G7769" i="32"/>
  <c r="G7770" i="32"/>
  <c r="G7771" i="32"/>
  <c r="G7772" i="32"/>
  <c r="G7773" i="32"/>
  <c r="G7774" i="32"/>
  <c r="G7775" i="32"/>
  <c r="G7776" i="32"/>
  <c r="G7777" i="32"/>
  <c r="G7778" i="32"/>
  <c r="G7779" i="32"/>
  <c r="G7780" i="32"/>
  <c r="G7781" i="32"/>
  <c r="G7782" i="32"/>
  <c r="G7783" i="32"/>
  <c r="G7784" i="32"/>
  <c r="G7785" i="32"/>
  <c r="G7786" i="32"/>
  <c r="G7787" i="32"/>
  <c r="G7788" i="32"/>
  <c r="G7789" i="32"/>
  <c r="G7790" i="32"/>
  <c r="G7791" i="32"/>
  <c r="G7792" i="32"/>
  <c r="G7793" i="32"/>
  <c r="G7794" i="32"/>
  <c r="G7795" i="32"/>
  <c r="G7796" i="32"/>
  <c r="G7797" i="32"/>
  <c r="G7798" i="32"/>
  <c r="G7799" i="32"/>
  <c r="G7800" i="32"/>
  <c r="G7801" i="32"/>
  <c r="G7802" i="32"/>
  <c r="G7803" i="32"/>
  <c r="G7804" i="32"/>
  <c r="G7805" i="32"/>
  <c r="G7806" i="32"/>
  <c r="G7807" i="32"/>
  <c r="G7808" i="32"/>
  <c r="G7809" i="32"/>
  <c r="G7810" i="32"/>
  <c r="G7811" i="32"/>
  <c r="G7812" i="32"/>
  <c r="G7813" i="32"/>
  <c r="G7814" i="32"/>
  <c r="G7815" i="32"/>
  <c r="G7816" i="32"/>
  <c r="G7817" i="32"/>
  <c r="G7818" i="32"/>
  <c r="G7819" i="32"/>
  <c r="G7820" i="32"/>
  <c r="G7821" i="32"/>
  <c r="G7822" i="32"/>
  <c r="G7823" i="32"/>
  <c r="G7824" i="32"/>
  <c r="G7825" i="32"/>
  <c r="G7826" i="32"/>
  <c r="G7827" i="32"/>
  <c r="G7828" i="32"/>
  <c r="G7829" i="32"/>
  <c r="G7830" i="32"/>
  <c r="G7831" i="32"/>
  <c r="G7832" i="32"/>
  <c r="G7833" i="32"/>
  <c r="G7834" i="32"/>
  <c r="G7835" i="32"/>
  <c r="G7836" i="32"/>
  <c r="G7837" i="32"/>
  <c r="G7838" i="32"/>
  <c r="G7839" i="32"/>
  <c r="G7840" i="32"/>
  <c r="G7841" i="32"/>
  <c r="G7842" i="32"/>
  <c r="G7843" i="32"/>
  <c r="G7844" i="32"/>
  <c r="G7845" i="32"/>
  <c r="G7846" i="32"/>
  <c r="G7847" i="32"/>
  <c r="G7848" i="32"/>
  <c r="G7849" i="32"/>
  <c r="G7850" i="32"/>
  <c r="G7851" i="32"/>
  <c r="G7852" i="32"/>
  <c r="G7853" i="32"/>
  <c r="G7854" i="32"/>
  <c r="G7855" i="32"/>
  <c r="G7856" i="32"/>
  <c r="G7857" i="32"/>
  <c r="G7858" i="32"/>
  <c r="G7859" i="32"/>
  <c r="G7860" i="32"/>
  <c r="G7861" i="32"/>
  <c r="G7862" i="32"/>
  <c r="G7863" i="32"/>
  <c r="G7864" i="32"/>
  <c r="G7865" i="32"/>
  <c r="G7866" i="32"/>
  <c r="G7867" i="32"/>
  <c r="G7868" i="32"/>
  <c r="G7869" i="32"/>
  <c r="G7870" i="32"/>
  <c r="G7871" i="32"/>
  <c r="G7872" i="32"/>
  <c r="G7873" i="32"/>
  <c r="G7874" i="32"/>
  <c r="G7875" i="32"/>
  <c r="G7876" i="32"/>
  <c r="G7877" i="32"/>
  <c r="G7878" i="32"/>
  <c r="G7879" i="32"/>
  <c r="G7880" i="32"/>
  <c r="G7881" i="32"/>
  <c r="G7882" i="32"/>
  <c r="G7883" i="32"/>
  <c r="G7884" i="32"/>
  <c r="G7885" i="32"/>
  <c r="G7886" i="32"/>
  <c r="G7887" i="32"/>
  <c r="G7888" i="32"/>
  <c r="G7889" i="32"/>
  <c r="G7890" i="32"/>
  <c r="G7891" i="32"/>
  <c r="G7892" i="32"/>
  <c r="G7893" i="32"/>
  <c r="G7894" i="32"/>
  <c r="G7895" i="32"/>
  <c r="G7896" i="32"/>
  <c r="G7897" i="32"/>
  <c r="G7898" i="32"/>
  <c r="G7899" i="32"/>
  <c r="G7900" i="32"/>
  <c r="G7901" i="32"/>
  <c r="G7902" i="32"/>
  <c r="G7903" i="32"/>
  <c r="G7904" i="32"/>
  <c r="G7905" i="32"/>
  <c r="G7906" i="32"/>
  <c r="G7907" i="32"/>
  <c r="G7908" i="32"/>
  <c r="G7909" i="32"/>
  <c r="G7910" i="32"/>
  <c r="G7911" i="32"/>
  <c r="G7912" i="32"/>
  <c r="G7913" i="32"/>
  <c r="G7914" i="32"/>
  <c r="G7915" i="32"/>
  <c r="G7916" i="32"/>
  <c r="G7917" i="32"/>
  <c r="G7918" i="32"/>
  <c r="G7919" i="32"/>
  <c r="G7920" i="32"/>
  <c r="G7921" i="32"/>
  <c r="G7922" i="32"/>
  <c r="G7923" i="32"/>
  <c r="G7924" i="32"/>
  <c r="G8430" i="32"/>
  <c r="G8431" i="32"/>
  <c r="G8432" i="32"/>
  <c r="G8433" i="32"/>
  <c r="G8434" i="32"/>
  <c r="G8435" i="32"/>
  <c r="G8436" i="32"/>
  <c r="G8437" i="32"/>
  <c r="G8438" i="32"/>
  <c r="G8439" i="32"/>
  <c r="G8440" i="32"/>
  <c r="G8441" i="32"/>
  <c r="G8442" i="32"/>
  <c r="G8443" i="32"/>
  <c r="G8444" i="32"/>
  <c r="G8445" i="32"/>
  <c r="G8446" i="32"/>
  <c r="G8447" i="32"/>
  <c r="G8448" i="32"/>
  <c r="G8449" i="32"/>
  <c r="G8450" i="32"/>
  <c r="G8451" i="32"/>
  <c r="G8452" i="32"/>
  <c r="G8453" i="32"/>
  <c r="G8454" i="32"/>
  <c r="G8455" i="32"/>
  <c r="G8456" i="32"/>
  <c r="G8457" i="32"/>
  <c r="G8458" i="32"/>
  <c r="G8459" i="32"/>
  <c r="G8460" i="32"/>
  <c r="G8461" i="32"/>
  <c r="G8462" i="32"/>
  <c r="G8463" i="32"/>
  <c r="G8464" i="32"/>
  <c r="G8465" i="32"/>
  <c r="G8466" i="32"/>
  <c r="G8467" i="32"/>
  <c r="G8468" i="32"/>
  <c r="G8469" i="32"/>
  <c r="G8470" i="32"/>
  <c r="G8471" i="32"/>
  <c r="G8472" i="32"/>
  <c r="G8473" i="32"/>
  <c r="G8474" i="32"/>
  <c r="G8475" i="32"/>
  <c r="G8476" i="32"/>
  <c r="G8477" i="32"/>
  <c r="G8478" i="32"/>
  <c r="G8479" i="32"/>
  <c r="G8480" i="32"/>
  <c r="G8481" i="32"/>
  <c r="G8482" i="32"/>
  <c r="G8483" i="32"/>
  <c r="G8484" i="32"/>
  <c r="G8485" i="32"/>
  <c r="G8486" i="32"/>
  <c r="G8487" i="32"/>
  <c r="G8488" i="32"/>
  <c r="G8489" i="32"/>
  <c r="G8490" i="32"/>
  <c r="G8491" i="32"/>
  <c r="G8492" i="32"/>
  <c r="G8493" i="32"/>
  <c r="G8494" i="32"/>
  <c r="G8495" i="32"/>
  <c r="G8496" i="32"/>
  <c r="G8497" i="32"/>
  <c r="G8498" i="32"/>
  <c r="G8499" i="32"/>
  <c r="G8500" i="32"/>
  <c r="G8501" i="32"/>
  <c r="G8502" i="32"/>
  <c r="G8503" i="32"/>
  <c r="G8504" i="32"/>
  <c r="G8505" i="32"/>
  <c r="G8506" i="32"/>
  <c r="G8507" i="32"/>
  <c r="G8508" i="32"/>
  <c r="G8509" i="32"/>
  <c r="G8510" i="32"/>
  <c r="G8511" i="32"/>
  <c r="G8512" i="32"/>
  <c r="G8513" i="32"/>
  <c r="G8514" i="32"/>
  <c r="G8515" i="32"/>
  <c r="G8516" i="32"/>
  <c r="G8517" i="32"/>
  <c r="G8518" i="32"/>
  <c r="G8519" i="32"/>
  <c r="G8520" i="32"/>
  <c r="G8521" i="32"/>
  <c r="G8522" i="32"/>
  <c r="G8523" i="32"/>
  <c r="G8524" i="32"/>
  <c r="G8525" i="32"/>
  <c r="G8526" i="32"/>
  <c r="G8527" i="32"/>
  <c r="G8528" i="32"/>
  <c r="G8529" i="32"/>
  <c r="G8530" i="32"/>
  <c r="G8531" i="32"/>
  <c r="G8532" i="32"/>
  <c r="G8533" i="32"/>
  <c r="G8534" i="32"/>
  <c r="G8535" i="32"/>
  <c r="G8536" i="32"/>
  <c r="G8537" i="32"/>
  <c r="G8538" i="32"/>
  <c r="G8539" i="32"/>
  <c r="G8540" i="32"/>
  <c r="G8541" i="32"/>
  <c r="G8542" i="32"/>
  <c r="G8543" i="32"/>
  <c r="G8544" i="32"/>
  <c r="G8545" i="32"/>
  <c r="G8546" i="32"/>
  <c r="G8547" i="32"/>
  <c r="G8548" i="32"/>
  <c r="G8549" i="32"/>
  <c r="G8550" i="32"/>
  <c r="G8551" i="32"/>
  <c r="G8552" i="32"/>
  <c r="G8553" i="32"/>
  <c r="G8554" i="32"/>
  <c r="G8555" i="32"/>
  <c r="G8556" i="32"/>
  <c r="G8557" i="32"/>
  <c r="G8558" i="32"/>
  <c r="G8559" i="32"/>
  <c r="G8560" i="32"/>
  <c r="G8561" i="32"/>
  <c r="G8562" i="32"/>
  <c r="G8563" i="32"/>
  <c r="G8564" i="32"/>
  <c r="G8565" i="32"/>
  <c r="G8566" i="32"/>
  <c r="G8567" i="32"/>
  <c r="G8568" i="32"/>
  <c r="G8569" i="32"/>
  <c r="G8570" i="32"/>
  <c r="G8571" i="32"/>
  <c r="G8572" i="32"/>
  <c r="G8573" i="32"/>
  <c r="G8574" i="32"/>
  <c r="G8575" i="32"/>
  <c r="G8576" i="32"/>
  <c r="G8577" i="32"/>
  <c r="G8578" i="32"/>
  <c r="G8579" i="32"/>
  <c r="G8580" i="32"/>
  <c r="G8581" i="32"/>
  <c r="G8582" i="32"/>
  <c r="G8583" i="32"/>
  <c r="G8584" i="32"/>
  <c r="G8585" i="32"/>
  <c r="G8586" i="32"/>
  <c r="G8587" i="32"/>
  <c r="G8588" i="32"/>
  <c r="G8589" i="32"/>
  <c r="G8590" i="32"/>
  <c r="G8591" i="32"/>
  <c r="G8592" i="32"/>
  <c r="G8593" i="32"/>
  <c r="G8594" i="32"/>
  <c r="G8595" i="32"/>
  <c r="G8596" i="32"/>
  <c r="G8597" i="32"/>
  <c r="G8598" i="32"/>
  <c r="G8599" i="32"/>
  <c r="G8600" i="32"/>
  <c r="G8601" i="32"/>
  <c r="G8602" i="32"/>
  <c r="G8603" i="32"/>
  <c r="G8604" i="32"/>
  <c r="G8605" i="32"/>
  <c r="G8606" i="32"/>
  <c r="G8607" i="32"/>
  <c r="G8608" i="32"/>
  <c r="G8609" i="32"/>
  <c r="G8610" i="32"/>
  <c r="G8611" i="32"/>
  <c r="G8612" i="32"/>
  <c r="G8613" i="32"/>
  <c r="G8614" i="32"/>
  <c r="G8615" i="32"/>
  <c r="G8616" i="32"/>
  <c r="G8617" i="32"/>
  <c r="G8618" i="32"/>
  <c r="G8619" i="32"/>
  <c r="G8620" i="32"/>
  <c r="G8621" i="32"/>
  <c r="G8622" i="32"/>
  <c r="G8623" i="32"/>
  <c r="G8624" i="32"/>
  <c r="G8625" i="32"/>
  <c r="G8626" i="32"/>
  <c r="G8627" i="32"/>
  <c r="G8628" i="32"/>
  <c r="G8629" i="32"/>
  <c r="G8630" i="32"/>
  <c r="G8631" i="32"/>
  <c r="G8632" i="32"/>
  <c r="G8633" i="32"/>
  <c r="G8634" i="32"/>
  <c r="G8635" i="32"/>
  <c r="G8636" i="32"/>
  <c r="G8637" i="32"/>
  <c r="G8638" i="32"/>
  <c r="G8639" i="32"/>
  <c r="G8640" i="32"/>
  <c r="G8641" i="32"/>
  <c r="G8642" i="32"/>
  <c r="G8643" i="32"/>
  <c r="G8644" i="32"/>
  <c r="G8645" i="32"/>
  <c r="G8646" i="32"/>
  <c r="G8647" i="32"/>
  <c r="G8648" i="32"/>
  <c r="G8649" i="32"/>
  <c r="G8650" i="32"/>
  <c r="G8651" i="32"/>
  <c r="G8652" i="32"/>
  <c r="G8653" i="32"/>
  <c r="G8654" i="32"/>
  <c r="G8655" i="32"/>
  <c r="G8656" i="32"/>
  <c r="G8657" i="32"/>
  <c r="G8658" i="32"/>
  <c r="G8659" i="32"/>
  <c r="G8660" i="32"/>
  <c r="G8661" i="32"/>
  <c r="G8662" i="32"/>
  <c r="G8663" i="32"/>
  <c r="G8664" i="32"/>
  <c r="G8665" i="32"/>
  <c r="G8666" i="32"/>
  <c r="G8667" i="32"/>
  <c r="G8668" i="32"/>
  <c r="G8669" i="32"/>
  <c r="G8670" i="32"/>
  <c r="G8671" i="32"/>
  <c r="G8672" i="32"/>
  <c r="G8673" i="32"/>
  <c r="G8674" i="32"/>
  <c r="G8675" i="32"/>
  <c r="G8676" i="32"/>
  <c r="G8677" i="32"/>
  <c r="G8678" i="32"/>
  <c r="G8679" i="32"/>
  <c r="G8680" i="32"/>
  <c r="G8681" i="32"/>
  <c r="G8682" i="32"/>
  <c r="G8683" i="32"/>
  <c r="G8684" i="32"/>
  <c r="G8685" i="32"/>
  <c r="G8686" i="32"/>
  <c r="G8687" i="32"/>
  <c r="G8688" i="32"/>
  <c r="G8689" i="32"/>
  <c r="G8690" i="32"/>
  <c r="G8691" i="32"/>
  <c r="G8692" i="32"/>
  <c r="G8693" i="32"/>
  <c r="G8694" i="32"/>
  <c r="G8695" i="32"/>
  <c r="G8696" i="32"/>
  <c r="G8697" i="32"/>
  <c r="G8698" i="32"/>
  <c r="G8699" i="32"/>
  <c r="G8700" i="32"/>
  <c r="G8701" i="32"/>
  <c r="G8702" i="32"/>
  <c r="G8703" i="32"/>
  <c r="G8704" i="32"/>
  <c r="G8705" i="32"/>
  <c r="G8706" i="32"/>
  <c r="G8707" i="32"/>
  <c r="G8708" i="32"/>
  <c r="G8709" i="32"/>
  <c r="G8710" i="32"/>
  <c r="G8711" i="32"/>
  <c r="G8712" i="32"/>
  <c r="G8713" i="32"/>
  <c r="G8714" i="32"/>
  <c r="G8715" i="32"/>
  <c r="G8716" i="32"/>
  <c r="G8717" i="32"/>
  <c r="G8718" i="32"/>
  <c r="G8719" i="32"/>
  <c r="G8720" i="32"/>
  <c r="G8721" i="32"/>
  <c r="G8722" i="32"/>
  <c r="G8723" i="32"/>
  <c r="G8724" i="32"/>
  <c r="G8725" i="32"/>
  <c r="G8726" i="32"/>
  <c r="G8727" i="32"/>
  <c r="G8728" i="32"/>
  <c r="G8729" i="32"/>
  <c r="G8730" i="32"/>
  <c r="G8731" i="32"/>
  <c r="G8732" i="32"/>
  <c r="G8733" i="32"/>
  <c r="G8734" i="32"/>
  <c r="G8735" i="32"/>
  <c r="G8736" i="32"/>
  <c r="G8737" i="32"/>
  <c r="G8738" i="32"/>
  <c r="G8739" i="32"/>
  <c r="G8740" i="32"/>
  <c r="G8741" i="32"/>
  <c r="G8742" i="32"/>
  <c r="G8743" i="32"/>
  <c r="G8744" i="32"/>
  <c r="G8745" i="32"/>
  <c r="G8746" i="32"/>
  <c r="G8747" i="32"/>
  <c r="G8748" i="32"/>
  <c r="G8749" i="32"/>
  <c r="G8750" i="32"/>
  <c r="G8751" i="32"/>
  <c r="G8752" i="32"/>
  <c r="G8753" i="32"/>
  <c r="G8754" i="32"/>
  <c r="G8755" i="32"/>
  <c r="G8756" i="32"/>
  <c r="G8757" i="32"/>
  <c r="G8758" i="32"/>
  <c r="G8759" i="32"/>
  <c r="G8760" i="32"/>
  <c r="G8761" i="32"/>
  <c r="G8762" i="32"/>
  <c r="G8763" i="32"/>
  <c r="G8764" i="32"/>
  <c r="G8765" i="32"/>
  <c r="G8766" i="32"/>
  <c r="G8767" i="32"/>
  <c r="G8768" i="32"/>
  <c r="G8769" i="32"/>
  <c r="G8770" i="32"/>
  <c r="G8771" i="32"/>
  <c r="G8772" i="32"/>
  <c r="G8773" i="32"/>
  <c r="G8774" i="32"/>
  <c r="G8775" i="32"/>
  <c r="G8776" i="32"/>
  <c r="G8777" i="32"/>
  <c r="G8778" i="32"/>
  <c r="G8779" i="32"/>
  <c r="G8780" i="32"/>
  <c r="G8781" i="32"/>
  <c r="G8782" i="32"/>
  <c r="G8783" i="32"/>
  <c r="G8784" i="32"/>
  <c r="G8785" i="32"/>
  <c r="G8786" i="32"/>
  <c r="G8787" i="32"/>
  <c r="G8788" i="32"/>
  <c r="G8789" i="32"/>
  <c r="G8790" i="32"/>
  <c r="G8791" i="32"/>
  <c r="G8792" i="32"/>
  <c r="G8793" i="32"/>
  <c r="G8794" i="32"/>
  <c r="G8795" i="32"/>
  <c r="G8796" i="32"/>
  <c r="G8797" i="32"/>
  <c r="G8798" i="32"/>
  <c r="G8799" i="32"/>
  <c r="G8800" i="32"/>
  <c r="G8801" i="32"/>
  <c r="G8802" i="32"/>
  <c r="G8803" i="32"/>
  <c r="G8804" i="32"/>
  <c r="G8805" i="32"/>
  <c r="G8806" i="32"/>
  <c r="G8807" i="32"/>
  <c r="G8808" i="32"/>
  <c r="G8809" i="32"/>
  <c r="G8810" i="32"/>
  <c r="G8811" i="32"/>
  <c r="G8812" i="32"/>
  <c r="G8813" i="32"/>
  <c r="G8814" i="32"/>
  <c r="G8815" i="32"/>
  <c r="G8816" i="32"/>
  <c r="G8817" i="32"/>
  <c r="G8818" i="32"/>
  <c r="G8819" i="32"/>
  <c r="G8820" i="32"/>
  <c r="G8821" i="32"/>
  <c r="G8822" i="32"/>
  <c r="G8823" i="32"/>
  <c r="G8824" i="32"/>
  <c r="G8825" i="32"/>
  <c r="G8826" i="32"/>
  <c r="G8827" i="32"/>
  <c r="G8828" i="32"/>
  <c r="G8829" i="32"/>
  <c r="G8830" i="32"/>
  <c r="G8831" i="32"/>
  <c r="G8832" i="32"/>
  <c r="G8833" i="32"/>
  <c r="G8834" i="32"/>
  <c r="G8835" i="32"/>
  <c r="G8836" i="32"/>
  <c r="G8837" i="32"/>
  <c r="G8838" i="32"/>
  <c r="G8839" i="32"/>
  <c r="G8840" i="32"/>
  <c r="G8841" i="32"/>
  <c r="G8842" i="32"/>
  <c r="G8843" i="32"/>
  <c r="G8844" i="32"/>
  <c r="G8845" i="32"/>
  <c r="G8846" i="32"/>
  <c r="G8847" i="32"/>
  <c r="G8848" i="32"/>
  <c r="G8849" i="32"/>
  <c r="G8850" i="32"/>
  <c r="G8851" i="32"/>
  <c r="G8852" i="32"/>
  <c r="G8853" i="32"/>
  <c r="G8854" i="32"/>
  <c r="G8855" i="32"/>
  <c r="G8856" i="32"/>
  <c r="G8857" i="32"/>
  <c r="G8858" i="32"/>
  <c r="G8859" i="32"/>
  <c r="G8860" i="32"/>
  <c r="G8861" i="32"/>
  <c r="G8862" i="32"/>
  <c r="G8863" i="32"/>
  <c r="G8864" i="32"/>
  <c r="G8865" i="32"/>
  <c r="G8866" i="32"/>
  <c r="G8867" i="32"/>
  <c r="G8868" i="32"/>
  <c r="G8869" i="32"/>
  <c r="G8870" i="32"/>
  <c r="G8871" i="32"/>
  <c r="G8872" i="32"/>
  <c r="G8873" i="32"/>
  <c r="G8874" i="32"/>
  <c r="G8875" i="32"/>
  <c r="G8876" i="32"/>
  <c r="G8877" i="32"/>
  <c r="G8878" i="32"/>
  <c r="G8879" i="32"/>
  <c r="G8880" i="32"/>
  <c r="G8881" i="32"/>
  <c r="G8882" i="32"/>
  <c r="G8883" i="32"/>
  <c r="G8884" i="32"/>
  <c r="G8885" i="32"/>
  <c r="G8886" i="32"/>
  <c r="G8887" i="32"/>
  <c r="G8888" i="32"/>
  <c r="G8889" i="32"/>
  <c r="G8890" i="32"/>
  <c r="G8891" i="32"/>
  <c r="G8892" i="32"/>
  <c r="G8893" i="32"/>
  <c r="G8894" i="32"/>
  <c r="G8895" i="32"/>
  <c r="G8896" i="32"/>
  <c r="G8897" i="32"/>
  <c r="G8898" i="32"/>
  <c r="G8899" i="32"/>
  <c r="G8900" i="32"/>
  <c r="G8901" i="32"/>
  <c r="G8902" i="32"/>
  <c r="G8903" i="32"/>
  <c r="G8904" i="32"/>
  <c r="G8905" i="32"/>
  <c r="G8906" i="32"/>
  <c r="G8907" i="32"/>
  <c r="G8908" i="32"/>
  <c r="G8909" i="32"/>
  <c r="G8910" i="32"/>
  <c r="G8911" i="32"/>
  <c r="G8912" i="32"/>
  <c r="G8913" i="32"/>
  <c r="G8914" i="32"/>
  <c r="G8915" i="32"/>
  <c r="G8916" i="32"/>
  <c r="G8917" i="32"/>
  <c r="G8918" i="32"/>
  <c r="G8919" i="32"/>
  <c r="G8920" i="32"/>
  <c r="G8921" i="32"/>
  <c r="G8922" i="32"/>
  <c r="G8923" i="32"/>
  <c r="G8924" i="32"/>
  <c r="G8925" i="32"/>
  <c r="G8926" i="32"/>
  <c r="G8927" i="32"/>
  <c r="G8928" i="32"/>
  <c r="G8929" i="32"/>
  <c r="G8930" i="32"/>
  <c r="G8931" i="32"/>
  <c r="G8932" i="32"/>
  <c r="G8933" i="32"/>
  <c r="G8934" i="32"/>
  <c r="G8935" i="32"/>
  <c r="G8936" i="32"/>
  <c r="G8937" i="32"/>
  <c r="G8938" i="32"/>
  <c r="G8939" i="32"/>
  <c r="G8940" i="32"/>
  <c r="G8941" i="32"/>
  <c r="G8942" i="32"/>
  <c r="G8943" i="32"/>
  <c r="G8944" i="32"/>
  <c r="G8945" i="32"/>
  <c r="G8946" i="32"/>
  <c r="G8947" i="32"/>
  <c r="G8948" i="32"/>
  <c r="G8949" i="32"/>
  <c r="G8950" i="32"/>
  <c r="G8951" i="32"/>
  <c r="G8952" i="32"/>
  <c r="G8953" i="32"/>
  <c r="G8954" i="32"/>
  <c r="G8955" i="32"/>
  <c r="G8956" i="32"/>
  <c r="G8957" i="32"/>
  <c r="G8958" i="32"/>
  <c r="G8959" i="32"/>
  <c r="G8960" i="32"/>
  <c r="G8961" i="32"/>
  <c r="G8962" i="32"/>
  <c r="G8963" i="32"/>
  <c r="G8964" i="32"/>
  <c r="G8965" i="32"/>
  <c r="G8966" i="32"/>
  <c r="G8967" i="32"/>
  <c r="G8968" i="32"/>
  <c r="G8969" i="32"/>
  <c r="G8970" i="32"/>
  <c r="G8971" i="32"/>
  <c r="G8972" i="32"/>
  <c r="G8973" i="32"/>
  <c r="G8974" i="32"/>
  <c r="G8975" i="32"/>
  <c r="G8976" i="32"/>
  <c r="G8977" i="32"/>
  <c r="G8978" i="32"/>
  <c r="G8979" i="32"/>
  <c r="G8980" i="32"/>
  <c r="G8981" i="32"/>
  <c r="G8982" i="32"/>
  <c r="G8983" i="32"/>
  <c r="G8984" i="32"/>
  <c r="G8985" i="32"/>
  <c r="G8986" i="32"/>
  <c r="G8987" i="32"/>
  <c r="G8988" i="32"/>
  <c r="G8989" i="32"/>
  <c r="G8990" i="32"/>
  <c r="G8991" i="32"/>
  <c r="G8992" i="32"/>
  <c r="G8993" i="32"/>
  <c r="G8994" i="32"/>
  <c r="G8995" i="32"/>
  <c r="G8996" i="32"/>
  <c r="G8997" i="32"/>
  <c r="G8998" i="32"/>
  <c r="G8999" i="32"/>
  <c r="G9000" i="32"/>
  <c r="G9001" i="32"/>
  <c r="G9002" i="32"/>
  <c r="G9003" i="32"/>
  <c r="G9004" i="32"/>
  <c r="G9005" i="32"/>
  <c r="G9006" i="32"/>
  <c r="G9007" i="32"/>
  <c r="G9008" i="32"/>
  <c r="G9009" i="32"/>
  <c r="G9010" i="32"/>
  <c r="G9011" i="32"/>
  <c r="G9012" i="32"/>
  <c r="G9013" i="32"/>
  <c r="G9014" i="32"/>
  <c r="G9015" i="32"/>
  <c r="G9016" i="32"/>
  <c r="G9017" i="32"/>
  <c r="G9018" i="32"/>
  <c r="G9019" i="32"/>
  <c r="G9020" i="32"/>
  <c r="G9021" i="32"/>
  <c r="G9022" i="32"/>
  <c r="G9023" i="32"/>
  <c r="G9024" i="32"/>
  <c r="G9025" i="32"/>
  <c r="G9026" i="32"/>
  <c r="G9027" i="32"/>
  <c r="G9028" i="32"/>
  <c r="G9029" i="32"/>
  <c r="G9030" i="32"/>
  <c r="G9031" i="32"/>
  <c r="G9032" i="32"/>
  <c r="G9033" i="32"/>
  <c r="G9034" i="32"/>
  <c r="G9035" i="32"/>
  <c r="G9036" i="32"/>
  <c r="G9037" i="32"/>
  <c r="G9038" i="32"/>
  <c r="G9039" i="32"/>
  <c r="G9040" i="32"/>
  <c r="G9041" i="32"/>
  <c r="G9042" i="32"/>
  <c r="G9043" i="32"/>
  <c r="G9044" i="32"/>
  <c r="G9045" i="32"/>
  <c r="G9046" i="32"/>
  <c r="G9047" i="32"/>
  <c r="G9048" i="32"/>
  <c r="G9049" i="32"/>
  <c r="G9050" i="32"/>
  <c r="G9051" i="32"/>
  <c r="G9052" i="32"/>
  <c r="G9053" i="32"/>
  <c r="G9054" i="32"/>
  <c r="G9055" i="32"/>
  <c r="G9056" i="32"/>
  <c r="G9057" i="32"/>
  <c r="G9058" i="32"/>
  <c r="G9059" i="32"/>
  <c r="G9060" i="32"/>
  <c r="G9061" i="32"/>
  <c r="G9062" i="32"/>
  <c r="G9063" i="32"/>
  <c r="G9064" i="32"/>
  <c r="G9065" i="32"/>
  <c r="G9066" i="32"/>
  <c r="G9067" i="32"/>
  <c r="G9068" i="32"/>
  <c r="G9069" i="32"/>
  <c r="G9070" i="32"/>
  <c r="G9071" i="32"/>
  <c r="G9072" i="32"/>
  <c r="G9073" i="32"/>
  <c r="G9074" i="32"/>
  <c r="G9075" i="32"/>
  <c r="G9076" i="32"/>
  <c r="G9077" i="32"/>
  <c r="G9078" i="32"/>
  <c r="G9079" i="32"/>
  <c r="G9080" i="32"/>
  <c r="G9081" i="32"/>
  <c r="G9082" i="32"/>
  <c r="G9083" i="32"/>
  <c r="G9084" i="32"/>
  <c r="G9085" i="32"/>
  <c r="G9086" i="32"/>
  <c r="G9087" i="32"/>
  <c r="G9088" i="32"/>
  <c r="G9089" i="32"/>
  <c r="G9090" i="32"/>
  <c r="G9091" i="32"/>
  <c r="G9092" i="32"/>
  <c r="G9093" i="32"/>
  <c r="G9094" i="32"/>
  <c r="G9095" i="32"/>
  <c r="G9096" i="32"/>
  <c r="G9097" i="32"/>
  <c r="G9098" i="32"/>
  <c r="G9099" i="32"/>
  <c r="G9100" i="32"/>
  <c r="G9101" i="32"/>
  <c r="G9102" i="32"/>
  <c r="G9103" i="32"/>
  <c r="G9104" i="32"/>
  <c r="G9105" i="32"/>
  <c r="G9106" i="32"/>
  <c r="G9107" i="32"/>
  <c r="G9108" i="32"/>
  <c r="G9109" i="32"/>
  <c r="G9110" i="32"/>
  <c r="G9111" i="32"/>
  <c r="G9112" i="32"/>
  <c r="G9113" i="32"/>
  <c r="G9114" i="32"/>
  <c r="G9115" i="32"/>
  <c r="G9116" i="32"/>
  <c r="G9117" i="32"/>
  <c r="G9118" i="32"/>
  <c r="G9119" i="32"/>
  <c r="G9120" i="32"/>
  <c r="G9121" i="32"/>
  <c r="G9122" i="32"/>
  <c r="G9123" i="32"/>
  <c r="G9124" i="32"/>
  <c r="G9125" i="32"/>
  <c r="G9126" i="32"/>
  <c r="G9127" i="32"/>
  <c r="G9128" i="32"/>
  <c r="G9129" i="32"/>
  <c r="G9130" i="32"/>
  <c r="G9131" i="32"/>
  <c r="G9132" i="32"/>
  <c r="G9133" i="32"/>
  <c r="G9134" i="32"/>
  <c r="G9135" i="32"/>
  <c r="G9136" i="32"/>
  <c r="G9137" i="32"/>
  <c r="G9138" i="32"/>
  <c r="G9139" i="32"/>
  <c r="G9140" i="32"/>
  <c r="G9141" i="32"/>
  <c r="G9142" i="32"/>
  <c r="G9143" i="32"/>
  <c r="G9144" i="32"/>
  <c r="G9145" i="32"/>
  <c r="G9146" i="32"/>
  <c r="G9147" i="32"/>
  <c r="G9148" i="32"/>
  <c r="G9149" i="32"/>
  <c r="G9150" i="32"/>
  <c r="G9151" i="32"/>
  <c r="G9152" i="32"/>
  <c r="G9153" i="32"/>
  <c r="G9154" i="32"/>
  <c r="G9155" i="32"/>
  <c r="G9156" i="32"/>
  <c r="G9157" i="32"/>
  <c r="G9158" i="32"/>
  <c r="G9159" i="32"/>
  <c r="G9160" i="32"/>
  <c r="G9161" i="32"/>
  <c r="G9162" i="32"/>
  <c r="G9163" i="32"/>
  <c r="G9164" i="32"/>
  <c r="G9165" i="32"/>
  <c r="G9166" i="32"/>
  <c r="G9167" i="32"/>
  <c r="G9168" i="32"/>
  <c r="G9169" i="32"/>
  <c r="G9170" i="32"/>
  <c r="G9171" i="32"/>
  <c r="G9172" i="32"/>
  <c r="G9173" i="32"/>
  <c r="G9174" i="32"/>
  <c r="G9175" i="32"/>
  <c r="G9176" i="32"/>
  <c r="G9177" i="32"/>
  <c r="G9178" i="32"/>
  <c r="G9179" i="32"/>
  <c r="G9180" i="32"/>
  <c r="G9181" i="32"/>
  <c r="G9182" i="32"/>
  <c r="G9183" i="32"/>
  <c r="G9184" i="32"/>
  <c r="G9185" i="32"/>
  <c r="G9186" i="32"/>
  <c r="G9187" i="32"/>
  <c r="G9188" i="32"/>
  <c r="G9189" i="32"/>
  <c r="G9190" i="32"/>
  <c r="G9191" i="32"/>
  <c r="G9192" i="32"/>
  <c r="G9193" i="32"/>
  <c r="G9194" i="32"/>
  <c r="G9195" i="32"/>
  <c r="G9196" i="32"/>
  <c r="G9197" i="32"/>
  <c r="G9198" i="32"/>
  <c r="G9199" i="32"/>
  <c r="G9200" i="32"/>
  <c r="G9201" i="32"/>
  <c r="G9202" i="32"/>
  <c r="G9203" i="32"/>
  <c r="G9204" i="32"/>
  <c r="G9205" i="32"/>
  <c r="G9206" i="32"/>
  <c r="G9207" i="32"/>
  <c r="G9208" i="32"/>
  <c r="G9209" i="32"/>
  <c r="G9210" i="32"/>
  <c r="G9211" i="32"/>
  <c r="G9212" i="32"/>
  <c r="G9213" i="32"/>
  <c r="G9214" i="32"/>
  <c r="G9215" i="32"/>
  <c r="G9216" i="32"/>
  <c r="G9217" i="32"/>
  <c r="G9218" i="32"/>
  <c r="G9219" i="32"/>
  <c r="G9220" i="32"/>
  <c r="G9221" i="32"/>
  <c r="G9222" i="32"/>
  <c r="G9223" i="32"/>
  <c r="G9224" i="32"/>
  <c r="G9225" i="32"/>
  <c r="G9226" i="32"/>
  <c r="G9227" i="32"/>
  <c r="G9228" i="32"/>
  <c r="G9229" i="32"/>
  <c r="G9230" i="32"/>
  <c r="G9231" i="32"/>
  <c r="G9232" i="32"/>
  <c r="G9233" i="32"/>
  <c r="G9234" i="32"/>
  <c r="G9235" i="32"/>
  <c r="G9236" i="32"/>
  <c r="G9237" i="32"/>
  <c r="G9238" i="32"/>
  <c r="G9239" i="32"/>
  <c r="G9240" i="32"/>
  <c r="G9241" i="32"/>
  <c r="G9242" i="32"/>
  <c r="G9243" i="32"/>
  <c r="G9244" i="32"/>
  <c r="G9245" i="32"/>
  <c r="G9246" i="32"/>
  <c r="G9247" i="32"/>
  <c r="G9248" i="32"/>
  <c r="G9249" i="32"/>
  <c r="G9250" i="32"/>
  <c r="G9251" i="32"/>
  <c r="G9252" i="32"/>
  <c r="G9253" i="32"/>
  <c r="G9254" i="32"/>
  <c r="G9255" i="32"/>
  <c r="G9256" i="32"/>
  <c r="G9257" i="32"/>
  <c r="G9258" i="32"/>
  <c r="G9259" i="32"/>
  <c r="G9260" i="32"/>
  <c r="G9261" i="32"/>
  <c r="G9262" i="32"/>
  <c r="G9263" i="32"/>
  <c r="G9264" i="32"/>
  <c r="G9265" i="32"/>
  <c r="G9266" i="32"/>
  <c r="G9267" i="32"/>
  <c r="G9268" i="32"/>
  <c r="G9269" i="32"/>
  <c r="G9270" i="32"/>
  <c r="G9271" i="32"/>
  <c r="G9272" i="32"/>
  <c r="G9273" i="32"/>
  <c r="G9274" i="32"/>
  <c r="G9275" i="32"/>
  <c r="G9276" i="32"/>
  <c r="G9277" i="32"/>
  <c r="G9278" i="32"/>
  <c r="G9279" i="32"/>
  <c r="G9280" i="32"/>
  <c r="G9281" i="32"/>
  <c r="G9282" i="32"/>
  <c r="G9283" i="32"/>
  <c r="G9284" i="32"/>
  <c r="G9285" i="32"/>
  <c r="G9286" i="32"/>
  <c r="G9287" i="32"/>
  <c r="G9288" i="32"/>
  <c r="G9289" i="32"/>
  <c r="G9290" i="32"/>
  <c r="G9291" i="32"/>
  <c r="G9292" i="32"/>
  <c r="G9293" i="32"/>
  <c r="G9294" i="32"/>
  <c r="G9295" i="32"/>
  <c r="G9296" i="32"/>
  <c r="G9297" i="32"/>
  <c r="G9298" i="32"/>
  <c r="G9299" i="32"/>
  <c r="G9300" i="32"/>
  <c r="G9301" i="32"/>
  <c r="G9302" i="32"/>
  <c r="G9303" i="32"/>
  <c r="G9304" i="32"/>
  <c r="G9305" i="32"/>
  <c r="G9306" i="32"/>
  <c r="G9307" i="32"/>
  <c r="G9308" i="32"/>
  <c r="G9309" i="32"/>
  <c r="G9310" i="32"/>
  <c r="G9311" i="32"/>
  <c r="G9312" i="32"/>
  <c r="G9313" i="32"/>
  <c r="G9314" i="32"/>
  <c r="G9315" i="32"/>
  <c r="G9316" i="32"/>
  <c r="G9317" i="32"/>
  <c r="G9318" i="32"/>
  <c r="G9319" i="32"/>
  <c r="G9320" i="32"/>
  <c r="G9321" i="32"/>
  <c r="G9322" i="32"/>
  <c r="G9323" i="32"/>
  <c r="G9324" i="32"/>
  <c r="G9325" i="32"/>
  <c r="G9326" i="32"/>
  <c r="G9327" i="32"/>
  <c r="G9328" i="32"/>
  <c r="G9329" i="32"/>
  <c r="G9330" i="32"/>
  <c r="G9331" i="32"/>
  <c r="G9332" i="32"/>
  <c r="G9333" i="32"/>
  <c r="G9334" i="32"/>
  <c r="G9335" i="32"/>
  <c r="G9336" i="32"/>
  <c r="G9337" i="32"/>
  <c r="G9338" i="32"/>
  <c r="G9339" i="32"/>
  <c r="G9340" i="32"/>
  <c r="G9341" i="32"/>
  <c r="G9342" i="32"/>
  <c r="G9343" i="32"/>
  <c r="G9344" i="32"/>
  <c r="G9345" i="32"/>
  <c r="G9346" i="32"/>
  <c r="G9347" i="32"/>
  <c r="G9348" i="32"/>
  <c r="G9349" i="32"/>
  <c r="G9350" i="32"/>
  <c r="G9351" i="32"/>
  <c r="G9352" i="32"/>
  <c r="G9353" i="32"/>
  <c r="G9354" i="32"/>
  <c r="G9355" i="32"/>
  <c r="G9356" i="32"/>
  <c r="G9357" i="32"/>
  <c r="G9358" i="32"/>
  <c r="G9359" i="32"/>
  <c r="G9360" i="32"/>
  <c r="G9361" i="32"/>
  <c r="G9362" i="32"/>
  <c r="G9363" i="32"/>
  <c r="G9364" i="32"/>
  <c r="G9365" i="32"/>
  <c r="G9366" i="32"/>
  <c r="G9367" i="32"/>
  <c r="G9368" i="32"/>
  <c r="G9369" i="32"/>
  <c r="G9370" i="32"/>
  <c r="G9371" i="32"/>
  <c r="G9372" i="32"/>
  <c r="G9373" i="32"/>
  <c r="G9374" i="32"/>
  <c r="G9375" i="32"/>
  <c r="G9376" i="32"/>
  <c r="G9377" i="32"/>
  <c r="G9378" i="32"/>
  <c r="G9379" i="32"/>
  <c r="G9380" i="32"/>
  <c r="G9381" i="32"/>
  <c r="G9382" i="32"/>
  <c r="G9383" i="32"/>
  <c r="G9384" i="32"/>
  <c r="G9385" i="32"/>
  <c r="G9386" i="32"/>
  <c r="G9387" i="32"/>
  <c r="G9388" i="32"/>
  <c r="G9389" i="32"/>
  <c r="G9390" i="32"/>
  <c r="G9391" i="32"/>
  <c r="G9392" i="32"/>
  <c r="G9393" i="32"/>
  <c r="G9394" i="32"/>
  <c r="G9395" i="32"/>
  <c r="G9396" i="32"/>
  <c r="G9397" i="32"/>
  <c r="G9398" i="32"/>
  <c r="G9399" i="32"/>
  <c r="G9400" i="32"/>
  <c r="G9401" i="32"/>
  <c r="G9402" i="32"/>
  <c r="G9403" i="32"/>
  <c r="G9404" i="32"/>
  <c r="G9405" i="32"/>
  <c r="G9406" i="32"/>
  <c r="G9407" i="32"/>
  <c r="G9408" i="32"/>
  <c r="G9409" i="32"/>
  <c r="G9410" i="32"/>
  <c r="G9411" i="32"/>
  <c r="G9412" i="32"/>
  <c r="G9413" i="32"/>
  <c r="G9414" i="32"/>
  <c r="G9415" i="32"/>
  <c r="G9416" i="32"/>
  <c r="G9417" i="32"/>
  <c r="G9418" i="32"/>
  <c r="G9419" i="32"/>
  <c r="G9420" i="32"/>
  <c r="G9421" i="32"/>
  <c r="G9422" i="32"/>
  <c r="G9423" i="32"/>
  <c r="G9424" i="32"/>
  <c r="G9425" i="32"/>
  <c r="G9426" i="32"/>
  <c r="G9427" i="32"/>
  <c r="G9428" i="32"/>
  <c r="G9429" i="32"/>
  <c r="G9430" i="32"/>
  <c r="G9431" i="32"/>
  <c r="G9432" i="32"/>
  <c r="G9433" i="32"/>
  <c r="G9434" i="32"/>
  <c r="G9435" i="32"/>
  <c r="G9436" i="32"/>
  <c r="G9437" i="32"/>
  <c r="G9438" i="32"/>
  <c r="G9439" i="32"/>
  <c r="G9440" i="32"/>
  <c r="G9441" i="32"/>
  <c r="G9442" i="32"/>
  <c r="G9443" i="32"/>
  <c r="G9444" i="32"/>
  <c r="G9445" i="32"/>
  <c r="G9446" i="32"/>
  <c r="G9447" i="32"/>
  <c r="G9448" i="32"/>
  <c r="G9449" i="32"/>
  <c r="G9450" i="32"/>
  <c r="G9451" i="32"/>
  <c r="G9452" i="32"/>
  <c r="G9453" i="32"/>
  <c r="G9454" i="32"/>
  <c r="G9455" i="32"/>
  <c r="G9456" i="32"/>
  <c r="G9457" i="32"/>
  <c r="G9458" i="32"/>
  <c r="G9459" i="32"/>
  <c r="G9460" i="32"/>
  <c r="G9461" i="32"/>
  <c r="G9462" i="32"/>
  <c r="G9463" i="32"/>
  <c r="G9464" i="32"/>
  <c r="G9465" i="32"/>
  <c r="G9466" i="32"/>
  <c r="G9467" i="32"/>
  <c r="G9468" i="32"/>
  <c r="G9469" i="32"/>
  <c r="G9470" i="32"/>
  <c r="G9471" i="32"/>
  <c r="G9472" i="32"/>
  <c r="G9473" i="32"/>
  <c r="G9474" i="32"/>
  <c r="G9475" i="32"/>
  <c r="G9476" i="32"/>
  <c r="G9477" i="32"/>
  <c r="G9478" i="32"/>
  <c r="G9479" i="32"/>
  <c r="G9480" i="32"/>
  <c r="G9481" i="32"/>
  <c r="G9482" i="32"/>
  <c r="G9483" i="32"/>
  <c r="G9484" i="32"/>
  <c r="G9485" i="32"/>
  <c r="G9486" i="32"/>
  <c r="G9487" i="32"/>
  <c r="G9488" i="32"/>
  <c r="G9489" i="32"/>
  <c r="G9490" i="32"/>
  <c r="G9491" i="32"/>
  <c r="G9492" i="32"/>
  <c r="G9493" i="32"/>
  <c r="G9494" i="32"/>
  <c r="G9495" i="32"/>
  <c r="G9496" i="32"/>
  <c r="G9497" i="32"/>
  <c r="G9498" i="32"/>
  <c r="G9499" i="32"/>
  <c r="G9500" i="32"/>
  <c r="G9501" i="32"/>
  <c r="G9502" i="32"/>
  <c r="G9503" i="32"/>
  <c r="G9504" i="32"/>
  <c r="G9505" i="32"/>
  <c r="G9506" i="32"/>
  <c r="G9507" i="32"/>
  <c r="G9508" i="32"/>
  <c r="G9509" i="32"/>
  <c r="G9510" i="32"/>
  <c r="G9511" i="32"/>
  <c r="G9512" i="32"/>
  <c r="G9513" i="32"/>
  <c r="G9514" i="32"/>
  <c r="G9515" i="32"/>
  <c r="G9516" i="32"/>
  <c r="G9517" i="32"/>
  <c r="G9518" i="32"/>
  <c r="G9519" i="32"/>
  <c r="G9520" i="32"/>
  <c r="G9521" i="32"/>
  <c r="G9522" i="32"/>
  <c r="G9523" i="32"/>
  <c r="G9524" i="32"/>
  <c r="G9525" i="32"/>
  <c r="G9526" i="32"/>
  <c r="G9527" i="32"/>
  <c r="G9528" i="32"/>
  <c r="G9529" i="32"/>
  <c r="G9530" i="32"/>
  <c r="G9531" i="32"/>
  <c r="G9532" i="32"/>
  <c r="G9533" i="32"/>
  <c r="G9534" i="32"/>
  <c r="G9535" i="32"/>
  <c r="G9536" i="32"/>
  <c r="G9537" i="32"/>
  <c r="G9538" i="32"/>
  <c r="G9539" i="32"/>
  <c r="G9540" i="32"/>
  <c r="G9541" i="32"/>
  <c r="G9542" i="32"/>
  <c r="G9543" i="32"/>
  <c r="G9544" i="32"/>
  <c r="G9545" i="32"/>
  <c r="G9546" i="32"/>
  <c r="G9547" i="32"/>
  <c r="G9548" i="32"/>
  <c r="G9549" i="32"/>
  <c r="G9550" i="32"/>
  <c r="G9551" i="32"/>
  <c r="G9552" i="32"/>
  <c r="G9553" i="32"/>
  <c r="G9554" i="32"/>
  <c r="G9555" i="32"/>
  <c r="G9556" i="32"/>
  <c r="G9557" i="32"/>
  <c r="G9558" i="32"/>
  <c r="G9559" i="32"/>
  <c r="G9560" i="32"/>
  <c r="G9561" i="32"/>
  <c r="G9562" i="32"/>
  <c r="G9563" i="32"/>
  <c r="G9564" i="32"/>
  <c r="G9565" i="32"/>
  <c r="G9566" i="32"/>
  <c r="G9567" i="32"/>
  <c r="G9568" i="32"/>
  <c r="G9569" i="32"/>
  <c r="G9570" i="32"/>
  <c r="G9571" i="32"/>
  <c r="G9572" i="32"/>
  <c r="G9573" i="32"/>
  <c r="G9574" i="32"/>
  <c r="G9575" i="32"/>
  <c r="G9576" i="32"/>
  <c r="G9577" i="32"/>
  <c r="G9578" i="32"/>
  <c r="G9579" i="32"/>
  <c r="G9580" i="32"/>
  <c r="G9581" i="32"/>
  <c r="G9582" i="32"/>
  <c r="G9583" i="32"/>
  <c r="G9584" i="32"/>
  <c r="G9585" i="32"/>
  <c r="G9586" i="32"/>
  <c r="G9587" i="32"/>
  <c r="G9588" i="32"/>
  <c r="G9589" i="32"/>
  <c r="G9590" i="32"/>
  <c r="G9591" i="32"/>
  <c r="G9592" i="32"/>
  <c r="G9593" i="32"/>
  <c r="G9594" i="32"/>
  <c r="G9595" i="32"/>
  <c r="G9596" i="32"/>
  <c r="G9597" i="32"/>
  <c r="G9598" i="32"/>
  <c r="G9599" i="32"/>
  <c r="G9600" i="32"/>
  <c r="G9601" i="32"/>
  <c r="G9602" i="32"/>
  <c r="G9603" i="32"/>
  <c r="G9604" i="32"/>
  <c r="G9605" i="32"/>
  <c r="G9606" i="32"/>
  <c r="G9607" i="32"/>
  <c r="G9608" i="32"/>
  <c r="G9609" i="32"/>
  <c r="G9610" i="32"/>
  <c r="G9611" i="32"/>
  <c r="G9612" i="32"/>
  <c r="G9613" i="32"/>
  <c r="G9614" i="32"/>
  <c r="G9615" i="32"/>
  <c r="G9616" i="32"/>
  <c r="G9617" i="32"/>
  <c r="G9618" i="32"/>
  <c r="G9619" i="32"/>
  <c r="G9620" i="32"/>
  <c r="G9621" i="32"/>
  <c r="G9622" i="32"/>
  <c r="G9623" i="32"/>
  <c r="G9624" i="32"/>
  <c r="G9625" i="32"/>
  <c r="G9626" i="32"/>
  <c r="G9627" i="32"/>
  <c r="G9628" i="32"/>
  <c r="G9629" i="32"/>
  <c r="G9630" i="32"/>
  <c r="G9631" i="32"/>
  <c r="G9632" i="32"/>
  <c r="G9633" i="32"/>
  <c r="G9634" i="32"/>
  <c r="G9635" i="32"/>
  <c r="G9636" i="32"/>
  <c r="G9637" i="32"/>
  <c r="G9638" i="32"/>
  <c r="G9639" i="32"/>
  <c r="G9640" i="32"/>
  <c r="G9641" i="32"/>
  <c r="G9642" i="32"/>
  <c r="G9643" i="32"/>
  <c r="G9644" i="32"/>
  <c r="G9645" i="32"/>
  <c r="G9646" i="32"/>
  <c r="G9647" i="32"/>
  <c r="G9648" i="32"/>
  <c r="G9649" i="32"/>
  <c r="G9650" i="32"/>
  <c r="G9651" i="32"/>
  <c r="G9652" i="32"/>
  <c r="G9653" i="32"/>
  <c r="G9654" i="32"/>
  <c r="G9655" i="32"/>
  <c r="G9656" i="32"/>
  <c r="G9657" i="32"/>
  <c r="G9658" i="32"/>
  <c r="G9659" i="32"/>
  <c r="G9660" i="32"/>
  <c r="G9661" i="32"/>
  <c r="G9662" i="32"/>
  <c r="G9663" i="32"/>
  <c r="G9664" i="32"/>
  <c r="G9665" i="32"/>
  <c r="G9666" i="32"/>
  <c r="G9667" i="32"/>
  <c r="G9668" i="32"/>
  <c r="G9669" i="32"/>
  <c r="G9670" i="32"/>
  <c r="G9671" i="32"/>
  <c r="G9672" i="32"/>
  <c r="G9673" i="32"/>
  <c r="G9674" i="32"/>
  <c r="G9675" i="32"/>
  <c r="G9676" i="32"/>
  <c r="G9677" i="32"/>
  <c r="G9678" i="32"/>
  <c r="G9679" i="32"/>
  <c r="G9680" i="32"/>
  <c r="G9681" i="32"/>
  <c r="G9682" i="32"/>
  <c r="G9683" i="32"/>
  <c r="G9684" i="32"/>
  <c r="G9685" i="32"/>
  <c r="G9686" i="32"/>
  <c r="G9687" i="32"/>
  <c r="G9688" i="32"/>
  <c r="G9689" i="32"/>
  <c r="G9690" i="32"/>
  <c r="G9691" i="32"/>
  <c r="G9692" i="32"/>
  <c r="G9693" i="32"/>
  <c r="G9694" i="32"/>
  <c r="G9695" i="32"/>
  <c r="G9696" i="32"/>
  <c r="G9697" i="32"/>
  <c r="G9698" i="32"/>
  <c r="G9699" i="32"/>
  <c r="G9700" i="32"/>
  <c r="G9701" i="32"/>
  <c r="G9702" i="32"/>
  <c r="G9703" i="32"/>
  <c r="G9704" i="32"/>
  <c r="G9705" i="32"/>
  <c r="G9706" i="32"/>
  <c r="G9707" i="32"/>
  <c r="G9708" i="32"/>
  <c r="G9709" i="32"/>
  <c r="G9710" i="32"/>
  <c r="G9711" i="32"/>
  <c r="G9712" i="32"/>
  <c r="G9713" i="32"/>
  <c r="G9714" i="32"/>
  <c r="G9715" i="32"/>
  <c r="G9716" i="32"/>
  <c r="G9717" i="32"/>
  <c r="G9718" i="32"/>
  <c r="G9719" i="32"/>
  <c r="G9720" i="32"/>
  <c r="G9721" i="32"/>
  <c r="G9722" i="32"/>
  <c r="G9723" i="32"/>
  <c r="G9724" i="32"/>
  <c r="G9725" i="32"/>
  <c r="G9726" i="32"/>
  <c r="G9727" i="32"/>
  <c r="G9728" i="32"/>
  <c r="G9729" i="32"/>
  <c r="G9730" i="32"/>
  <c r="G9731" i="32"/>
  <c r="G9732" i="32"/>
  <c r="G9733" i="32"/>
  <c r="G9734" i="32"/>
  <c r="G9735" i="32"/>
  <c r="G9736" i="32"/>
  <c r="G9737" i="32"/>
  <c r="G9738" i="32"/>
  <c r="G9739" i="32"/>
  <c r="G9740" i="32"/>
  <c r="G9741" i="32"/>
  <c r="G9742" i="32"/>
  <c r="G9743" i="32"/>
  <c r="G9744" i="32"/>
  <c r="G9745" i="32"/>
  <c r="G9746" i="32"/>
  <c r="G9747" i="32"/>
  <c r="G9748" i="32"/>
  <c r="G9749" i="32"/>
  <c r="G9750" i="32"/>
  <c r="G9751" i="32"/>
  <c r="G9752" i="32"/>
  <c r="G9753" i="32"/>
  <c r="G9754" i="32"/>
  <c r="G9755" i="32"/>
  <c r="G9756" i="32"/>
  <c r="G9757" i="32"/>
  <c r="G9758" i="32"/>
  <c r="G9759" i="32"/>
  <c r="G9760" i="32"/>
  <c r="G9761" i="32"/>
  <c r="G9762" i="32"/>
  <c r="G9763" i="32"/>
  <c r="G9764" i="32"/>
  <c r="G9765" i="32"/>
  <c r="G9766" i="32"/>
  <c r="G9767" i="32"/>
  <c r="G9768" i="32"/>
  <c r="G9769" i="32"/>
  <c r="G9770" i="32"/>
  <c r="G9771" i="32"/>
  <c r="G9772" i="32"/>
  <c r="G9773" i="32"/>
  <c r="G9774" i="32"/>
  <c r="G9775" i="32"/>
  <c r="G9776" i="32"/>
  <c r="G9777" i="32"/>
  <c r="G9778" i="32"/>
  <c r="G9779" i="32"/>
  <c r="G9780" i="32"/>
  <c r="G9781" i="32"/>
  <c r="G9782" i="32"/>
  <c r="G9783" i="32"/>
  <c r="G9784" i="32"/>
  <c r="G9785" i="32"/>
  <c r="G9786" i="32"/>
  <c r="G9787" i="32"/>
  <c r="G9788" i="32"/>
  <c r="G9789" i="32"/>
  <c r="G9790" i="32"/>
  <c r="G9791" i="32"/>
  <c r="G9792" i="32"/>
  <c r="G9793" i="32"/>
  <c r="G9794" i="32"/>
  <c r="G9795" i="32"/>
  <c r="G9796" i="32"/>
  <c r="G9797" i="32"/>
  <c r="G9798" i="32"/>
  <c r="G9799" i="32"/>
  <c r="G9800" i="32"/>
  <c r="G9801" i="32"/>
  <c r="G9802" i="32"/>
  <c r="G9803" i="32"/>
  <c r="G9804" i="32"/>
  <c r="G9805" i="32"/>
  <c r="G9806" i="32"/>
  <c r="G9807" i="32"/>
  <c r="G9808" i="32"/>
  <c r="G9809" i="32"/>
  <c r="G9810" i="32"/>
  <c r="G9811" i="32"/>
  <c r="G9812" i="32"/>
  <c r="G9813" i="32"/>
  <c r="G9814" i="32"/>
  <c r="G9815" i="32"/>
  <c r="G9816" i="32"/>
  <c r="G9817" i="32"/>
  <c r="G9818" i="32"/>
  <c r="G9819" i="32"/>
  <c r="G9820" i="32"/>
  <c r="G9821" i="32"/>
  <c r="G9822" i="32"/>
  <c r="G9823" i="32"/>
  <c r="G9824" i="32"/>
  <c r="G9825" i="32"/>
  <c r="G9826" i="32"/>
  <c r="G9827" i="32"/>
  <c r="G9828" i="32"/>
  <c r="G9829" i="32"/>
  <c r="G9830" i="32"/>
  <c r="G9831" i="32"/>
  <c r="G9832" i="32"/>
  <c r="G9833" i="32"/>
  <c r="G9834" i="32"/>
  <c r="G9835" i="32"/>
  <c r="G9836" i="32"/>
  <c r="G9837" i="32"/>
  <c r="G9838" i="32"/>
  <c r="G9839" i="32"/>
  <c r="G9840" i="32"/>
  <c r="G9841" i="32"/>
  <c r="G9842" i="32"/>
  <c r="G9843" i="32"/>
  <c r="G9844" i="32"/>
  <c r="G9845" i="32"/>
  <c r="G9846" i="32"/>
  <c r="G9847" i="32"/>
  <c r="G9848" i="32"/>
  <c r="G9849" i="32"/>
  <c r="G9850" i="32"/>
  <c r="G9851" i="32"/>
  <c r="G9852" i="32"/>
  <c r="G9853" i="32"/>
  <c r="G9854" i="32"/>
  <c r="G9855" i="32"/>
  <c r="G9856" i="32"/>
  <c r="G9857" i="32"/>
  <c r="G9858" i="32"/>
  <c r="G9859" i="32"/>
  <c r="G9860" i="32"/>
  <c r="G9861" i="32"/>
  <c r="G9862" i="32"/>
  <c r="G9863" i="32"/>
  <c r="G9864" i="32"/>
  <c r="G9865" i="32"/>
  <c r="G9866" i="32"/>
  <c r="G9867" i="32"/>
  <c r="G9868" i="32"/>
  <c r="G9869" i="32"/>
  <c r="G9870" i="32"/>
  <c r="G9871" i="32"/>
  <c r="G9872" i="32"/>
  <c r="G9873" i="32"/>
  <c r="G9874" i="32"/>
  <c r="G9875" i="32"/>
  <c r="G9876" i="32"/>
  <c r="G9877" i="32"/>
  <c r="G9878" i="32"/>
  <c r="G9879" i="32"/>
  <c r="G9880" i="32"/>
  <c r="G9881" i="32"/>
  <c r="G9882" i="32"/>
  <c r="G9883" i="32"/>
  <c r="G9884" i="32"/>
  <c r="G9885" i="32"/>
  <c r="G9886" i="32"/>
  <c r="G9887" i="32"/>
  <c r="G9888" i="32"/>
  <c r="G9889" i="32"/>
  <c r="G9890" i="32"/>
  <c r="G9891" i="32"/>
  <c r="G9892" i="32"/>
  <c r="G9893" i="32"/>
  <c r="G9894" i="32"/>
  <c r="G9895" i="32"/>
  <c r="G9896" i="32"/>
  <c r="G9897" i="32"/>
  <c r="G9898" i="32"/>
  <c r="G9899" i="32"/>
  <c r="G9900" i="32"/>
  <c r="G9901" i="32"/>
  <c r="G9902" i="32"/>
  <c r="G9903" i="32"/>
  <c r="G9904" i="32"/>
  <c r="G9905" i="32"/>
  <c r="G9906" i="32"/>
  <c r="G9907" i="32"/>
  <c r="G9908" i="32"/>
  <c r="G9909" i="32"/>
  <c r="G9910" i="32"/>
  <c r="G9911" i="32"/>
  <c r="G9912" i="32"/>
  <c r="G9913" i="32"/>
  <c r="G9914" i="32"/>
  <c r="G9915" i="32"/>
  <c r="G9916" i="32"/>
  <c r="G9917" i="32"/>
  <c r="G9918" i="32"/>
  <c r="G9919" i="32"/>
  <c r="G9920" i="32"/>
  <c r="G9921" i="32"/>
  <c r="G9922" i="32"/>
  <c r="G9923" i="32"/>
  <c r="G9924" i="32"/>
  <c r="G9925" i="32"/>
  <c r="G9926" i="32"/>
  <c r="G9927" i="32"/>
  <c r="G9928" i="32"/>
  <c r="G9929" i="32"/>
  <c r="G9930" i="32"/>
  <c r="G9931" i="32"/>
  <c r="G9932" i="32"/>
  <c r="G9933" i="32"/>
  <c r="G9934" i="32"/>
  <c r="G9935" i="32"/>
  <c r="G9936" i="32"/>
  <c r="G9937" i="32"/>
  <c r="G9938" i="32"/>
  <c r="G9939" i="32"/>
  <c r="G9940" i="32"/>
  <c r="G9941" i="32"/>
  <c r="G9942" i="32"/>
  <c r="G9943" i="32"/>
  <c r="G9944" i="32"/>
  <c r="G9945" i="32"/>
  <c r="G9946" i="32"/>
  <c r="G9947" i="32"/>
  <c r="G9948" i="32"/>
  <c r="G9949" i="32"/>
  <c r="G9950" i="32"/>
  <c r="G9951" i="32"/>
  <c r="G9952" i="32"/>
  <c r="G9953" i="32"/>
  <c r="G9954" i="32"/>
  <c r="G9955" i="32"/>
  <c r="G9956" i="32"/>
  <c r="G9957" i="32"/>
  <c r="G9958" i="32"/>
  <c r="G9959" i="32"/>
  <c r="G9960" i="32"/>
  <c r="G9961" i="32"/>
  <c r="G9962" i="32"/>
  <c r="G9963" i="32"/>
  <c r="G9964" i="32"/>
  <c r="G9965" i="32"/>
  <c r="G9966" i="32"/>
  <c r="G9967" i="32"/>
  <c r="G9968" i="32"/>
  <c r="G9969" i="32"/>
  <c r="G9970" i="32"/>
  <c r="G9971" i="32"/>
  <c r="G9972" i="32"/>
  <c r="G9973" i="32"/>
  <c r="G9974" i="32"/>
  <c r="G9975" i="32"/>
  <c r="G9976" i="32"/>
  <c r="G9977" i="32"/>
  <c r="G9978" i="32"/>
  <c r="G9979" i="32"/>
  <c r="G9980" i="32"/>
  <c r="G9981" i="32"/>
  <c r="G9982" i="32"/>
  <c r="G9983" i="32"/>
  <c r="G9984" i="32"/>
  <c r="G9985" i="32"/>
  <c r="G9986" i="32"/>
  <c r="G9987" i="32"/>
  <c r="G9988" i="32"/>
  <c r="G9989" i="32"/>
  <c r="G9990" i="32"/>
  <c r="G9991" i="32"/>
  <c r="G9992" i="32"/>
  <c r="G9993" i="32"/>
  <c r="G9994" i="32"/>
  <c r="G9995" i="32"/>
  <c r="G9996" i="32"/>
  <c r="G9997" i="32"/>
  <c r="G9998" i="32"/>
  <c r="G9999" i="32"/>
  <c r="G10000" i="32"/>
  <c r="G10001" i="32"/>
  <c r="G10002" i="32"/>
  <c r="G10003" i="32"/>
  <c r="G10004" i="32"/>
  <c r="G10005" i="32"/>
  <c r="G10006" i="32"/>
  <c r="G10007" i="32"/>
  <c r="G10008" i="32"/>
  <c r="G10009" i="32"/>
  <c r="G10" i="32"/>
  <c r="G12" i="32"/>
  <c r="G59" i="32"/>
  <c r="G66" i="32"/>
  <c r="G69" i="32"/>
  <c r="G73" i="32"/>
  <c r="G84" i="32"/>
  <c r="G86" i="32"/>
  <c r="G88" i="32"/>
  <c r="G94" i="32"/>
  <c r="G96" i="32"/>
  <c r="G98" i="32"/>
  <c r="G100" i="32"/>
  <c r="G102" i="32"/>
  <c r="G104" i="32"/>
  <c r="G106" i="32"/>
  <c r="G108" i="32"/>
  <c r="G114" i="32"/>
  <c r="G116" i="32"/>
  <c r="G119" i="32"/>
  <c r="G121" i="32"/>
  <c r="G123" i="32"/>
  <c r="G125" i="32"/>
  <c r="G127" i="32"/>
  <c r="G129" i="32"/>
  <c r="G131" i="32"/>
  <c r="G133" i="32"/>
  <c r="G137" i="32"/>
  <c r="G145" i="32"/>
  <c r="G147" i="32"/>
  <c r="G149" i="32"/>
  <c r="G151" i="32"/>
  <c r="G153" i="32"/>
  <c r="G155" i="32"/>
  <c r="G161" i="32"/>
  <c r="G169" i="32"/>
  <c r="G171" i="32"/>
  <c r="G176" i="32"/>
  <c r="G179" i="32"/>
  <c r="G181" i="32"/>
  <c r="G183" i="32"/>
  <c r="G185" i="32"/>
  <c r="G187" i="32"/>
  <c r="G189" i="32"/>
  <c r="G191" i="32"/>
  <c r="G192" i="32"/>
  <c r="G193" i="32"/>
  <c r="G194" i="32"/>
  <c r="G195" i="32"/>
  <c r="G197" i="32"/>
  <c r="G199" i="32"/>
  <c r="G201" i="32"/>
  <c r="G203" i="32"/>
  <c r="G206" i="32"/>
  <c r="G208" i="32"/>
  <c r="G218" i="32"/>
  <c r="G220" i="32"/>
  <c r="G224" i="32"/>
  <c r="G226" i="32"/>
  <c r="G228" i="32"/>
  <c r="G230" i="32"/>
  <c r="G232" i="32"/>
  <c r="G238" i="32"/>
  <c r="G240" i="32"/>
  <c r="G242" i="32"/>
  <c r="G244" i="32"/>
  <c r="G248" i="32"/>
  <c r="G250" i="32"/>
  <c r="G252" i="32"/>
  <c r="G254" i="32"/>
  <c r="G259" i="32"/>
  <c r="G262" i="32"/>
  <c r="G264" i="32"/>
  <c r="G266" i="32"/>
  <c r="G270" i="32"/>
  <c r="G275" i="32"/>
  <c r="G277" i="32"/>
  <c r="G279" i="32"/>
  <c r="G281" i="32"/>
  <c r="G283" i="32"/>
  <c r="G285" i="32"/>
  <c r="G287" i="32"/>
  <c r="G290" i="32"/>
  <c r="G300" i="32"/>
  <c r="G307" i="32"/>
  <c r="G309" i="32"/>
  <c r="G311" i="32"/>
  <c r="G359" i="32"/>
  <c r="G361" i="32"/>
  <c r="G363" i="32"/>
  <c r="G365" i="32"/>
  <c r="G367" i="32"/>
  <c r="G369" i="32"/>
  <c r="G371" i="32"/>
  <c r="G373" i="32"/>
  <c r="G375" i="32"/>
  <c r="G377" i="32"/>
  <c r="G379" i="32"/>
  <c r="G381" i="32"/>
  <c r="G383" i="32"/>
  <c r="G385" i="32"/>
  <c r="G387" i="32"/>
  <c r="G389" i="32"/>
  <c r="G391" i="32"/>
  <c r="G393" i="32"/>
  <c r="G395" i="32"/>
  <c r="G397" i="32"/>
  <c r="G399" i="32"/>
  <c r="G401" i="32"/>
  <c r="G403" i="32"/>
  <c r="G405" i="32"/>
  <c r="G407" i="32"/>
  <c r="G409" i="32"/>
  <c r="G411" i="32"/>
  <c r="G413" i="32"/>
  <c r="G415" i="32"/>
  <c r="G417" i="32"/>
  <c r="G419" i="32"/>
  <c r="G421" i="32"/>
  <c r="G423" i="32"/>
  <c r="G425" i="32"/>
  <c r="G427" i="32"/>
  <c r="G429" i="32"/>
  <c r="G431" i="32"/>
  <c r="G433" i="32"/>
  <c r="G435" i="32"/>
  <c r="G437" i="32"/>
  <c r="G439" i="32"/>
  <c r="G441" i="32"/>
  <c r="G443" i="32"/>
  <c r="G445" i="32"/>
  <c r="G447" i="32"/>
  <c r="G449" i="32"/>
  <c r="G451" i="32"/>
  <c r="G453" i="32"/>
  <c r="G455" i="32"/>
  <c r="G457" i="32"/>
  <c r="G459" i="32"/>
  <c r="G461" i="32"/>
  <c r="G463" i="32"/>
  <c r="G465" i="32"/>
  <c r="G467" i="32"/>
  <c r="G469" i="32"/>
  <c r="G471" i="32"/>
  <c r="G473" i="32"/>
  <c r="G475" i="32"/>
  <c r="G477" i="32"/>
  <c r="G479" i="32"/>
  <c r="G483" i="32"/>
  <c r="G485" i="32"/>
  <c r="G487" i="32"/>
  <c r="G489" i="32"/>
  <c r="G491" i="32"/>
  <c r="G493" i="32"/>
  <c r="G495" i="32"/>
  <c r="G498" i="32"/>
  <c r="G500" i="32"/>
  <c r="G504" i="32"/>
  <c r="G506" i="32"/>
  <c r="G508" i="32"/>
  <c r="G510" i="32"/>
  <c r="G512" i="32"/>
  <c r="G514" i="32"/>
  <c r="G516" i="32"/>
  <c r="G521" i="32"/>
  <c r="G523" i="32"/>
  <c r="G525" i="32"/>
  <c r="G527" i="32"/>
  <c r="G530" i="32"/>
  <c r="G532" i="32"/>
  <c r="G534" i="32"/>
  <c r="G536" i="32"/>
  <c r="G644" i="32"/>
  <c r="G648" i="32"/>
  <c r="G654" i="32"/>
  <c r="G656" i="32"/>
  <c r="G658" i="32"/>
  <c r="G666" i="32"/>
  <c r="G668" i="32"/>
  <c r="G670" i="32"/>
  <c r="G672" i="32"/>
  <c r="G674" i="32"/>
  <c r="G676" i="32"/>
  <c r="G678" i="32"/>
  <c r="G680" i="32"/>
  <c r="G685" i="32"/>
  <c r="G687" i="32"/>
  <c r="G689" i="32"/>
  <c r="G698" i="32"/>
  <c r="G700" i="32"/>
  <c r="G702" i="32"/>
  <c r="G704" i="32"/>
  <c r="G706" i="32"/>
  <c r="G721" i="32"/>
  <c r="G723" i="32"/>
  <c r="G725" i="32"/>
  <c r="G727" i="32"/>
  <c r="G729" i="32"/>
  <c r="G731" i="32"/>
  <c r="G733" i="32"/>
  <c r="G735" i="32"/>
  <c r="G738" i="32"/>
  <c r="G740" i="32"/>
  <c r="G742" i="32"/>
  <c r="G744" i="32"/>
  <c r="G754" i="32"/>
  <c r="G756" i="32"/>
  <c r="G758" i="32"/>
  <c r="G760" i="32"/>
  <c r="G762" i="32"/>
  <c r="G766" i="32"/>
  <c r="G768" i="32"/>
  <c r="G770" i="32"/>
  <c r="G773" i="32"/>
  <c r="G775" i="32"/>
  <c r="G777" i="32"/>
  <c r="G779" i="32"/>
  <c r="G783" i="32"/>
  <c r="G788" i="32"/>
  <c r="G790" i="32"/>
  <c r="G792" i="32"/>
  <c r="G796" i="32"/>
  <c r="G800" i="32"/>
  <c r="G806" i="32"/>
  <c r="G808" i="32"/>
  <c r="G813" i="32"/>
  <c r="G816" i="32"/>
  <c r="G821" i="32"/>
  <c r="G823" i="32"/>
  <c r="G825" i="32"/>
  <c r="G827" i="32"/>
  <c r="G829" i="32"/>
  <c r="G831" i="32"/>
  <c r="G843" i="32"/>
  <c r="G845" i="32"/>
  <c r="G847" i="32"/>
  <c r="G851" i="32"/>
  <c r="G853" i="32"/>
  <c r="G855" i="32"/>
  <c r="G857" i="32"/>
  <c r="G859" i="32"/>
  <c r="G861" i="32"/>
  <c r="G863" i="32"/>
  <c r="G865" i="32"/>
  <c r="G867" i="32"/>
  <c r="G869" i="32"/>
  <c r="G871" i="32"/>
  <c r="G872" i="32"/>
  <c r="G873" i="32"/>
  <c r="G875" i="32"/>
  <c r="G877" i="32"/>
  <c r="G879" i="32"/>
  <c r="G881" i="32"/>
  <c r="G883" i="32"/>
  <c r="G885" i="32"/>
  <c r="G887" i="32"/>
  <c r="G889" i="32"/>
  <c r="G891" i="32"/>
  <c r="G893" i="32"/>
  <c r="G895" i="32"/>
  <c r="G897" i="32"/>
  <c r="G899" i="32"/>
  <c r="G901" i="32"/>
  <c r="G903" i="32"/>
  <c r="G905" i="32"/>
  <c r="G907" i="32"/>
  <c r="G909" i="32"/>
  <c r="G911" i="32"/>
  <c r="G912" i="32"/>
  <c r="G914" i="32"/>
  <c r="G916" i="32"/>
  <c r="G918" i="32"/>
  <c r="G920" i="32"/>
  <c r="G922" i="32"/>
  <c r="G924" i="32"/>
  <c r="G926" i="32"/>
  <c r="G928" i="32"/>
  <c r="G930" i="32"/>
  <c r="G932" i="32"/>
  <c r="G934" i="32"/>
  <c r="G936" i="32"/>
  <c r="G938" i="32"/>
  <c r="G941" i="32"/>
  <c r="G943" i="32"/>
  <c r="G945" i="32"/>
  <c r="G947" i="32"/>
  <c r="G949" i="32"/>
  <c r="G951" i="32"/>
  <c r="G953" i="32"/>
  <c r="G955" i="32"/>
  <c r="G957" i="32"/>
  <c r="G960" i="32"/>
  <c r="G962" i="32"/>
  <c r="G964" i="32"/>
  <c r="G967" i="32"/>
  <c r="G969" i="32"/>
  <c r="G971" i="32"/>
  <c r="G973" i="32"/>
  <c r="G975" i="32"/>
  <c r="G979" i="32"/>
  <c r="G981" i="32"/>
  <c r="G983" i="32"/>
  <c r="G985" i="32"/>
  <c r="G987" i="32"/>
  <c r="G989" i="32"/>
  <c r="G992" i="32"/>
  <c r="G995" i="32"/>
  <c r="G997" i="32"/>
  <c r="G999" i="32"/>
  <c r="G1002" i="32"/>
  <c r="G1003" i="32"/>
  <c r="G1004" i="32"/>
  <c r="G1005" i="32"/>
  <c r="G1006" i="32"/>
  <c r="G1007" i="32"/>
  <c r="G1008" i="32"/>
  <c r="G1009" i="32"/>
  <c r="G1010" i="32"/>
  <c r="G1011" i="32"/>
  <c r="G1012" i="32"/>
  <c r="G1013" i="32"/>
  <c r="G1014" i="32"/>
  <c r="G1015" i="32"/>
  <c r="G1016" i="32"/>
  <c r="G1017" i="32"/>
  <c r="G1018" i="32"/>
  <c r="G1020" i="32"/>
  <c r="G1022" i="32"/>
  <c r="G1024" i="32"/>
  <c r="G1026" i="32"/>
  <c r="G1029" i="32"/>
  <c r="G1031" i="32"/>
  <c r="G1033" i="32"/>
  <c r="G1035" i="32"/>
  <c r="G1037" i="32"/>
  <c r="G1039" i="32"/>
  <c r="G1041" i="32"/>
  <c r="G1043" i="32"/>
  <c r="G1045" i="32"/>
  <c r="G1047" i="32"/>
  <c r="G1049" i="32"/>
  <c r="G1051" i="32"/>
  <c r="G1053" i="32"/>
  <c r="G1121" i="32"/>
  <c r="G1124" i="32"/>
  <c r="G1127" i="32"/>
  <c r="G1130" i="32"/>
  <c r="G1133" i="32"/>
  <c r="G1137" i="32"/>
  <c r="G1141" i="32"/>
  <c r="G1145" i="32"/>
  <c r="G1148" i="32"/>
  <c r="G1152" i="32"/>
  <c r="G1156" i="32"/>
  <c r="G1158" i="32"/>
  <c r="G1160" i="32"/>
  <c r="G1162" i="32"/>
  <c r="G1166" i="32"/>
  <c r="G1169" i="32"/>
  <c r="G1174" i="32"/>
  <c r="G1178" i="32"/>
  <c r="G1180" i="32"/>
  <c r="G1182" i="32"/>
  <c r="G1184" i="32"/>
  <c r="G1188" i="32"/>
  <c r="G1191" i="32"/>
  <c r="G1193" i="32"/>
  <c r="G1196" i="32"/>
  <c r="G1199" i="32"/>
  <c r="G1202" i="32"/>
  <c r="G1204" i="32"/>
  <c r="G1207" i="32"/>
  <c r="G1211" i="32"/>
  <c r="G1214" i="32"/>
  <c r="G1216" i="32"/>
  <c r="G1220" i="32"/>
  <c r="G1222" i="32"/>
  <c r="G1226" i="32"/>
  <c r="G1228" i="32"/>
  <c r="G1230" i="32"/>
  <c r="G1234" i="32"/>
  <c r="G1236" i="32"/>
  <c r="G1238" i="32"/>
  <c r="G1241" i="32"/>
  <c r="G1244" i="32"/>
  <c r="G1247" i="32"/>
  <c r="G1251" i="32"/>
  <c r="G1254" i="32"/>
  <c r="G1258" i="32"/>
  <c r="G1260" i="32"/>
  <c r="G1262" i="32"/>
  <c r="G1266" i="32"/>
  <c r="G1268" i="32"/>
  <c r="G1271" i="32"/>
  <c r="G1274" i="32"/>
  <c r="G1277" i="32"/>
  <c r="G1282" i="32"/>
  <c r="G1285" i="32"/>
  <c r="G1288" i="32"/>
  <c r="G1291" i="32"/>
  <c r="G1294" i="32"/>
  <c r="G1298" i="32"/>
  <c r="G1302" i="32"/>
  <c r="G1304" i="32"/>
  <c r="G1307" i="32"/>
  <c r="G1310" i="32"/>
  <c r="G1314" i="32"/>
  <c r="G1317" i="32"/>
  <c r="G1319" i="32"/>
  <c r="G1322" i="32"/>
  <c r="G1324" i="32"/>
  <c r="G1328" i="32"/>
  <c r="G1331" i="32"/>
  <c r="G1333" i="32"/>
  <c r="G1337" i="32"/>
  <c r="G1340" i="32"/>
  <c r="G1344" i="32"/>
  <c r="G1348" i="32"/>
  <c r="G1351" i="32"/>
  <c r="G1355" i="32"/>
  <c r="G1358" i="32"/>
  <c r="G1361" i="32"/>
  <c r="G1364" i="32"/>
  <c r="G1366" i="32"/>
  <c r="G1369" i="32"/>
  <c r="G1371" i="32"/>
  <c r="G1375" i="32"/>
  <c r="G1379" i="32"/>
  <c r="G1381" i="32"/>
  <c r="G1383" i="32"/>
  <c r="G1386" i="32"/>
  <c r="G1388" i="32"/>
  <c r="G1390" i="32"/>
  <c r="G1394" i="32"/>
  <c r="G1398" i="32"/>
  <c r="G1400" i="32"/>
  <c r="G1402" i="32"/>
  <c r="G1406" i="32"/>
  <c r="G1408" i="32"/>
  <c r="G1412" i="32"/>
  <c r="G1416" i="32"/>
  <c r="G1420" i="32"/>
  <c r="G1424" i="32"/>
  <c r="G1427" i="32"/>
  <c r="G1431" i="32"/>
  <c r="G1433" i="32"/>
  <c r="G1435" i="32"/>
  <c r="G1441" i="32"/>
  <c r="G1444" i="32"/>
  <c r="G1449" i="32"/>
  <c r="G1453" i="32"/>
  <c r="G1456" i="32"/>
  <c r="G1458" i="32"/>
  <c r="G1460" i="32"/>
  <c r="G1463" i="32"/>
  <c r="G1467" i="32"/>
  <c r="G1469" i="32"/>
  <c r="G1471" i="32"/>
  <c r="G1476" i="32"/>
  <c r="G1480" i="32"/>
  <c r="G1483" i="32"/>
  <c r="G1487" i="32"/>
  <c r="G1490" i="32"/>
  <c r="G1491" i="32"/>
  <c r="G1495" i="32"/>
  <c r="G1497" i="32"/>
  <c r="G1499" i="32"/>
  <c r="G1501" i="32"/>
  <c r="G1504" i="32"/>
  <c r="G1507" i="32"/>
  <c r="G1509" i="32"/>
  <c r="G1512" i="32"/>
  <c r="G1515" i="32"/>
  <c r="G1518" i="32"/>
  <c r="G1522" i="32"/>
  <c r="G1524" i="32"/>
  <c r="G1527" i="32"/>
  <c r="G1531" i="32"/>
  <c r="G1535" i="32"/>
  <c r="G1537" i="32"/>
  <c r="G1540" i="32"/>
  <c r="G1542" i="32"/>
  <c r="G1544" i="32"/>
  <c r="G1546" i="32"/>
  <c r="G1549" i="32"/>
  <c r="G1552" i="32"/>
  <c r="G1555" i="32"/>
  <c r="G1559" i="32"/>
  <c r="G1563" i="32"/>
  <c r="G1567" i="32"/>
  <c r="G1569" i="32"/>
  <c r="G1571" i="32"/>
  <c r="G1573" i="32"/>
  <c r="G1575" i="32"/>
  <c r="G1577" i="32"/>
  <c r="G1579" i="32"/>
  <c r="G1581" i="32"/>
  <c r="G1583" i="32"/>
  <c r="G1585" i="32"/>
  <c r="G1587" i="32"/>
  <c r="G1589" i="32"/>
  <c r="G1591" i="32"/>
  <c r="G1594" i="32"/>
  <c r="G1596" i="32"/>
  <c r="G1598" i="32"/>
  <c r="G1602" i="32"/>
  <c r="G1604" i="32"/>
  <c r="G1606" i="32"/>
  <c r="G1608" i="32"/>
  <c r="G1610" i="32"/>
  <c r="G1612" i="32"/>
  <c r="G1614" i="32"/>
  <c r="G1616" i="32"/>
  <c r="G1619" i="32"/>
  <c r="G1621" i="32"/>
  <c r="G1623" i="32"/>
  <c r="G1625" i="32"/>
  <c r="G1627" i="32"/>
  <c r="G1630" i="32"/>
  <c r="G1632" i="32"/>
  <c r="G1634" i="32"/>
  <c r="G1638" i="32"/>
  <c r="G1641" i="32"/>
  <c r="G1644" i="32"/>
  <c r="G1648" i="32"/>
  <c r="G1651" i="32"/>
  <c r="G1653" i="32"/>
  <c r="G1657" i="32"/>
  <c r="G1659" i="32"/>
  <c r="G1661" i="32"/>
  <c r="G1664" i="32"/>
  <c r="G1665" i="32"/>
  <c r="G1667" i="32"/>
  <c r="G1671" i="32"/>
  <c r="G1675" i="32"/>
  <c r="G1678" i="32"/>
  <c r="G1680" i="32"/>
  <c r="G1682" i="32"/>
  <c r="G1685" i="32"/>
  <c r="G2495" i="32"/>
  <c r="G2501" i="32"/>
  <c r="G2507" i="32"/>
  <c r="G2511" i="32"/>
  <c r="G2516" i="32"/>
  <c r="G2522" i="32"/>
  <c r="G2528" i="32"/>
  <c r="G2531" i="32"/>
  <c r="G2537" i="32"/>
  <c r="G2543" i="32"/>
  <c r="G2545" i="32"/>
  <c r="G2547" i="32"/>
  <c r="G2555" i="32"/>
  <c r="G2562" i="32"/>
  <c r="G2570" i="32"/>
  <c r="G2575" i="32"/>
  <c r="G2580" i="32"/>
  <c r="G2585" i="32"/>
  <c r="G2594" i="32"/>
  <c r="G2599" i="32"/>
  <c r="G2603" i="32"/>
  <c r="G2607" i="32"/>
  <c r="G2611" i="32"/>
  <c r="G2615" i="32"/>
  <c r="G2619" i="32"/>
  <c r="G2625" i="32"/>
  <c r="G2627" i="32"/>
  <c r="G2631" i="32"/>
  <c r="G2635" i="32"/>
  <c r="G2640" i="32"/>
  <c r="G2647" i="32"/>
  <c r="G2651" i="32"/>
  <c r="G2655" i="32"/>
  <c r="G2657" i="32"/>
  <c r="G2659" i="32"/>
  <c r="G2667" i="32"/>
  <c r="G2671" i="32"/>
  <c r="G2675" i="32"/>
  <c r="G2682" i="32"/>
  <c r="G2687" i="32"/>
  <c r="G2692" i="32"/>
  <c r="G2699" i="32"/>
  <c r="G2705" i="32"/>
  <c r="G2711" i="32"/>
  <c r="G2719" i="32"/>
  <c r="G2725" i="32"/>
  <c r="G2727" i="32"/>
  <c r="G2732" i="32"/>
  <c r="G2734" i="32"/>
  <c r="G2742" i="32"/>
  <c r="G2744" i="32"/>
  <c r="G2749" i="32"/>
  <c r="G2754" i="32"/>
  <c r="G2758" i="32"/>
  <c r="G2760" i="32"/>
  <c r="G2765" i="32"/>
  <c r="G2772" i="32"/>
  <c r="G2776" i="32"/>
  <c r="G2778" i="32"/>
  <c r="G2782" i="32"/>
  <c r="G2785" i="32"/>
  <c r="G2789" i="32"/>
  <c r="G2793" i="32"/>
  <c r="G2797" i="32"/>
  <c r="G2800" i="32"/>
  <c r="G2803" i="32"/>
  <c r="G2807" i="32"/>
  <c r="G2811" i="32"/>
  <c r="G2815" i="32"/>
  <c r="G2819" i="32"/>
  <c r="G2822" i="32"/>
  <c r="G2825" i="32"/>
  <c r="G2828" i="32"/>
  <c r="G2833" i="32"/>
  <c r="G2837" i="32"/>
  <c r="G2840" i="32"/>
  <c r="G2843" i="32"/>
  <c r="G2845" i="32"/>
  <c r="G2848" i="32"/>
  <c r="G2852" i="32"/>
  <c r="G2856" i="32"/>
  <c r="G2858" i="32"/>
  <c r="G2863" i="32"/>
  <c r="G2867" i="32"/>
  <c r="G2872" i="32"/>
  <c r="G2878" i="32"/>
  <c r="G2882" i="32"/>
  <c r="G2886" i="32"/>
  <c r="G2893" i="32"/>
  <c r="G2897" i="32"/>
  <c r="G2899" i="32"/>
  <c r="G2905" i="32"/>
  <c r="G2908" i="32"/>
  <c r="G2915" i="32"/>
  <c r="G2917" i="32"/>
  <c r="G2922" i="32"/>
  <c r="G2927" i="32"/>
  <c r="G2931" i="32"/>
  <c r="G2933" i="32"/>
  <c r="G2938" i="32"/>
  <c r="G2945" i="32"/>
  <c r="G2947" i="32"/>
  <c r="G2952" i="32"/>
  <c r="G2957" i="32"/>
  <c r="G2962" i="32"/>
  <c r="G2964" i="32"/>
  <c r="G2969" i="32"/>
  <c r="G2975" i="32"/>
  <c r="G2980" i="32"/>
  <c r="G2984" i="32"/>
  <c r="G2990" i="32"/>
  <c r="G2994" i="32"/>
  <c r="G2997" i="32"/>
  <c r="G3004" i="32"/>
  <c r="G3009" i="32"/>
  <c r="G3015" i="32"/>
  <c r="G3019" i="32"/>
  <c r="G3023" i="32"/>
  <c r="G3027" i="32"/>
  <c r="G3034" i="32"/>
  <c r="G3036" i="32"/>
  <c r="G3041" i="32"/>
  <c r="G3045" i="32"/>
  <c r="G3047" i="32"/>
  <c r="G3049" i="32"/>
  <c r="G3054" i="32"/>
  <c r="G3056" i="32"/>
  <c r="G3060" i="32"/>
  <c r="G3063" i="32"/>
  <c r="G3070" i="32"/>
  <c r="G3072" i="32"/>
  <c r="G3074" i="32"/>
  <c r="G3078" i="32"/>
  <c r="G3082" i="32"/>
  <c r="G3085" i="32"/>
  <c r="G3088" i="32"/>
  <c r="G3090" i="32"/>
  <c r="G3095" i="32"/>
  <c r="G3101" i="32"/>
  <c r="G3105" i="32"/>
  <c r="G3109" i="32"/>
  <c r="G3111" i="32"/>
  <c r="G3114" i="32"/>
  <c r="G3120" i="32"/>
  <c r="G3178" i="32"/>
  <c r="G3249" i="32"/>
  <c r="G3252" i="32"/>
  <c r="G3255" i="32"/>
  <c r="G3260" i="32"/>
  <c r="G3266" i="32"/>
  <c r="G3270" i="32"/>
  <c r="G3275" i="32"/>
  <c r="G3277" i="32"/>
  <c r="G3281" i="32"/>
  <c r="G3286" i="32"/>
  <c r="G3291" i="32"/>
  <c r="G3297" i="32"/>
  <c r="G3300" i="32"/>
  <c r="G3303" i="32"/>
  <c r="G3307" i="32"/>
  <c r="G3313" i="32"/>
  <c r="G3317" i="32"/>
  <c r="G3321" i="32"/>
  <c r="G3323" i="32"/>
  <c r="G3328" i="32"/>
  <c r="G3334" i="32"/>
  <c r="G3336" i="32"/>
  <c r="G3342" i="32"/>
  <c r="G3347" i="32"/>
  <c r="G3353" i="32"/>
  <c r="G3357" i="32"/>
  <c r="G3360" i="32"/>
  <c r="G3366" i="32"/>
  <c r="G3368" i="32"/>
  <c r="G3946" i="32"/>
  <c r="G3948" i="32"/>
  <c r="G3958" i="32"/>
  <c r="G3968" i="32"/>
  <c r="G3970" i="32"/>
  <c r="G3981" i="32"/>
  <c r="G3986" i="32"/>
  <c r="G3990" i="32"/>
  <c r="G4012" i="32"/>
  <c r="G4042" i="32"/>
  <c r="G4053" i="32"/>
  <c r="G4063" i="32"/>
  <c r="G4066" i="32"/>
  <c r="G4068" i="32"/>
  <c r="G4078" i="32"/>
  <c r="G4092" i="32"/>
  <c r="G4094" i="32"/>
  <c r="G4102" i="32"/>
  <c r="G4110" i="32"/>
  <c r="G4119" i="32"/>
  <c r="G4131" i="32"/>
  <c r="G4138" i="32"/>
  <c r="G4181" i="32"/>
  <c r="G4189" i="32"/>
  <c r="G4194" i="32"/>
  <c r="G4199" i="32"/>
  <c r="G4201" i="32"/>
  <c r="G4205" i="32"/>
  <c r="G4207" i="32"/>
  <c r="G4211" i="32"/>
  <c r="G4214" i="32"/>
  <c r="G4224" i="32"/>
  <c r="G4227" i="32"/>
  <c r="G4230" i="32"/>
  <c r="G4248" i="32"/>
  <c r="G4251" i="32"/>
  <c r="G4253" i="32"/>
  <c r="G4267" i="32"/>
  <c r="G4269" i="32"/>
  <c r="G4275" i="32"/>
  <c r="G4285" i="32"/>
  <c r="G4290" i="32"/>
  <c r="G4300" i="32"/>
  <c r="G4320" i="32"/>
  <c r="G4327" i="32"/>
  <c r="G4344" i="32"/>
  <c r="G4346" i="32"/>
  <c r="G4354" i="32"/>
  <c r="G4359" i="32"/>
  <c r="G4372" i="32"/>
  <c r="G4383" i="32"/>
  <c r="G4404" i="32"/>
  <c r="G4420" i="32"/>
  <c r="G4428" i="32"/>
  <c r="G4436" i="32"/>
  <c r="G4448" i="32"/>
  <c r="G4452" i="32"/>
  <c r="G4456" i="32"/>
  <c r="G4464" i="32"/>
  <c r="G4474" i="32"/>
  <c r="G4480" i="32"/>
  <c r="G4484" i="32"/>
  <c r="G4498" i="32"/>
  <c r="G4506" i="32"/>
  <c r="G4512" i="32"/>
  <c r="G4522" i="32"/>
  <c r="G4528" i="32"/>
  <c r="G4530" i="32"/>
  <c r="G4540" i="32"/>
  <c r="G4542" i="32"/>
  <c r="G4547" i="32"/>
  <c r="G4551" i="32"/>
  <c r="G4559" i="32"/>
  <c r="G4564" i="32"/>
  <c r="G4566" i="32"/>
  <c r="G4577" i="32"/>
  <c r="G4580" i="32"/>
  <c r="G4582" i="32"/>
  <c r="G4591" i="32"/>
  <c r="G4593" i="32"/>
  <c r="G4596" i="32"/>
  <c r="G4616" i="32"/>
  <c r="G4622" i="32"/>
  <c r="G4626" i="32"/>
  <c r="G4659" i="32"/>
  <c r="G4663" i="32"/>
  <c r="G4665" i="32"/>
  <c r="G4670" i="32"/>
  <c r="G4676" i="32"/>
  <c r="G4683" i="32"/>
  <c r="G4692" i="32"/>
  <c r="G4708" i="32"/>
  <c r="G4710" i="32"/>
  <c r="G4743" i="32"/>
  <c r="G4762" i="32"/>
  <c r="G4779" i="32"/>
  <c r="G4788" i="32"/>
  <c r="G4790" i="32"/>
  <c r="G4795" i="32"/>
  <c r="G4816" i="32"/>
  <c r="G4836" i="32"/>
  <c r="G4844" i="32"/>
  <c r="G4849" i="32"/>
  <c r="G4852" i="32"/>
  <c r="G4859" i="32"/>
  <c r="G4870" i="32"/>
  <c r="G4876" i="32"/>
  <c r="G4881" i="32"/>
  <c r="G4884" i="32"/>
  <c r="G4921" i="32"/>
  <c r="G4928" i="32"/>
  <c r="G4940" i="32"/>
  <c r="G4950" i="32"/>
  <c r="G4956" i="32"/>
  <c r="G4958" i="32"/>
  <c r="G4965" i="32"/>
  <c r="G4970" i="32"/>
  <c r="G4979" i="32"/>
  <c r="G5010" i="32"/>
  <c r="G5013" i="32"/>
  <c r="G5023" i="32"/>
  <c r="G5036" i="32"/>
  <c r="G5044" i="32"/>
  <c r="G5046" i="32"/>
  <c r="G6150" i="32"/>
  <c r="G6162" i="32"/>
  <c r="G6175" i="32"/>
  <c r="G6188" i="32"/>
  <c r="G6190" i="32"/>
  <c r="G6191" i="32"/>
  <c r="G6215" i="32"/>
  <c r="G6220" i="32"/>
  <c r="G6222" i="32"/>
  <c r="G6230" i="32"/>
  <c r="G6258" i="32"/>
  <c r="G6276" i="32"/>
  <c r="G6279" i="32"/>
  <c r="G6292" i="32"/>
  <c r="G6346" i="32"/>
  <c r="G6356" i="32"/>
  <c r="G6359" i="32"/>
  <c r="G6366" i="32"/>
  <c r="G6405" i="32"/>
  <c r="G6407" i="32"/>
  <c r="G6411" i="32"/>
  <c r="G6420" i="32"/>
  <c r="G6430" i="32"/>
  <c r="G6435" i="32"/>
  <c r="G6439" i="32"/>
  <c r="G6446" i="32"/>
  <c r="G6455" i="32"/>
  <c r="G6458" i="32"/>
  <c r="G6463" i="32"/>
  <c r="G6470" i="32"/>
  <c r="G6477" i="32"/>
  <c r="G11" i="32"/>
  <c r="G53" i="32"/>
  <c r="G57" i="32"/>
  <c r="G60" i="32"/>
  <c r="G62" i="32"/>
  <c r="G64" i="32"/>
  <c r="G68" i="32"/>
  <c r="G71" i="32"/>
  <c r="G74" i="32"/>
  <c r="G76" i="32"/>
  <c r="G78" i="32"/>
  <c r="G80" i="32"/>
  <c r="G82" i="32"/>
  <c r="G85" i="32"/>
  <c r="G87" i="32"/>
  <c r="G89" i="32"/>
  <c r="G91" i="32"/>
  <c r="G93" i="32"/>
  <c r="G95" i="32"/>
  <c r="G99" i="32"/>
  <c r="G107" i="32"/>
  <c r="G110" i="32"/>
  <c r="G112" i="32"/>
  <c r="G115" i="32"/>
  <c r="G117" i="32"/>
  <c r="G122" i="32"/>
  <c r="G124" i="32"/>
  <c r="G134" i="32"/>
  <c r="G136" i="32"/>
  <c r="G138" i="32"/>
  <c r="G140" i="32"/>
  <c r="G142" i="32"/>
  <c r="G144" i="32"/>
  <c r="G150" i="32"/>
  <c r="G152" i="32"/>
  <c r="G154" i="32"/>
  <c r="G156" i="32"/>
  <c r="G158" i="32"/>
  <c r="G160" i="32"/>
  <c r="G163" i="32"/>
  <c r="G165" i="32"/>
  <c r="G167" i="32"/>
  <c r="G170" i="32"/>
  <c r="G172" i="32"/>
  <c r="G174" i="32"/>
  <c r="G178" i="32"/>
  <c r="G180" i="32"/>
  <c r="G182" i="32"/>
  <c r="G184" i="32"/>
  <c r="G186" i="32"/>
  <c r="G188" i="32"/>
  <c r="G190" i="32"/>
  <c r="G196" i="32"/>
  <c r="G198" i="32"/>
  <c r="G200" i="32"/>
  <c r="G202" i="32"/>
  <c r="G204" i="32"/>
  <c r="G210" i="32"/>
  <c r="G212" i="32"/>
  <c r="G214" i="32"/>
  <c r="G216" i="32"/>
  <c r="G222" i="32"/>
  <c r="G234" i="32"/>
  <c r="G236" i="32"/>
  <c r="G246" i="32"/>
  <c r="G249" i="32"/>
  <c r="G251" i="32"/>
  <c r="G253" i="32"/>
  <c r="G255" i="32"/>
  <c r="G257" i="32"/>
  <c r="G260" i="32"/>
  <c r="G268" i="32"/>
  <c r="G271" i="32"/>
  <c r="G273" i="32"/>
  <c r="G282" i="32"/>
  <c r="G284" i="32"/>
  <c r="G286" i="32"/>
  <c r="G288" i="32"/>
  <c r="G291" i="32"/>
  <c r="G293" i="32"/>
  <c r="G295" i="32"/>
  <c r="G297" i="32"/>
  <c r="G299" i="32"/>
  <c r="G301" i="32"/>
  <c r="G303" i="32"/>
  <c r="G305" i="32"/>
  <c r="G353" i="32"/>
  <c r="G354" i="32"/>
  <c r="G355" i="32"/>
  <c r="G356" i="32"/>
  <c r="G357" i="32"/>
  <c r="G358" i="32"/>
  <c r="G360" i="32"/>
  <c r="G362" i="32"/>
  <c r="G364" i="32"/>
  <c r="G366" i="32"/>
  <c r="G368" i="32"/>
  <c r="G370" i="32"/>
  <c r="G372" i="32"/>
  <c r="G374" i="32"/>
  <c r="G376" i="32"/>
  <c r="G378" i="32"/>
  <c r="G380" i="32"/>
  <c r="G382" i="32"/>
  <c r="G384" i="32"/>
  <c r="G386" i="32"/>
  <c r="G388" i="32"/>
  <c r="G390" i="32"/>
  <c r="G392" i="32"/>
  <c r="G394" i="32"/>
  <c r="G396" i="32"/>
  <c r="G398" i="32"/>
  <c r="G400" i="32"/>
  <c r="G402" i="32"/>
  <c r="G404" i="32"/>
  <c r="G406" i="32"/>
  <c r="G408" i="32"/>
  <c r="G410" i="32"/>
  <c r="G412" i="32"/>
  <c r="G414" i="32"/>
  <c r="G416" i="32"/>
  <c r="G418" i="32"/>
  <c r="G420" i="32"/>
  <c r="G422" i="32"/>
  <c r="G424" i="32"/>
  <c r="G426" i="32"/>
  <c r="G428" i="32"/>
  <c r="G430" i="32"/>
  <c r="G432" i="32"/>
  <c r="G434" i="32"/>
  <c r="G436" i="32"/>
  <c r="G438" i="32"/>
  <c r="G440" i="32"/>
  <c r="G442" i="32"/>
  <c r="G444" i="32"/>
  <c r="G446" i="32"/>
  <c r="G448" i="32"/>
  <c r="G450" i="32"/>
  <c r="G452" i="32"/>
  <c r="G454" i="32"/>
  <c r="G456" i="32"/>
  <c r="G458" i="32"/>
  <c r="G460" i="32"/>
  <c r="G462" i="32"/>
  <c r="G464" i="32"/>
  <c r="G466" i="32"/>
  <c r="G468" i="32"/>
  <c r="G470" i="32"/>
  <c r="G474" i="32"/>
  <c r="G476" i="32"/>
  <c r="G480" i="32"/>
  <c r="G482" i="32"/>
  <c r="G486" i="32"/>
  <c r="G490" i="32"/>
  <c r="G492" i="32"/>
  <c r="G496" i="32"/>
  <c r="G499" i="32"/>
  <c r="G501" i="32"/>
  <c r="G503" i="32"/>
  <c r="G505" i="32"/>
  <c r="G507" i="32"/>
  <c r="G509" i="32"/>
  <c r="G511" i="32"/>
  <c r="G513" i="32"/>
  <c r="G515" i="32"/>
  <c r="G517" i="32"/>
  <c r="G519" i="32"/>
  <c r="G522" i="32"/>
  <c r="G524" i="32"/>
  <c r="G526" i="32"/>
  <c r="G528" i="32"/>
  <c r="G630" i="32"/>
  <c r="G632" i="32"/>
  <c r="G634" i="32"/>
  <c r="G636" i="32"/>
  <c r="G638" i="32"/>
  <c r="G640" i="32"/>
  <c r="G642" i="32"/>
  <c r="G645" i="32"/>
  <c r="G647" i="32"/>
  <c r="G649" i="32"/>
  <c r="G651" i="32"/>
  <c r="G653" i="32"/>
  <c r="G655" i="32"/>
  <c r="G657" i="32"/>
  <c r="G659" i="32"/>
  <c r="G661" i="32"/>
  <c r="G663" i="32"/>
  <c r="G665" i="32"/>
  <c r="G667" i="32"/>
  <c r="G671" i="32"/>
  <c r="G673" i="32"/>
  <c r="G675" i="32"/>
  <c r="G677" i="32"/>
  <c r="G679" i="32"/>
  <c r="G682" i="32"/>
  <c r="G684" i="32"/>
  <c r="G686" i="32"/>
  <c r="G688" i="32"/>
  <c r="G691" i="32"/>
  <c r="G693" i="32"/>
  <c r="G695" i="32"/>
  <c r="G697" i="32"/>
  <c r="G699" i="32"/>
  <c r="G701" i="32"/>
  <c r="G703" i="32"/>
  <c r="G705" i="32"/>
  <c r="G707" i="32"/>
  <c r="G709" i="32"/>
  <c r="G710" i="32"/>
  <c r="G712" i="32"/>
  <c r="G714" i="32"/>
  <c r="G716" i="32"/>
  <c r="G718" i="32"/>
  <c r="G720" i="32"/>
  <c r="G730" i="32"/>
  <c r="G732" i="32"/>
  <c r="G736" i="32"/>
  <c r="G739" i="32"/>
  <c r="G741" i="32"/>
  <c r="G743" i="32"/>
  <c r="G745" i="32"/>
  <c r="G747" i="32"/>
  <c r="G749" i="32"/>
  <c r="G751" i="32"/>
  <c r="G753" i="32"/>
  <c r="G759" i="32"/>
  <c r="G763" i="32"/>
  <c r="G765" i="32"/>
  <c r="G767" i="32"/>
  <c r="G769" i="32"/>
  <c r="G771" i="32"/>
  <c r="G774" i="32"/>
  <c r="G776" i="32"/>
  <c r="G781" i="32"/>
  <c r="G784" i="32"/>
  <c r="G786" i="32"/>
  <c r="G789" i="32"/>
  <c r="G791" i="32"/>
  <c r="G793" i="32"/>
  <c r="G795" i="32"/>
  <c r="G797" i="32"/>
  <c r="G799" i="32"/>
  <c r="G801" i="32"/>
  <c r="G803" i="32"/>
  <c r="G805" i="32"/>
  <c r="G807" i="32"/>
  <c r="G809" i="32"/>
  <c r="G811" i="32"/>
  <c r="G814" i="32"/>
  <c r="G818" i="32"/>
  <c r="G820" i="32"/>
  <c r="G826" i="32"/>
  <c r="G828" i="32"/>
  <c r="G832" i="32"/>
  <c r="G834" i="32"/>
  <c r="G836" i="32"/>
  <c r="G838" i="32"/>
  <c r="G840" i="32"/>
  <c r="G842" i="32"/>
  <c r="G844" i="32"/>
  <c r="G846" i="32"/>
  <c r="G848" i="32"/>
  <c r="G850" i="32"/>
  <c r="G852" i="32"/>
  <c r="G854" i="32"/>
  <c r="G856" i="32"/>
  <c r="G858" i="32"/>
  <c r="G860" i="32"/>
  <c r="G862" i="32"/>
  <c r="G864" i="32"/>
  <c r="G866" i="32"/>
  <c r="G868" i="32"/>
  <c r="G870" i="32"/>
  <c r="G874" i="32"/>
  <c r="G876" i="32"/>
  <c r="G878" i="32"/>
  <c r="G880" i="32"/>
  <c r="G882" i="32"/>
  <c r="G884" i="32"/>
  <c r="G886" i="32"/>
  <c r="G888" i="32"/>
  <c r="G890" i="32"/>
  <c r="G892" i="32"/>
  <c r="G894" i="32"/>
  <c r="G896" i="32"/>
  <c r="G898" i="32"/>
  <c r="G900" i="32"/>
  <c r="G902" i="32"/>
  <c r="G904" i="32"/>
  <c r="G906" i="32"/>
  <c r="G908" i="32"/>
  <c r="G910" i="32"/>
  <c r="G913" i="32"/>
  <c r="G915" i="32"/>
  <c r="G917" i="32"/>
  <c r="G919" i="32"/>
  <c r="G921" i="32"/>
  <c r="G923" i="32"/>
  <c r="G925" i="32"/>
  <c r="G927" i="32"/>
  <c r="G929" i="32"/>
  <c r="G931" i="32"/>
  <c r="G933" i="32"/>
  <c r="G935" i="32"/>
  <c r="G937" i="32"/>
  <c r="G939" i="32"/>
  <c r="G940" i="32"/>
  <c r="G942" i="32"/>
  <c r="G944" i="32"/>
  <c r="G946" i="32"/>
  <c r="G948" i="32"/>
  <c r="G950" i="32"/>
  <c r="G952" i="32"/>
  <c r="G954" i="32"/>
  <c r="G956" i="32"/>
  <c r="G958" i="32"/>
  <c r="G959" i="32"/>
  <c r="G961" i="32"/>
  <c r="G963" i="32"/>
  <c r="G965" i="32"/>
  <c r="G966" i="32"/>
  <c r="G968" i="32"/>
  <c r="G970" i="32"/>
  <c r="G972" i="32"/>
  <c r="G974" i="32"/>
  <c r="G976" i="32"/>
  <c r="G977" i="32"/>
  <c r="G978" i="32"/>
  <c r="G980" i="32"/>
  <c r="G982" i="32"/>
  <c r="G984" i="32"/>
  <c r="G986" i="32"/>
  <c r="G988" i="32"/>
  <c r="G990" i="32"/>
  <c r="G991" i="32"/>
  <c r="G993" i="32"/>
  <c r="G994" i="32"/>
  <c r="G996" i="32"/>
  <c r="G998" i="32"/>
  <c r="G1000" i="32"/>
  <c r="G1001" i="32"/>
  <c r="G1069" i="32"/>
  <c r="G1071" i="32"/>
  <c r="G1073" i="32"/>
  <c r="G1075" i="32"/>
  <c r="G1077" i="32"/>
  <c r="G1078" i="32"/>
  <c r="G1080" i="32"/>
  <c r="G1083" i="32"/>
  <c r="G1085" i="32"/>
  <c r="G1087" i="32"/>
  <c r="G1089" i="32"/>
  <c r="G1091" i="32"/>
  <c r="G1095" i="32"/>
  <c r="G1096" i="32"/>
  <c r="G1099" i="32"/>
  <c r="G1102" i="32"/>
  <c r="G1104" i="32"/>
  <c r="G1106" i="32"/>
  <c r="G1108" i="32"/>
  <c r="G1110" i="32"/>
  <c r="G1112" i="32"/>
  <c r="G1114" i="32"/>
  <c r="G1120" i="32"/>
  <c r="G1123" i="32"/>
  <c r="G1125" i="32"/>
  <c r="G1129" i="32"/>
  <c r="G1132" i="32"/>
  <c r="G1135" i="32"/>
  <c r="G1138" i="32"/>
  <c r="G1140" i="32"/>
  <c r="G1142" i="32"/>
  <c r="G1144" i="32"/>
  <c r="G1146" i="32"/>
  <c r="G1150" i="32"/>
  <c r="G1154" i="32"/>
  <c r="G1157" i="32"/>
  <c r="G1161" i="32"/>
  <c r="G1164" i="32"/>
  <c r="G1168" i="32"/>
  <c r="G1171" i="32"/>
  <c r="G1173" i="32"/>
  <c r="G1175" i="32"/>
  <c r="G1177" i="32"/>
  <c r="G1179" i="32"/>
  <c r="G1183" i="32"/>
  <c r="G1186" i="32"/>
  <c r="G1189" i="32"/>
  <c r="G1192" i="32"/>
  <c r="G1195" i="32"/>
  <c r="G1197" i="32"/>
  <c r="G1201" i="32"/>
  <c r="G1205" i="32"/>
  <c r="G1208" i="32"/>
  <c r="G1210" i="32"/>
  <c r="G1213" i="32"/>
  <c r="G1217" i="32"/>
  <c r="G1219" i="32"/>
  <c r="G1223" i="32"/>
  <c r="G1225" i="32"/>
  <c r="G1229" i="32"/>
  <c r="G1231" i="32"/>
  <c r="G1233" i="32"/>
  <c r="G1235" i="32"/>
  <c r="G1239" i="32"/>
  <c r="G1243" i="32"/>
  <c r="G1246" i="32"/>
  <c r="G1249" i="32"/>
  <c r="G1253" i="32"/>
  <c r="G1256" i="32"/>
  <c r="G1259" i="32"/>
  <c r="G1263" i="32"/>
  <c r="G1265" i="32"/>
  <c r="G1267" i="32"/>
  <c r="G1272" i="32"/>
  <c r="G1273" i="32"/>
  <c r="G1276" i="32"/>
  <c r="G1280" i="32"/>
  <c r="G1283" i="32"/>
  <c r="G1287" i="32"/>
  <c r="G1289" i="32"/>
  <c r="G1293" i="32"/>
  <c r="G1295" i="32"/>
  <c r="G1297" i="32"/>
  <c r="G1300" i="32"/>
  <c r="G1303" i="32"/>
  <c r="G1306" i="32"/>
  <c r="G1308" i="32"/>
  <c r="G1311" i="32"/>
  <c r="G1313" i="32"/>
  <c r="G1316" i="32"/>
  <c r="G1320" i="32"/>
  <c r="G1323" i="32"/>
  <c r="G1326" i="32"/>
  <c r="G1329" i="32"/>
  <c r="G1332" i="32"/>
  <c r="G1335" i="32"/>
  <c r="G1339" i="32"/>
  <c r="G1343" i="32"/>
  <c r="G1345" i="32"/>
  <c r="G1347" i="32"/>
  <c r="G1350" i="32"/>
  <c r="G1352" i="32"/>
  <c r="G1356" i="32"/>
  <c r="G1360" i="32"/>
  <c r="G1363" i="32"/>
  <c r="G1367" i="32"/>
  <c r="G1370" i="32"/>
  <c r="G1374" i="32"/>
  <c r="G1376" i="32"/>
  <c r="G1378" i="32"/>
  <c r="G1382" i="32"/>
  <c r="G1385" i="32"/>
  <c r="G1387" i="32"/>
  <c r="G1392" i="32"/>
  <c r="G1396" i="32"/>
  <c r="G1399" i="32"/>
  <c r="G1404" i="32"/>
  <c r="G1407" i="32"/>
  <c r="G1409" i="32"/>
  <c r="G1413" i="32"/>
  <c r="G1415" i="32"/>
  <c r="G1417" i="32"/>
  <c r="G1421" i="32"/>
  <c r="G1423" i="32"/>
  <c r="G1425" i="32"/>
  <c r="G1429" i="32"/>
  <c r="G1434" i="32"/>
  <c r="G1437" i="32"/>
  <c r="G1439" i="32"/>
  <c r="G1443" i="32"/>
  <c r="G1445" i="32"/>
  <c r="G1447" i="32"/>
  <c r="G1451" i="32"/>
  <c r="G1454" i="32"/>
  <c r="G1457" i="32"/>
  <c r="G1461" i="32"/>
  <c r="G1465" i="32"/>
  <c r="G1470" i="32"/>
  <c r="G1473" i="32"/>
  <c r="G1474" i="32"/>
  <c r="G1478" i="32"/>
  <c r="G1482" i="32"/>
  <c r="G1484" i="32"/>
  <c r="G1489" i="32"/>
  <c r="G1493" i="32"/>
  <c r="G1496" i="32"/>
  <c r="G1500" i="32"/>
  <c r="G1503" i="32"/>
  <c r="G1506" i="32"/>
  <c r="G1508" i="32"/>
  <c r="G1511" i="32"/>
  <c r="G1513" i="32"/>
  <c r="G1517" i="32"/>
  <c r="G1519" i="32"/>
  <c r="G1523" i="32"/>
  <c r="G1526" i="32"/>
  <c r="G1529" i="32"/>
  <c r="G1532" i="32"/>
  <c r="G1534" i="32"/>
  <c r="G1536" i="32"/>
  <c r="G1539" i="32"/>
  <c r="G1543" i="32"/>
  <c r="G1547" i="32"/>
  <c r="G1550" i="32"/>
  <c r="G1554" i="32"/>
  <c r="G1558" i="32"/>
  <c r="G1561" i="32"/>
  <c r="G1564" i="32"/>
  <c r="G1568" i="32"/>
  <c r="G1626" i="32"/>
  <c r="G1629" i="32"/>
  <c r="G1633" i="32"/>
  <c r="G1636" i="32"/>
  <c r="G1639" i="32"/>
  <c r="G1642" i="32"/>
  <c r="G1646" i="32"/>
  <c r="G1649" i="32"/>
  <c r="G1654" i="32"/>
  <c r="G1656" i="32"/>
  <c r="G1660" i="32"/>
  <c r="G1663" i="32"/>
  <c r="G1668" i="32"/>
  <c r="G1669" i="32"/>
  <c r="G1672" i="32"/>
  <c r="G1674" i="32"/>
  <c r="G1677" i="32"/>
  <c r="G1679" i="32"/>
  <c r="G1683" i="32"/>
  <c r="G2494" i="32"/>
  <c r="G2499" i="32"/>
  <c r="G2504" i="32"/>
  <c r="G2510" i="32"/>
  <c r="G2513" i="32"/>
  <c r="G2518" i="32"/>
  <c r="G2520" i="32"/>
  <c r="G2525" i="32"/>
  <c r="G2532" i="32"/>
  <c r="G2533" i="32"/>
  <c r="G2538" i="32"/>
  <c r="G2540" i="32"/>
  <c r="G2544" i="32"/>
  <c r="G2550" i="32"/>
  <c r="G2558" i="32"/>
  <c r="G2563" i="32"/>
  <c r="G2567" i="32"/>
  <c r="G2572" i="32"/>
  <c r="G2574" i="32"/>
  <c r="G2577" i="32"/>
  <c r="G2579" i="32"/>
  <c r="G2583" i="32"/>
  <c r="G2588" i="32"/>
  <c r="G2590" i="32"/>
  <c r="G2593" i="32"/>
  <c r="G2596" i="32"/>
  <c r="G2600" i="32"/>
  <c r="G2602" i="32"/>
  <c r="G2606" i="32"/>
  <c r="G2612" i="32"/>
  <c r="G2618" i="32"/>
  <c r="G2620" i="32"/>
  <c r="G2626" i="32"/>
  <c r="G2633" i="32"/>
  <c r="G2637" i="32"/>
  <c r="G2642" i="32"/>
  <c r="G2649" i="32"/>
  <c r="G2654" i="32"/>
  <c r="G2658" i="32"/>
  <c r="G2662" i="32"/>
  <c r="G2665" i="32"/>
  <c r="G2669" i="32"/>
  <c r="G2672" i="32"/>
  <c r="G2676" i="32"/>
  <c r="G2680" i="32"/>
  <c r="G2685" i="32"/>
  <c r="G2690" i="32"/>
  <c r="G2693" i="32"/>
  <c r="G2697" i="32"/>
  <c r="G2701" i="32"/>
  <c r="G2703" i="32"/>
  <c r="G2708" i="32"/>
  <c r="G2710" i="32"/>
  <c r="G2714" i="32"/>
  <c r="G2717" i="32"/>
  <c r="G2722" i="32"/>
  <c r="G2730" i="32"/>
  <c r="G2736" i="32"/>
  <c r="G2740" i="32"/>
  <c r="G2743" i="32"/>
  <c r="G2748" i="32"/>
  <c r="G2751" i="32"/>
  <c r="G2756" i="32"/>
  <c r="G2762" i="32"/>
  <c r="G2764" i="32"/>
  <c r="G2768" i="32"/>
  <c r="G2770" i="32"/>
  <c r="G2774" i="32"/>
  <c r="G2777" i="32"/>
  <c r="G2780" i="32"/>
  <c r="G2783" i="32"/>
  <c r="G2786" i="32"/>
  <c r="G2788" i="32"/>
  <c r="G2791" i="32"/>
  <c r="G2795" i="32"/>
  <c r="G2798" i="32"/>
  <c r="G2801" i="32"/>
  <c r="G2802" i="32"/>
  <c r="G2806" i="32"/>
  <c r="G2808" i="32"/>
  <c r="G2810" i="32"/>
  <c r="G2814" i="32"/>
  <c r="G2816" i="32"/>
  <c r="G2820" i="32"/>
  <c r="G2824" i="32"/>
  <c r="G2826" i="32"/>
  <c r="G2830" i="32"/>
  <c r="G2831" i="32"/>
  <c r="G2835" i="32"/>
  <c r="G2838" i="32"/>
  <c r="G2841" i="32"/>
  <c r="G2844" i="32"/>
  <c r="G2847" i="32"/>
  <c r="G2850" i="32"/>
  <c r="G2854" i="32"/>
  <c r="G2857" i="32"/>
  <c r="G2861" i="32"/>
  <c r="G2868" i="32"/>
  <c r="G2870" i="32"/>
  <c r="G2874" i="32"/>
  <c r="G2877" i="32"/>
  <c r="G2879" i="32"/>
  <c r="G2883" i="32"/>
  <c r="G2889" i="32"/>
  <c r="G2891" i="32"/>
  <c r="G2896" i="32"/>
  <c r="G2898" i="32"/>
  <c r="G2902" i="32"/>
  <c r="G2906" i="32"/>
  <c r="G2910" i="32"/>
  <c r="G2912" i="32"/>
  <c r="G2920" i="32"/>
  <c r="G2925" i="32"/>
  <c r="G2928" i="32"/>
  <c r="G2934" i="32"/>
  <c r="G2936" i="32"/>
  <c r="G2940" i="32"/>
  <c r="G2942" i="32"/>
  <c r="G2946" i="32"/>
  <c r="G2950" i="32"/>
  <c r="G2955" i="32"/>
  <c r="G2960" i="32"/>
  <c r="G2966" i="32"/>
  <c r="G2968" i="32"/>
  <c r="G2972" i="32"/>
  <c r="G2979" i="32"/>
  <c r="G2983" i="32"/>
  <c r="G2986" i="32"/>
  <c r="G2988" i="32"/>
  <c r="G2992" i="32"/>
  <c r="G2999" i="32"/>
  <c r="G3002" i="32"/>
  <c r="G3007" i="32"/>
  <c r="G3011" i="32"/>
  <c r="G3016" i="32"/>
  <c r="G3018" i="32"/>
  <c r="G3022" i="32"/>
  <c r="G3028" i="32"/>
  <c r="G3037" i="32"/>
  <c r="G3039" i="32"/>
  <c r="G3043" i="32"/>
  <c r="G3052" i="32"/>
  <c r="G3058" i="32"/>
  <c r="G3062" i="32"/>
  <c r="G3067" i="32"/>
  <c r="G3069" i="32"/>
  <c r="G3080" i="32"/>
  <c r="G3084" i="32"/>
  <c r="G3092" i="32"/>
  <c r="G3097" i="32"/>
  <c r="G3099" i="32"/>
  <c r="G3107" i="32"/>
  <c r="G3113" i="32"/>
  <c r="G3175" i="32"/>
  <c r="G3179" i="32"/>
  <c r="G3183" i="32"/>
  <c r="G3187" i="32"/>
  <c r="G3191" i="32"/>
  <c r="G3195" i="32"/>
  <c r="G3197" i="32"/>
  <c r="G3200" i="32"/>
  <c r="G3203" i="32"/>
  <c r="G3206" i="32"/>
  <c r="G3208" i="32"/>
  <c r="G3210" i="32"/>
  <c r="G3213" i="32"/>
  <c r="G3216" i="32"/>
  <c r="G3219" i="32"/>
  <c r="G3222" i="32"/>
  <c r="G3224" i="32"/>
  <c r="G3226" i="32"/>
  <c r="G3229" i="32"/>
  <c r="G3231" i="32"/>
  <c r="G3235" i="32"/>
  <c r="G3237" i="32"/>
  <c r="G3241" i="32"/>
  <c r="G3243" i="32"/>
  <c r="G3248" i="32"/>
  <c r="G3251" i="32"/>
  <c r="G3254" i="32"/>
  <c r="G3258" i="32"/>
  <c r="G3263" i="32"/>
  <c r="G3268" i="32"/>
  <c r="G3273" i="32"/>
  <c r="G3279" i="32"/>
  <c r="G3284" i="32"/>
  <c r="G3289" i="32"/>
  <c r="G3294" i="32"/>
  <c r="G3296" i="32"/>
  <c r="G3301" i="32"/>
  <c r="G3305" i="32"/>
  <c r="G3309" i="32"/>
  <c r="G3311" i="32"/>
  <c r="G3314" i="32"/>
  <c r="G3319" i="32"/>
  <c r="G3325" i="32"/>
  <c r="G3327" i="32"/>
  <c r="G3331" i="32"/>
  <c r="G3333" i="32"/>
  <c r="G3335" i="32"/>
  <c r="G3340" i="32"/>
  <c r="G3343" i="32"/>
  <c r="G3345" i="32"/>
  <c r="G3348" i="32"/>
  <c r="G3351" i="32"/>
  <c r="G3355" i="32"/>
  <c r="G3359" i="32"/>
  <c r="G3365" i="32"/>
  <c r="G3369" i="32"/>
  <c r="G3952" i="32"/>
  <c r="G3954" i="32"/>
  <c r="G3972" i="32"/>
  <c r="G3977" i="32"/>
  <c r="G3983" i="32"/>
  <c r="G3985" i="32"/>
  <c r="G3994" i="32"/>
  <c r="G3997" i="32"/>
  <c r="G4001" i="32"/>
  <c r="G4005" i="32"/>
  <c r="G4008" i="32"/>
  <c r="G4010" i="32"/>
  <c r="G4028" i="32"/>
  <c r="G4046" i="32"/>
  <c r="G4049" i="32"/>
  <c r="G4051" i="32"/>
  <c r="G4061" i="32"/>
  <c r="G4071" i="32"/>
  <c r="G4083" i="32"/>
  <c r="G4088" i="32"/>
  <c r="G4090" i="32"/>
  <c r="G4101" i="32"/>
  <c r="G4104" i="32"/>
  <c r="G4106" i="32"/>
  <c r="G4135" i="32"/>
  <c r="G4137" i="32"/>
  <c r="G4152" i="32"/>
  <c r="G4154" i="32"/>
  <c r="G4160" i="32"/>
  <c r="G4171" i="32"/>
  <c r="G4176" i="32"/>
  <c r="G4180" i="32"/>
  <c r="G4182" i="32"/>
  <c r="G4186" i="32"/>
  <c r="G4190" i="32"/>
  <c r="G4200" i="32"/>
  <c r="G4204" i="32"/>
  <c r="G4209" i="32"/>
  <c r="G4219" i="32"/>
  <c r="G4223" i="32"/>
  <c r="G4229" i="32"/>
  <c r="G4232" i="32"/>
  <c r="G4234" i="32"/>
  <c r="G4240" i="32"/>
  <c r="G4255" i="32"/>
  <c r="G4258" i="32"/>
  <c r="G4264" i="32"/>
  <c r="G4272" i="32"/>
  <c r="G4277" i="32"/>
  <c r="G4281" i="32"/>
  <c r="G4284" i="32"/>
  <c r="G4286" i="32"/>
  <c r="G4293" i="32"/>
  <c r="G4303" i="32"/>
  <c r="G4305" i="32"/>
  <c r="G4308" i="32"/>
  <c r="G4310" i="32"/>
  <c r="G4315" i="32"/>
  <c r="G4317" i="32"/>
  <c r="G4323" i="32"/>
  <c r="G4326" i="32"/>
  <c r="G4340" i="32"/>
  <c r="G4349" i="32"/>
  <c r="G4365" i="32"/>
  <c r="G4379" i="32"/>
  <c r="G4385" i="32"/>
  <c r="G4388" i="32"/>
  <c r="G4399" i="32"/>
  <c r="G4411" i="32"/>
  <c r="G4416" i="32"/>
  <c r="G4426" i="32"/>
  <c r="G4431" i="32"/>
  <c r="G4440" i="32"/>
  <c r="G4450" i="32"/>
  <c r="G4458" i="32"/>
  <c r="G4460" i="32"/>
  <c r="G4462" i="32"/>
  <c r="G4468" i="32"/>
  <c r="G4482" i="32"/>
  <c r="G4486" i="32"/>
  <c r="G4491" i="32"/>
  <c r="G4496" i="32"/>
  <c r="G4500" i="32"/>
  <c r="G4502" i="32"/>
  <c r="G4516" i="32"/>
  <c r="G4518" i="32"/>
  <c r="G4532" i="32"/>
  <c r="G4538" i="32"/>
  <c r="G4549" i="32"/>
  <c r="G4557" i="32"/>
  <c r="G4569" i="32"/>
  <c r="G4575" i="32"/>
  <c r="G4602" i="32"/>
  <c r="G4606" i="32"/>
  <c r="G4610" i="32"/>
  <c r="G4620" i="32"/>
  <c r="G4629" i="32"/>
  <c r="G4644" i="32"/>
  <c r="G4649" i="32"/>
  <c r="G4672" i="32"/>
  <c r="G4674" i="32"/>
  <c r="G4686" i="32"/>
  <c r="G4694" i="32"/>
  <c r="G4699" i="32"/>
  <c r="G4703" i="32"/>
  <c r="G4711" i="32"/>
  <c r="G4714" i="32"/>
  <c r="G4720" i="32"/>
  <c r="G4732" i="32"/>
  <c r="G4734" i="32"/>
  <c r="G4751" i="32"/>
  <c r="G4757" i="32"/>
  <c r="G4768" i="32"/>
  <c r="G4784" i="32"/>
  <c r="G4786" i="32"/>
  <c r="G4792" i="32"/>
  <c r="G4797" i="32"/>
  <c r="G4804" i="32"/>
  <c r="G4810" i="32"/>
  <c r="G4814" i="32"/>
  <c r="G4821" i="32"/>
  <c r="G4824" i="32"/>
  <c r="G4826" i="32"/>
  <c r="G4840" i="32"/>
  <c r="G4842" i="32"/>
  <c r="G4855" i="32"/>
  <c r="G4861" i="32"/>
  <c r="G4866" i="32"/>
  <c r="G4868" i="32"/>
  <c r="G4879" i="32"/>
  <c r="G4882" i="32"/>
  <c r="G4889" i="32"/>
  <c r="G4901" i="32"/>
  <c r="G4910" i="32"/>
  <c r="G4915" i="32"/>
  <c r="G4917" i="32"/>
  <c r="G4920" i="32"/>
  <c r="G4924" i="32"/>
  <c r="G4931" i="32"/>
  <c r="G4933" i="32"/>
  <c r="G4937" i="32"/>
  <c r="G4944" i="32"/>
  <c r="G4946" i="32"/>
  <c r="G4963" i="32"/>
  <c r="G4971" i="32"/>
  <c r="G4975" i="32"/>
  <c r="G4985" i="32"/>
  <c r="G4991" i="32"/>
  <c r="G4994" i="32"/>
  <c r="G5004" i="32"/>
  <c r="G5014" i="32"/>
  <c r="G5028" i="32"/>
  <c r="G5030" i="32"/>
  <c r="G5050" i="32"/>
  <c r="G5057" i="32"/>
  <c r="G6149" i="32"/>
  <c r="G6159" i="32"/>
  <c r="G6166" i="32"/>
  <c r="G6172" i="32"/>
  <c r="G6181" i="32"/>
  <c r="G6184" i="32"/>
  <c r="G6206" i="32"/>
  <c r="G6209" i="32"/>
  <c r="G6229" i="32"/>
  <c r="G6274" i="32"/>
  <c r="G6293" i="32"/>
  <c r="G6297" i="32"/>
  <c r="G6303" i="32"/>
  <c r="G6313" i="32"/>
  <c r="G6339" i="32"/>
  <c r="G6348" i="32"/>
  <c r="G6350" i="32"/>
  <c r="G6354" i="32"/>
  <c r="G6376" i="32"/>
  <c r="G6389" i="32"/>
  <c r="G6394" i="32"/>
  <c r="G6399" i="32"/>
  <c r="G6404" i="32"/>
  <c r="G6413" i="32"/>
  <c r="G6416" i="32"/>
  <c r="G6423" i="32"/>
  <c r="G6432" i="32"/>
  <c r="G6445" i="32"/>
  <c r="G6448" i="32"/>
  <c r="G6451" i="32"/>
  <c r="G6277" i="32"/>
  <c r="F9" i="29"/>
  <c r="H34" i="27"/>
  <c r="D7" i="27"/>
  <c r="D24" i="27" s="1"/>
  <c r="P32" i="29"/>
  <c r="O32" i="29"/>
  <c r="N32" i="29"/>
  <c r="P9" i="29"/>
  <c r="H9" i="29"/>
  <c r="O9" i="29" s="1"/>
  <c r="N30" i="29"/>
  <c r="P30" i="29"/>
  <c r="F13" i="29"/>
  <c r="H13" i="29" s="1"/>
  <c r="N13" i="29" s="1"/>
  <c r="F11" i="29"/>
  <c r="F12" i="29"/>
  <c r="F14" i="29"/>
  <c r="F10" i="29"/>
  <c r="K10" i="10"/>
  <c r="F36" i="10"/>
  <c r="J10" i="10"/>
  <c r="E36" i="10"/>
  <c r="F43" i="8"/>
  <c r="F44" i="8"/>
  <c r="K34" i="32" l="1"/>
  <c r="M34" i="32" s="1"/>
  <c r="L34" i="32" s="1"/>
  <c r="K35" i="32"/>
  <c r="M35" i="32" s="1"/>
  <c r="L35" i="32" s="1"/>
  <c r="K36" i="32"/>
  <c r="M36" i="32" s="1"/>
  <c r="L36" i="32" s="1"/>
  <c r="K33" i="32"/>
  <c r="M33" i="32" s="1"/>
  <c r="L33" i="32" s="1"/>
  <c r="M21" i="32"/>
  <c r="M19" i="32"/>
  <c r="M20" i="32"/>
  <c r="M18" i="32"/>
  <c r="P13" i="29"/>
  <c r="N9" i="29"/>
  <c r="O13" i="29"/>
  <c r="P10" i="29"/>
  <c r="H10" i="29"/>
  <c r="P11" i="29"/>
  <c r="H11" i="29"/>
  <c r="P14" i="29"/>
  <c r="H14" i="29"/>
  <c r="P12" i="29"/>
  <c r="H12" i="29"/>
  <c r="F37" i="10"/>
  <c r="F39" i="10" s="1"/>
  <c r="J419" i="7"/>
  <c r="O74" i="2"/>
  <c r="O70" i="2"/>
  <c r="I145" i="7"/>
  <c r="H145" i="7"/>
  <c r="I211" i="7"/>
  <c r="I210" i="7"/>
  <c r="I190" i="7"/>
  <c r="I209" i="7" s="1"/>
  <c r="H190" i="7"/>
  <c r="H209" i="7" s="1"/>
  <c r="H211" i="7" s="1"/>
  <c r="I188" i="7"/>
  <c r="H188" i="7"/>
  <c r="O147" i="4"/>
  <c r="O152" i="4"/>
  <c r="H210" i="7"/>
  <c r="I207" i="7"/>
  <c r="H207" i="7"/>
  <c r="I206" i="7"/>
  <c r="H206" i="7"/>
  <c r="I205" i="7"/>
  <c r="H205" i="7"/>
  <c r="I204" i="7"/>
  <c r="H204" i="7"/>
  <c r="I203" i="7"/>
  <c r="H203" i="7"/>
  <c r="I201" i="7"/>
  <c r="H201" i="7"/>
  <c r="I200" i="7"/>
  <c r="H200" i="7"/>
  <c r="I196" i="7"/>
  <c r="H196" i="7"/>
  <c r="I193" i="7"/>
  <c r="H193" i="7"/>
  <c r="H195" i="7" s="1"/>
  <c r="I194" i="7"/>
  <c r="H194" i="7"/>
  <c r="K170" i="7"/>
  <c r="L170" i="7" s="1"/>
  <c r="M170" i="7" s="1"/>
  <c r="N170" i="7" s="1"/>
  <c r="O170" i="7" s="1"/>
  <c r="P170" i="7" s="1"/>
  <c r="I170" i="7"/>
  <c r="J170" i="7"/>
  <c r="H170" i="7"/>
  <c r="Q102" i="4"/>
  <c r="I102" i="4"/>
  <c r="J102" i="4"/>
  <c r="K102" i="4"/>
  <c r="L102" i="4"/>
  <c r="M102" i="4"/>
  <c r="N102" i="4"/>
  <c r="O102" i="4"/>
  <c r="P102" i="4"/>
  <c r="H102" i="4"/>
  <c r="P31" i="29" l="1"/>
  <c r="O12" i="29"/>
  <c r="N12" i="29"/>
  <c r="O14" i="29"/>
  <c r="N14" i="29"/>
  <c r="O11" i="29"/>
  <c r="N11" i="29"/>
  <c r="N10" i="29"/>
  <c r="O10" i="29"/>
  <c r="M35" i="10"/>
  <c r="G6" i="8"/>
  <c r="H6" i="8" s="1"/>
  <c r="I6" i="8" s="1"/>
  <c r="J6" i="8" s="1"/>
  <c r="K6" i="8" s="1"/>
  <c r="L6" i="8" s="1"/>
  <c r="B1" i="8"/>
  <c r="J355" i="7"/>
  <c r="J453" i="7"/>
  <c r="J384" i="7" s="1"/>
  <c r="J210" i="7"/>
  <c r="J257" i="7"/>
  <c r="J254" i="7"/>
  <c r="J253" i="7"/>
  <c r="J249" i="7"/>
  <c r="J246" i="7"/>
  <c r="K246" i="7" s="1"/>
  <c r="L246" i="7" s="1"/>
  <c r="M246" i="7" s="1"/>
  <c r="N246" i="7" s="1"/>
  <c r="O246" i="7" s="1"/>
  <c r="P246" i="7" s="1"/>
  <c r="J247" i="7"/>
  <c r="J248" i="7"/>
  <c r="K248" i="7" s="1"/>
  <c r="L248" i="7" s="1"/>
  <c r="M248" i="7" s="1"/>
  <c r="N248" i="7" s="1"/>
  <c r="O248" i="7" s="1"/>
  <c r="P248" i="7" s="1"/>
  <c r="J245" i="7"/>
  <c r="J241" i="7"/>
  <c r="J242" i="7"/>
  <c r="J240" i="7"/>
  <c r="K202" i="7"/>
  <c r="L202" i="7"/>
  <c r="M202" i="7"/>
  <c r="N202" i="7"/>
  <c r="O202" i="7"/>
  <c r="P202" i="7"/>
  <c r="J202" i="7"/>
  <c r="J200" i="7"/>
  <c r="J201" i="7"/>
  <c r="J472" i="7"/>
  <c r="J465" i="7"/>
  <c r="J450" i="7"/>
  <c r="D435" i="7"/>
  <c r="J162" i="7"/>
  <c r="J156" i="7"/>
  <c r="P34" i="29" l="1"/>
  <c r="P29" i="29"/>
  <c r="O29" i="29"/>
  <c r="O31" i="29" s="1"/>
  <c r="O34" i="29" s="1"/>
  <c r="N29" i="29"/>
  <c r="N31" i="29" s="1"/>
  <c r="N34" i="29" s="1"/>
  <c r="F6" i="8"/>
  <c r="J243" i="7"/>
  <c r="J255" i="7"/>
  <c r="K253" i="7"/>
  <c r="L253" i="7" s="1"/>
  <c r="M253" i="7" s="1"/>
  <c r="N253" i="7" s="1"/>
  <c r="O253" i="7" s="1"/>
  <c r="P253" i="7" s="1"/>
  <c r="J395" i="7" l="1"/>
  <c r="K414" i="7"/>
  <c r="L414" i="7"/>
  <c r="M414" i="7"/>
  <c r="N414" i="7"/>
  <c r="O414" i="7"/>
  <c r="P414" i="7"/>
  <c r="J414" i="7"/>
  <c r="J413" i="7"/>
  <c r="J411" i="7"/>
  <c r="J399" i="7"/>
  <c r="J401" i="7" s="1"/>
  <c r="K399" i="7" s="1"/>
  <c r="K401" i="7" s="1"/>
  <c r="J406" i="7"/>
  <c r="J407" i="7" s="1"/>
  <c r="K406" i="7" s="1"/>
  <c r="K402" i="7"/>
  <c r="L402" i="7"/>
  <c r="M402" i="7"/>
  <c r="N402" i="7"/>
  <c r="O402" i="7"/>
  <c r="P402" i="7"/>
  <c r="J402" i="7"/>
  <c r="J391" i="7"/>
  <c r="J394" i="7" s="1"/>
  <c r="K391" i="7" s="1"/>
  <c r="I234" i="7"/>
  <c r="J234" i="7"/>
  <c r="K234" i="7" s="1"/>
  <c r="L234" i="7" s="1"/>
  <c r="M234" i="7" s="1"/>
  <c r="N234" i="7" s="1"/>
  <c r="O234" i="7" s="1"/>
  <c r="P234" i="7" s="1"/>
  <c r="H234" i="7"/>
  <c r="I233" i="7"/>
  <c r="H233" i="7"/>
  <c r="I227" i="7"/>
  <c r="J227" i="7"/>
  <c r="H227" i="7"/>
  <c r="I226" i="7"/>
  <c r="J226" i="7"/>
  <c r="H226" i="7"/>
  <c r="I225" i="7"/>
  <c r="J225" i="7"/>
  <c r="H225" i="7"/>
  <c r="I223" i="7"/>
  <c r="J223" i="7"/>
  <c r="H223" i="7"/>
  <c r="J194" i="7"/>
  <c r="J186" i="7"/>
  <c r="I167" i="7"/>
  <c r="H167" i="7"/>
  <c r="I162" i="7"/>
  <c r="H162" i="7"/>
  <c r="I156" i="7"/>
  <c r="H156" i="7"/>
  <c r="I150" i="7"/>
  <c r="H150" i="7"/>
  <c r="H142" i="7"/>
  <c r="I142" i="7"/>
  <c r="H143" i="7"/>
  <c r="I143" i="7"/>
  <c r="H144" i="7"/>
  <c r="I144" i="7"/>
  <c r="I141" i="7"/>
  <c r="H141" i="7"/>
  <c r="I134" i="7"/>
  <c r="H134" i="7"/>
  <c r="I133" i="7"/>
  <c r="H133" i="7"/>
  <c r="H129" i="7"/>
  <c r="I129" i="7"/>
  <c r="J371" i="7"/>
  <c r="J359" i="7"/>
  <c r="C364" i="7"/>
  <c r="C365" i="7"/>
  <c r="C366" i="7"/>
  <c r="C367" i="7"/>
  <c r="C368" i="7"/>
  <c r="C363" i="7"/>
  <c r="O86" i="2"/>
  <c r="J438" i="7" s="1"/>
  <c r="O75" i="2"/>
  <c r="J360" i="7" s="1"/>
  <c r="O73" i="2"/>
  <c r="J358" i="7" s="1"/>
  <c r="K358" i="7" s="1"/>
  <c r="L358" i="7" s="1"/>
  <c r="M358" i="7" s="1"/>
  <c r="N358" i="7" s="1"/>
  <c r="O358" i="7" s="1"/>
  <c r="P358" i="7" s="1"/>
  <c r="O72" i="2"/>
  <c r="J357" i="7" s="1"/>
  <c r="K357" i="7" s="1"/>
  <c r="L357" i="7" s="1"/>
  <c r="M357" i="7" s="1"/>
  <c r="N357" i="7" s="1"/>
  <c r="O357" i="7" s="1"/>
  <c r="P357" i="7" s="1"/>
  <c r="D87" i="2"/>
  <c r="D88" i="2" s="1"/>
  <c r="D89" i="2" s="1"/>
  <c r="D90" i="2" s="1"/>
  <c r="D91" i="2" s="1"/>
  <c r="D92" i="2" s="1"/>
  <c r="J317" i="7"/>
  <c r="J316" i="7"/>
  <c r="J338" i="7" s="1"/>
  <c r="J150" i="7" s="1"/>
  <c r="J315" i="7"/>
  <c r="F312" i="7"/>
  <c r="J299" i="7"/>
  <c r="J287" i="7"/>
  <c r="K273" i="7"/>
  <c r="L273" i="7"/>
  <c r="M273" i="7"/>
  <c r="N273" i="7"/>
  <c r="N276" i="7" s="1"/>
  <c r="O273" i="7"/>
  <c r="O276" i="7" s="1"/>
  <c r="P273" i="7"/>
  <c r="P278" i="7" s="1"/>
  <c r="J273" i="7"/>
  <c r="J272" i="7"/>
  <c r="H57" i="2"/>
  <c r="H112" i="4"/>
  <c r="J103" i="7"/>
  <c r="J104" i="7"/>
  <c r="J102" i="7"/>
  <c r="J101" i="7"/>
  <c r="K95" i="7"/>
  <c r="L95" i="7"/>
  <c r="M95" i="7"/>
  <c r="N95" i="7"/>
  <c r="O95" i="7"/>
  <c r="P95" i="7"/>
  <c r="J95" i="7"/>
  <c r="J94" i="7"/>
  <c r="K41" i="7"/>
  <c r="K89" i="7" s="1"/>
  <c r="J92" i="7"/>
  <c r="J282" i="7" s="1"/>
  <c r="J280" i="7" s="1"/>
  <c r="J288" i="7" s="1"/>
  <c r="J29" i="7"/>
  <c r="J62" i="7"/>
  <c r="K16" i="7"/>
  <c r="L16" i="7"/>
  <c r="M16" i="7"/>
  <c r="N16" i="7"/>
  <c r="O16" i="7"/>
  <c r="P16" i="7"/>
  <c r="J17" i="7"/>
  <c r="K17" i="7"/>
  <c r="L17" i="7"/>
  <c r="M17" i="7"/>
  <c r="N17" i="7"/>
  <c r="O17" i="7"/>
  <c r="P17" i="7"/>
  <c r="K18" i="7"/>
  <c r="L18" i="7"/>
  <c r="M18" i="7"/>
  <c r="N18" i="7"/>
  <c r="O18" i="7"/>
  <c r="P18" i="7"/>
  <c r="J77" i="7"/>
  <c r="K77" i="7" s="1"/>
  <c r="L77" i="7" s="1"/>
  <c r="M77" i="7" s="1"/>
  <c r="N77" i="7" s="1"/>
  <c r="O77" i="7" s="1"/>
  <c r="P77" i="7" s="1"/>
  <c r="P144" i="7" s="1"/>
  <c r="J60" i="7"/>
  <c r="K58" i="7"/>
  <c r="L58" i="7" s="1"/>
  <c r="M58" i="7" s="1"/>
  <c r="N58" i="7" s="1"/>
  <c r="O58" i="7" s="1"/>
  <c r="P58" i="7" s="1"/>
  <c r="K56" i="7"/>
  <c r="L56" i="7"/>
  <c r="M56" i="7"/>
  <c r="N56" i="7"/>
  <c r="O56" i="7"/>
  <c r="P56" i="7"/>
  <c r="J56" i="7"/>
  <c r="O57" i="2"/>
  <c r="O37" i="2"/>
  <c r="F311" i="7" s="1"/>
  <c r="O58" i="2"/>
  <c r="H36" i="2" s="1"/>
  <c r="J10" i="7"/>
  <c r="J25" i="7" s="1"/>
  <c r="P1" i="7"/>
  <c r="K7" i="7"/>
  <c r="B2" i="7"/>
  <c r="B37" i="7" s="1"/>
  <c r="B85" i="7" s="1"/>
  <c r="B265" i="7" s="1"/>
  <c r="B304" i="7" s="1"/>
  <c r="B342" i="7" s="1"/>
  <c r="B375" i="7" s="1"/>
  <c r="B429" i="7" s="1"/>
  <c r="B457" i="7" s="1"/>
  <c r="P36" i="7" l="1"/>
  <c r="P84" i="7" s="1"/>
  <c r="M28" i="27"/>
  <c r="J7" i="7"/>
  <c r="H7" i="25"/>
  <c r="H25" i="25" s="1"/>
  <c r="K359" i="7"/>
  <c r="L359" i="7" s="1"/>
  <c r="I130" i="7"/>
  <c r="H186" i="7"/>
  <c r="H157" i="7"/>
  <c r="I186" i="7"/>
  <c r="I157" i="7"/>
  <c r="H185" i="7"/>
  <c r="H151" i="7"/>
  <c r="I185" i="7"/>
  <c r="I151" i="7"/>
  <c r="J185" i="7"/>
  <c r="H135" i="7"/>
  <c r="I135" i="7"/>
  <c r="K269" i="7"/>
  <c r="K308" i="7" s="1"/>
  <c r="K346" i="7" s="1"/>
  <c r="K379" i="7" s="1"/>
  <c r="K433" i="7" s="1"/>
  <c r="K461" i="7" s="1"/>
  <c r="K126" i="7"/>
  <c r="K181" i="7" s="1"/>
  <c r="K220" i="7" s="1"/>
  <c r="J383" i="7"/>
  <c r="J188" i="7"/>
  <c r="L399" i="7"/>
  <c r="L403" i="7" s="1"/>
  <c r="K240" i="7"/>
  <c r="J412" i="7"/>
  <c r="J415" i="7"/>
  <c r="J396" i="7"/>
  <c r="K411" i="7"/>
  <c r="K415" i="7" s="1"/>
  <c r="J403" i="7"/>
  <c r="K408" i="7"/>
  <c r="K407" i="7"/>
  <c r="J408" i="7"/>
  <c r="K403" i="7"/>
  <c r="H197" i="7"/>
  <c r="I195" i="7"/>
  <c r="I197" i="7" s="1"/>
  <c r="H137" i="7"/>
  <c r="H138" i="7" s="1"/>
  <c r="B177" i="7"/>
  <c r="B216" i="7" s="1"/>
  <c r="M144" i="7"/>
  <c r="K144" i="7"/>
  <c r="I137" i="7"/>
  <c r="N144" i="7"/>
  <c r="O144" i="7"/>
  <c r="L144" i="7"/>
  <c r="J144" i="7"/>
  <c r="B122" i="7"/>
  <c r="M359" i="7"/>
  <c r="K355" i="7"/>
  <c r="K360" i="7"/>
  <c r="L360" i="7" s="1"/>
  <c r="M360" i="7" s="1"/>
  <c r="N360" i="7" s="1"/>
  <c r="O360" i="7" s="1"/>
  <c r="P360" i="7" s="1"/>
  <c r="J53" i="7"/>
  <c r="P276" i="7"/>
  <c r="P277" i="7"/>
  <c r="O277" i="7"/>
  <c r="K316" i="7"/>
  <c r="K315" i="7"/>
  <c r="J284" i="7"/>
  <c r="J298" i="7"/>
  <c r="J52" i="7"/>
  <c r="J67" i="7" s="1"/>
  <c r="J44" i="7"/>
  <c r="J45" i="7" s="1"/>
  <c r="J46" i="7" s="1"/>
  <c r="J51" i="7"/>
  <c r="J66" i="7" s="1"/>
  <c r="J110" i="7"/>
  <c r="J134" i="7" s="1"/>
  <c r="J111" i="7"/>
  <c r="J141" i="7" s="1"/>
  <c r="J113" i="7"/>
  <c r="J143" i="7" s="1"/>
  <c r="J112" i="7"/>
  <c r="J142" i="7" s="1"/>
  <c r="J105" i="7"/>
  <c r="K42" i="7"/>
  <c r="K90" i="7" s="1"/>
  <c r="J42" i="7"/>
  <c r="J90" i="7" s="1"/>
  <c r="K25" i="7"/>
  <c r="L7" i="7"/>
  <c r="I7" i="25" s="1"/>
  <c r="I25" i="25" s="1"/>
  <c r="P264" i="7" l="1"/>
  <c r="P303" i="7" s="1"/>
  <c r="P341" i="7" s="1"/>
  <c r="P121" i="7"/>
  <c r="G13" i="27"/>
  <c r="J193" i="7"/>
  <c r="J195" i="7" s="1"/>
  <c r="J197" i="7" s="1"/>
  <c r="I7" i="7"/>
  <c r="G7" i="25"/>
  <c r="G25" i="25" s="1"/>
  <c r="I147" i="7"/>
  <c r="I138" i="7"/>
  <c r="L401" i="7"/>
  <c r="M399" i="7" s="1"/>
  <c r="M403" i="7" s="1"/>
  <c r="H147" i="7"/>
  <c r="J387" i="7"/>
  <c r="L406" i="7"/>
  <c r="L408" i="7" s="1"/>
  <c r="K247" i="7"/>
  <c r="J418" i="7"/>
  <c r="K270" i="7"/>
  <c r="K309" i="7" s="1"/>
  <c r="K347" i="7" s="1"/>
  <c r="K380" i="7" s="1"/>
  <c r="K434" i="7" s="1"/>
  <c r="K462" i="7" s="1"/>
  <c r="K127" i="7"/>
  <c r="H9" i="27" s="1"/>
  <c r="J270" i="7"/>
  <c r="J309" i="7" s="1"/>
  <c r="J347" i="7" s="1"/>
  <c r="J380" i="7" s="1"/>
  <c r="J434" i="7" s="1"/>
  <c r="J462" i="7" s="1"/>
  <c r="J127" i="7"/>
  <c r="L355" i="7"/>
  <c r="N359" i="7"/>
  <c r="K317" i="7"/>
  <c r="L316" i="7" s="1"/>
  <c r="J114" i="7"/>
  <c r="J57" i="7"/>
  <c r="K57" i="7" s="1"/>
  <c r="J93" i="7"/>
  <c r="J98" i="7" s="1"/>
  <c r="J48" i="7"/>
  <c r="M7" i="7"/>
  <c r="J7" i="25" s="1"/>
  <c r="J25" i="25" s="1"/>
  <c r="L42" i="7"/>
  <c r="L90" i="7" s="1"/>
  <c r="K29" i="7"/>
  <c r="K44" i="7" s="1"/>
  <c r="L25" i="7"/>
  <c r="P176" i="7" l="1"/>
  <c r="P215" i="7" s="1"/>
  <c r="P374" i="7"/>
  <c r="P428" i="7" s="1"/>
  <c r="P456" i="7" s="1"/>
  <c r="H7" i="7"/>
  <c r="H42" i="7" s="1"/>
  <c r="H90" i="7" s="1"/>
  <c r="I42" i="7"/>
  <c r="I90" i="7" s="1"/>
  <c r="J182" i="7"/>
  <c r="G9" i="27"/>
  <c r="J205" i="7"/>
  <c r="J385" i="7"/>
  <c r="H153" i="7"/>
  <c r="H148" i="7"/>
  <c r="I153" i="7"/>
  <c r="I148" i="7"/>
  <c r="L240" i="7"/>
  <c r="L407" i="7"/>
  <c r="L247" i="7" s="1"/>
  <c r="M401" i="7"/>
  <c r="K182" i="7"/>
  <c r="K392" i="7"/>
  <c r="K201" i="7" s="1"/>
  <c r="C320" i="7"/>
  <c r="C321" i="7" s="1"/>
  <c r="C322" i="7" s="1"/>
  <c r="L270" i="7"/>
  <c r="L309" i="7" s="1"/>
  <c r="L347" i="7" s="1"/>
  <c r="L380" i="7" s="1"/>
  <c r="L434" i="7" s="1"/>
  <c r="L462" i="7" s="1"/>
  <c r="L127" i="7"/>
  <c r="I9" i="27" s="1"/>
  <c r="M355" i="7"/>
  <c r="O359" i="7"/>
  <c r="L315" i="7"/>
  <c r="L317" i="7" s="1"/>
  <c r="M316" i="7" s="1"/>
  <c r="J61" i="7"/>
  <c r="J71" i="7" s="1"/>
  <c r="K98" i="7"/>
  <c r="J108" i="7"/>
  <c r="J133" i="7" s="1"/>
  <c r="J65" i="7"/>
  <c r="J68" i="7" s="1"/>
  <c r="J70" i="7"/>
  <c r="J49" i="7"/>
  <c r="J74" i="7" s="1"/>
  <c r="L57" i="7"/>
  <c r="K61" i="7"/>
  <c r="K45" i="7"/>
  <c r="K46" i="7" s="1"/>
  <c r="N7" i="7"/>
  <c r="K7" i="25" s="1"/>
  <c r="K25" i="25" s="1"/>
  <c r="M42" i="7"/>
  <c r="M90" i="7" s="1"/>
  <c r="M25" i="7"/>
  <c r="L29" i="7"/>
  <c r="K221" i="7" l="1"/>
  <c r="I6" i="26"/>
  <c r="I32" i="26" s="1"/>
  <c r="J221" i="7"/>
  <c r="H6" i="26"/>
  <c r="H32" i="26" s="1"/>
  <c r="I270" i="7"/>
  <c r="I309" i="7" s="1"/>
  <c r="I347" i="7" s="1"/>
  <c r="I380" i="7" s="1"/>
  <c r="I434" i="7" s="1"/>
  <c r="I462" i="7" s="1"/>
  <c r="I127" i="7"/>
  <c r="I182" i="7" s="1"/>
  <c r="H270" i="7"/>
  <c r="H309" i="7" s="1"/>
  <c r="H347" i="7" s="1"/>
  <c r="H380" i="7" s="1"/>
  <c r="H434" i="7" s="1"/>
  <c r="H462" i="7" s="1"/>
  <c r="H127" i="7"/>
  <c r="H182" i="7" s="1"/>
  <c r="M406" i="7"/>
  <c r="M407" i="7" s="1"/>
  <c r="N406" i="7" s="1"/>
  <c r="N408" i="7" s="1"/>
  <c r="I159" i="7"/>
  <c r="I154" i="7"/>
  <c r="H159" i="7"/>
  <c r="H154" i="7"/>
  <c r="M408" i="7"/>
  <c r="C328" i="7"/>
  <c r="N399" i="7"/>
  <c r="M240" i="7"/>
  <c r="L182" i="7"/>
  <c r="L392" i="7"/>
  <c r="L201" i="7" s="1"/>
  <c r="C329" i="7"/>
  <c r="M270" i="7"/>
  <c r="M309" i="7" s="1"/>
  <c r="M347" i="7" s="1"/>
  <c r="M380" i="7" s="1"/>
  <c r="M434" i="7" s="1"/>
  <c r="M462" i="7" s="1"/>
  <c r="M127" i="7"/>
  <c r="J9" i="27" s="1"/>
  <c r="P359" i="7"/>
  <c r="J116" i="7"/>
  <c r="J118" i="7" s="1"/>
  <c r="J352" i="7"/>
  <c r="M315" i="7"/>
  <c r="M317" i="7" s="1"/>
  <c r="N316" i="7" s="1"/>
  <c r="N355" i="7"/>
  <c r="J72" i="7"/>
  <c r="J76" i="7" s="1"/>
  <c r="O71" i="2" s="1"/>
  <c r="J356" i="7" s="1"/>
  <c r="K356" i="7" s="1"/>
  <c r="L356" i="7" s="1"/>
  <c r="M356" i="7" s="1"/>
  <c r="N356" i="7" s="1"/>
  <c r="O356" i="7" s="1"/>
  <c r="P356" i="7" s="1"/>
  <c r="C323" i="7"/>
  <c r="C330" i="7"/>
  <c r="L98" i="7"/>
  <c r="K48" i="7"/>
  <c r="L61" i="7"/>
  <c r="M57" i="7"/>
  <c r="L44" i="7"/>
  <c r="O7" i="7"/>
  <c r="L7" i="25" s="1"/>
  <c r="L25" i="25" s="1"/>
  <c r="N42" i="7"/>
  <c r="N90" i="7" s="1"/>
  <c r="N25" i="7"/>
  <c r="M29" i="7"/>
  <c r="I221" i="7" l="1"/>
  <c r="G6" i="26"/>
  <c r="G32" i="26" s="1"/>
  <c r="L221" i="7"/>
  <c r="J6" i="26"/>
  <c r="J32" i="26" s="1"/>
  <c r="M247" i="7"/>
  <c r="H221" i="7"/>
  <c r="F6" i="26"/>
  <c r="F32" i="26" s="1"/>
  <c r="H165" i="7"/>
  <c r="H166" i="7" s="1"/>
  <c r="H160" i="7"/>
  <c r="H163" i="7"/>
  <c r="I165" i="7"/>
  <c r="I166" i="7" s="1"/>
  <c r="I160" i="7"/>
  <c r="I163" i="7"/>
  <c r="N407" i="7"/>
  <c r="N247" i="7" s="1"/>
  <c r="H168" i="7"/>
  <c r="H172" i="7" s="1"/>
  <c r="H184" i="7"/>
  <c r="N401" i="7"/>
  <c r="N403" i="7"/>
  <c r="M182" i="7"/>
  <c r="M392" i="7"/>
  <c r="M201" i="7" s="1"/>
  <c r="J351" i="7"/>
  <c r="J365" i="7" s="1"/>
  <c r="J129" i="7"/>
  <c r="N270" i="7"/>
  <c r="N309" i="7" s="1"/>
  <c r="N347" i="7" s="1"/>
  <c r="N380" i="7" s="1"/>
  <c r="N434" i="7" s="1"/>
  <c r="N462" i="7" s="1"/>
  <c r="N127" i="7"/>
  <c r="K9" i="27" s="1"/>
  <c r="J367" i="7"/>
  <c r="J363" i="7"/>
  <c r="O355" i="7"/>
  <c r="N315" i="7"/>
  <c r="N317" i="7" s="1"/>
  <c r="C324" i="7"/>
  <c r="C331" i="7"/>
  <c r="M98" i="7"/>
  <c r="J79" i="7"/>
  <c r="J81" i="7"/>
  <c r="K49" i="7"/>
  <c r="K70" i="7"/>
  <c r="N57" i="7"/>
  <c r="M61" i="7"/>
  <c r="P7" i="7"/>
  <c r="O42" i="7"/>
  <c r="O90" i="7" s="1"/>
  <c r="M44" i="7"/>
  <c r="L45" i="7"/>
  <c r="L46" i="7" s="1"/>
  <c r="O25" i="7"/>
  <c r="N29" i="7"/>
  <c r="N44" i="7" s="1"/>
  <c r="P42" i="7" l="1"/>
  <c r="P90" i="7" s="1"/>
  <c r="M7" i="25"/>
  <c r="M25" i="25" s="1"/>
  <c r="M221" i="7"/>
  <c r="K6" i="26"/>
  <c r="K32" i="26" s="1"/>
  <c r="H21" i="26"/>
  <c r="H14" i="26"/>
  <c r="H11" i="26"/>
  <c r="H23" i="26"/>
  <c r="H16" i="26"/>
  <c r="H8" i="26"/>
  <c r="H19" i="26"/>
  <c r="H17" i="26"/>
  <c r="H15" i="26"/>
  <c r="H10" i="26"/>
  <c r="J145" i="7"/>
  <c r="F26" i="8" s="1"/>
  <c r="F39" i="8"/>
  <c r="F51" i="8" s="1"/>
  <c r="F40" i="8"/>
  <c r="F52" i="8" s="1"/>
  <c r="F19" i="8"/>
  <c r="O406" i="7"/>
  <c r="O408" i="7" s="1"/>
  <c r="I184" i="7"/>
  <c r="J151" i="7"/>
  <c r="F27" i="8" s="1"/>
  <c r="J157" i="7"/>
  <c r="I168" i="7"/>
  <c r="I172" i="7" s="1"/>
  <c r="I173" i="7" s="1"/>
  <c r="J137" i="7"/>
  <c r="J130" i="7"/>
  <c r="F9" i="8" s="1"/>
  <c r="J135" i="7"/>
  <c r="O399" i="7"/>
  <c r="N240" i="7"/>
  <c r="J366" i="7"/>
  <c r="N182" i="7"/>
  <c r="N392" i="7"/>
  <c r="N201" i="7" s="1"/>
  <c r="J368" i="7"/>
  <c r="J364" i="7"/>
  <c r="O270" i="7"/>
  <c r="O309" i="7" s="1"/>
  <c r="O347" i="7" s="1"/>
  <c r="O380" i="7" s="1"/>
  <c r="O434" i="7" s="1"/>
  <c r="O462" i="7" s="1"/>
  <c r="O127" i="7"/>
  <c r="L9" i="27" s="1"/>
  <c r="P270" i="7"/>
  <c r="P309" i="7" s="1"/>
  <c r="P347" i="7" s="1"/>
  <c r="P380" i="7" s="1"/>
  <c r="P434" i="7" s="1"/>
  <c r="P462" i="7" s="1"/>
  <c r="P127" i="7"/>
  <c r="M9" i="27" s="1"/>
  <c r="O315" i="7"/>
  <c r="O316" i="7"/>
  <c r="P355" i="7"/>
  <c r="C325" i="7"/>
  <c r="C333" i="7" s="1"/>
  <c r="C332" i="7"/>
  <c r="N98" i="7"/>
  <c r="O57" i="7"/>
  <c r="N61" i="7"/>
  <c r="L48" i="7"/>
  <c r="L49" i="7" s="1"/>
  <c r="M45" i="7"/>
  <c r="M46" i="7" s="1"/>
  <c r="P25" i="7"/>
  <c r="P29" i="7" s="1"/>
  <c r="P44" i="7" s="1"/>
  <c r="O29" i="7"/>
  <c r="O44" i="7" s="1"/>
  <c r="F10" i="8" l="1"/>
  <c r="H12" i="26"/>
  <c r="N221" i="7"/>
  <c r="L6" i="26"/>
  <c r="L32" i="26" s="1"/>
  <c r="F25" i="8"/>
  <c r="F38" i="8"/>
  <c r="F50" i="8" s="1"/>
  <c r="F53" i="8" s="1"/>
  <c r="O407" i="7"/>
  <c r="P406" i="7" s="1"/>
  <c r="P407" i="7" s="1"/>
  <c r="P247" i="7" s="1"/>
  <c r="J147" i="7"/>
  <c r="H18" i="26" s="1"/>
  <c r="J138" i="7"/>
  <c r="F18" i="8" s="1"/>
  <c r="J370" i="7"/>
  <c r="O403" i="7"/>
  <c r="O401" i="7"/>
  <c r="P182" i="7"/>
  <c r="P392" i="7"/>
  <c r="P201" i="7" s="1"/>
  <c r="O182" i="7"/>
  <c r="O392" i="7"/>
  <c r="O201" i="7" s="1"/>
  <c r="O317" i="7"/>
  <c r="P316" i="7" s="1"/>
  <c r="O98" i="7"/>
  <c r="L70" i="7"/>
  <c r="P57" i="7"/>
  <c r="O61" i="7"/>
  <c r="M48" i="7"/>
  <c r="M49" i="7" s="1"/>
  <c r="O45" i="7"/>
  <c r="O46" i="7" s="1"/>
  <c r="P45" i="7"/>
  <c r="P46" i="7" s="1"/>
  <c r="N45" i="7"/>
  <c r="N46" i="7" s="1"/>
  <c r="O247" i="7" l="1"/>
  <c r="P221" i="7"/>
  <c r="N6" i="26"/>
  <c r="N32" i="26" s="1"/>
  <c r="O221" i="7"/>
  <c r="M6" i="26"/>
  <c r="M32" i="26" s="1"/>
  <c r="P408" i="7"/>
  <c r="J148" i="7"/>
  <c r="F20" i="8" s="1"/>
  <c r="F47" i="8"/>
  <c r="F11" i="8"/>
  <c r="J382" i="7"/>
  <c r="J425" i="7" s="1"/>
  <c r="J153" i="7"/>
  <c r="P399" i="7"/>
  <c r="O240" i="7"/>
  <c r="P315" i="7"/>
  <c r="P317" i="7" s="1"/>
  <c r="P98" i="7"/>
  <c r="M70" i="7"/>
  <c r="P61" i="7"/>
  <c r="P48" i="7"/>
  <c r="P49" i="7" s="1"/>
  <c r="N48" i="7"/>
  <c r="O48" i="7"/>
  <c r="O49" i="7" s="1"/>
  <c r="G51" i="5"/>
  <c r="K94" i="7" s="1"/>
  <c r="K103" i="7" s="1"/>
  <c r="H44" i="5" a="1"/>
  <c r="L395" i="7" s="1"/>
  <c r="G44" i="5" a="1"/>
  <c r="K395" i="7" s="1"/>
  <c r="K396" i="7" s="1"/>
  <c r="K418" i="7" s="1"/>
  <c r="I44" i="5" a="1"/>
  <c r="M395" i="7" s="1"/>
  <c r="J44" i="5" a="1"/>
  <c r="N395" i="7" s="1"/>
  <c r="K44" i="5" a="1"/>
  <c r="O395" i="7" s="1"/>
  <c r="L44" i="5" a="1"/>
  <c r="C38" i="5"/>
  <c r="C48" i="5" s="1"/>
  <c r="C55" i="5" s="1"/>
  <c r="C65" i="5" s="1"/>
  <c r="L51" i="5"/>
  <c r="P94" i="7" s="1"/>
  <c r="K51" i="5"/>
  <c r="O94" i="7" s="1"/>
  <c r="J51" i="5"/>
  <c r="N94" i="7" s="1"/>
  <c r="I51" i="5"/>
  <c r="M94" i="7" s="1"/>
  <c r="H51" i="5"/>
  <c r="L94" i="7" s="1"/>
  <c r="G36" i="5"/>
  <c r="G34" i="5" s="1"/>
  <c r="K60" i="7" s="1"/>
  <c r="H34" i="5"/>
  <c r="L60" i="7" s="1"/>
  <c r="L74" i="7" s="1"/>
  <c r="I34" i="5"/>
  <c r="M60" i="7" s="1"/>
  <c r="M74" i="7" s="1"/>
  <c r="J34" i="5"/>
  <c r="N60" i="7" s="1"/>
  <c r="K34" i="5"/>
  <c r="O60" i="7" s="1"/>
  <c r="L34" i="5"/>
  <c r="P60" i="7" s="1"/>
  <c r="L13" i="5"/>
  <c r="L11" i="5" s="1" a="1"/>
  <c r="P9" i="7" s="1"/>
  <c r="K13" i="5"/>
  <c r="K11" i="5" s="1" a="1"/>
  <c r="O9" i="7" s="1"/>
  <c r="J13" i="5"/>
  <c r="J11" i="5" s="1" a="1"/>
  <c r="N9" i="7" s="1"/>
  <c r="I13" i="5"/>
  <c r="I11" i="5" s="1" a="1"/>
  <c r="M9" i="7" s="1"/>
  <c r="H13" i="5"/>
  <c r="H11" i="5" s="1" a="1"/>
  <c r="L9" i="7" s="1"/>
  <c r="G13" i="5"/>
  <c r="G11" i="5" s="1" a="1"/>
  <c r="K9" i="7" s="1"/>
  <c r="G19" i="5"/>
  <c r="G17" i="5" s="1" a="1"/>
  <c r="K15" i="7" s="1"/>
  <c r="K62" i="7" s="1"/>
  <c r="K65" i="7" s="1"/>
  <c r="G29" i="5"/>
  <c r="J17" i="5" a="1"/>
  <c r="N15" i="7" s="1"/>
  <c r="N62" i="7" s="1"/>
  <c r="H17" i="5" a="1"/>
  <c r="L15" i="7" s="1"/>
  <c r="L62" i="7" s="1"/>
  <c r="L65" i="7" s="1"/>
  <c r="I17" i="5" a="1"/>
  <c r="M15" i="7" s="1"/>
  <c r="M62" i="7" s="1"/>
  <c r="M65" i="7" s="1"/>
  <c r="K17" i="5" a="1"/>
  <c r="O15" i="7" s="1"/>
  <c r="O62" i="7" s="1"/>
  <c r="L17" i="5" a="1"/>
  <c r="P15" i="7" s="1"/>
  <c r="P62" i="7" s="1"/>
  <c r="C20" i="5"/>
  <c r="C30" i="5" s="1"/>
  <c r="C21" i="5"/>
  <c r="C31" i="5" s="1"/>
  <c r="C19" i="5"/>
  <c r="C29" i="5" s="1"/>
  <c r="G5" i="5"/>
  <c r="H5" i="5" s="1"/>
  <c r="I5" i="5" s="1"/>
  <c r="J5" i="5" s="1"/>
  <c r="K5" i="5" s="1"/>
  <c r="L5" i="5" s="1"/>
  <c r="M5" i="5" s="1"/>
  <c r="B1" i="5"/>
  <c r="C37" i="5"/>
  <c r="C47" i="5" s="1"/>
  <c r="C54" i="5" s="1"/>
  <c r="C64" i="5" s="1"/>
  <c r="C36" i="5"/>
  <c r="C46" i="5" s="1"/>
  <c r="C53" i="5" s="1"/>
  <c r="C63" i="5" s="1"/>
  <c r="P395" i="7" l="1"/>
  <c r="G25" i="10"/>
  <c r="G27" i="10" s="1"/>
  <c r="F46" i="10" s="1"/>
  <c r="H20" i="26"/>
  <c r="G13" i="25"/>
  <c r="G15" i="25" s="1"/>
  <c r="F46" i="8"/>
  <c r="F12" i="8"/>
  <c r="F31" i="8"/>
  <c r="G27" i="5" a="1"/>
  <c r="K59" i="7" s="1"/>
  <c r="H29" i="5"/>
  <c r="J159" i="7"/>
  <c r="J154" i="7"/>
  <c r="F21" i="8" s="1"/>
  <c r="P401" i="7"/>
  <c r="P240" i="7" s="1"/>
  <c r="P403" i="7"/>
  <c r="K205" i="7"/>
  <c r="K385" i="7"/>
  <c r="K11" i="7"/>
  <c r="K92" i="7" s="1"/>
  <c r="K282" i="7" s="1"/>
  <c r="K279" i="7"/>
  <c r="K272" i="7"/>
  <c r="O22" i="7"/>
  <c r="O23" i="7" s="1"/>
  <c r="M277" i="7"/>
  <c r="N278" i="7"/>
  <c r="O279" i="7"/>
  <c r="L276" i="7"/>
  <c r="O272" i="7"/>
  <c r="O290" i="7" s="1"/>
  <c r="O324" i="7" s="1"/>
  <c r="L22" i="7"/>
  <c r="L23" i="7" s="1"/>
  <c r="K278" i="7"/>
  <c r="L272" i="7"/>
  <c r="L290" i="7" s="1"/>
  <c r="L321" i="7" s="1"/>
  <c r="L279" i="7"/>
  <c r="M22" i="7"/>
  <c r="M23" i="7" s="1"/>
  <c r="L278" i="7"/>
  <c r="M272" i="7"/>
  <c r="M290" i="7" s="1"/>
  <c r="M322" i="7" s="1"/>
  <c r="M279" i="7"/>
  <c r="K277" i="7"/>
  <c r="N22" i="7"/>
  <c r="N23" i="7" s="1"/>
  <c r="L277" i="7"/>
  <c r="N272" i="7"/>
  <c r="N290" i="7" s="1"/>
  <c r="N323" i="7" s="1"/>
  <c r="M278" i="7"/>
  <c r="N279" i="7"/>
  <c r="K276" i="7"/>
  <c r="P22" i="7"/>
  <c r="P23" i="7" s="1"/>
  <c r="P272" i="7"/>
  <c r="P290" i="7" s="1"/>
  <c r="P325" i="7" s="1"/>
  <c r="P333" i="7" s="1"/>
  <c r="M276" i="7"/>
  <c r="O278" i="7"/>
  <c r="P279" i="7"/>
  <c r="P280" i="7" s="1"/>
  <c r="N277" i="7"/>
  <c r="L103" i="7"/>
  <c r="M103" i="7" s="1"/>
  <c r="K101" i="7"/>
  <c r="K102" i="7"/>
  <c r="K104" i="7"/>
  <c r="P65" i="7"/>
  <c r="O74" i="7"/>
  <c r="P70" i="7"/>
  <c r="N49" i="7"/>
  <c r="N74" i="7" s="1"/>
  <c r="N65" i="7"/>
  <c r="N70" i="7"/>
  <c r="P74" i="7"/>
  <c r="O65" i="7"/>
  <c r="O70" i="7"/>
  <c r="K74" i="7"/>
  <c r="K22" i="7"/>
  <c r="K23" i="7" s="1"/>
  <c r="K10" i="7"/>
  <c r="G31" i="5"/>
  <c r="G30" i="5"/>
  <c r="F13" i="8" l="1"/>
  <c r="H22" i="26"/>
  <c r="J165" i="7"/>
  <c r="H24" i="26" s="1"/>
  <c r="K336" i="7"/>
  <c r="I29" i="5"/>
  <c r="H30" i="5"/>
  <c r="H27" i="5" a="1"/>
  <c r="L59" i="7" s="1"/>
  <c r="H31" i="5"/>
  <c r="J444" i="7"/>
  <c r="J445" i="7" s="1"/>
  <c r="J163" i="7"/>
  <c r="J160" i="7"/>
  <c r="J184" i="7"/>
  <c r="J473" i="7"/>
  <c r="K110" i="7"/>
  <c r="K134" i="7" s="1"/>
  <c r="K112" i="7"/>
  <c r="K142" i="7" s="1"/>
  <c r="K280" i="7"/>
  <c r="P330" i="7"/>
  <c r="O330" i="7"/>
  <c r="N330" i="7"/>
  <c r="M330" i="7"/>
  <c r="P329" i="7"/>
  <c r="M329" i="7"/>
  <c r="N329" i="7"/>
  <c r="O329" i="7"/>
  <c r="L329" i="7"/>
  <c r="O331" i="7"/>
  <c r="N331" i="7"/>
  <c r="P331" i="7"/>
  <c r="O332" i="7"/>
  <c r="P332" i="7"/>
  <c r="K298" i="7"/>
  <c r="L280" i="7"/>
  <c r="L288" i="7" s="1"/>
  <c r="P324" i="7"/>
  <c r="N297" i="7"/>
  <c r="L297" i="7"/>
  <c r="M297" i="7"/>
  <c r="K290" i="7"/>
  <c r="K320" i="7" s="1"/>
  <c r="P297" i="7"/>
  <c r="O297" i="7"/>
  <c r="P288" i="7"/>
  <c r="M280" i="7"/>
  <c r="N280" i="7"/>
  <c r="O280" i="7"/>
  <c r="L102" i="7"/>
  <c r="K111" i="7"/>
  <c r="K141" i="7" s="1"/>
  <c r="L104" i="7"/>
  <c r="K113" i="7"/>
  <c r="K143" i="7" s="1"/>
  <c r="N103" i="7"/>
  <c r="L101" i="7"/>
  <c r="K105" i="7"/>
  <c r="K27" i="7"/>
  <c r="K31" i="7"/>
  <c r="K52" i="7" s="1"/>
  <c r="K67" i="7" s="1"/>
  <c r="L10" i="7"/>
  <c r="L11" i="7"/>
  <c r="L92" i="7" s="1"/>
  <c r="K30" i="7"/>
  <c r="K26" i="7"/>
  <c r="H37" i="2"/>
  <c r="K288" i="7" l="1"/>
  <c r="K284" i="7"/>
  <c r="K193" i="7" s="1"/>
  <c r="K195" i="7" s="1"/>
  <c r="K197" i="7" s="1"/>
  <c r="F14" i="8"/>
  <c r="J166" i="7"/>
  <c r="F22" i="8" s="1"/>
  <c r="J29" i="5"/>
  <c r="I27" i="5" a="1"/>
  <c r="M59" i="7" s="1"/>
  <c r="I31" i="5"/>
  <c r="I30" i="5"/>
  <c r="J474" i="7"/>
  <c r="K472" i="7" s="1"/>
  <c r="J167" i="7"/>
  <c r="J168" i="7" s="1"/>
  <c r="F33" i="8" s="1"/>
  <c r="K328" i="7"/>
  <c r="K334" i="7" s="1"/>
  <c r="K338" i="7" s="1"/>
  <c r="K150" i="7" s="1"/>
  <c r="N328" i="7"/>
  <c r="O328" i="7"/>
  <c r="M328" i="7"/>
  <c r="M334" i="7" s="1"/>
  <c r="P328" i="7"/>
  <c r="P334" i="7" s="1"/>
  <c r="L328" i="7"/>
  <c r="L334" i="7" s="1"/>
  <c r="L320" i="7"/>
  <c r="M320" i="7" s="1"/>
  <c r="N320" i="7" s="1"/>
  <c r="O320" i="7" s="1"/>
  <c r="P320" i="7" s="1"/>
  <c r="M321" i="7"/>
  <c r="N321" i="7" s="1"/>
  <c r="O321" i="7" s="1"/>
  <c r="P321" i="7" s="1"/>
  <c r="O323" i="7"/>
  <c r="P323" i="7" s="1"/>
  <c r="N322" i="7"/>
  <c r="O322" i="7" s="1"/>
  <c r="P322" i="7" s="1"/>
  <c r="K297" i="7"/>
  <c r="L112" i="7"/>
  <c r="L142" i="7" s="1"/>
  <c r="L282" i="7"/>
  <c r="L336" i="7" s="1"/>
  <c r="N288" i="7"/>
  <c r="M288" i="7"/>
  <c r="O288" i="7"/>
  <c r="L110" i="7"/>
  <c r="L134" i="7" s="1"/>
  <c r="K114" i="7"/>
  <c r="L113" i="7"/>
  <c r="L143" i="7" s="1"/>
  <c r="M104" i="7"/>
  <c r="N104" i="7" s="1"/>
  <c r="O103" i="7"/>
  <c r="M102" i="7"/>
  <c r="L111" i="7"/>
  <c r="L141" i="7" s="1"/>
  <c r="M101" i="7"/>
  <c r="L105" i="7"/>
  <c r="K33" i="7"/>
  <c r="K53" i="7"/>
  <c r="K51" i="7"/>
  <c r="K66" i="7" s="1"/>
  <c r="K68" i="7" s="1"/>
  <c r="L26" i="7"/>
  <c r="L30" i="7"/>
  <c r="M11" i="7"/>
  <c r="M92" i="7" s="1"/>
  <c r="M10" i="7"/>
  <c r="L31" i="7"/>
  <c r="L52" i="7" s="1"/>
  <c r="L67" i="7" s="1"/>
  <c r="L27" i="7"/>
  <c r="G22" i="2"/>
  <c r="G23" i="2" s="1"/>
  <c r="G24" i="2" s="1"/>
  <c r="G25" i="2" s="1"/>
  <c r="G26" i="2" s="1"/>
  <c r="G27" i="2" s="1"/>
  <c r="C21" i="2"/>
  <c r="C22" i="2" s="1"/>
  <c r="C23" i="2" s="1"/>
  <c r="C24" i="2" s="1"/>
  <c r="C25" i="2" s="1"/>
  <c r="C26" i="2" s="1"/>
  <c r="C27" i="2" s="1"/>
  <c r="O9" i="2"/>
  <c r="K9" i="2"/>
  <c r="L338" i="7" l="1"/>
  <c r="L150" i="7" s="1"/>
  <c r="L185" i="7" s="1"/>
  <c r="H13" i="27"/>
  <c r="K387" i="7"/>
  <c r="G9" i="25"/>
  <c r="G11" i="25" s="1"/>
  <c r="G17" i="25" s="1"/>
  <c r="G27" i="25" s="1"/>
  <c r="K29" i="5"/>
  <c r="J30" i="5"/>
  <c r="J31" i="5"/>
  <c r="J27" i="5" a="1"/>
  <c r="N59" i="7" s="1"/>
  <c r="J466" i="7"/>
  <c r="J468" i="7" s="1"/>
  <c r="J469" i="7" s="1"/>
  <c r="K465" i="7" s="1"/>
  <c r="J172" i="7"/>
  <c r="J173" i="7" s="1"/>
  <c r="F15" i="8" s="1"/>
  <c r="K185" i="7"/>
  <c r="K439" i="7"/>
  <c r="O334" i="7"/>
  <c r="N334" i="7"/>
  <c r="L284" i="7"/>
  <c r="I13" i="27" s="1"/>
  <c r="L298" i="7"/>
  <c r="M112" i="7"/>
  <c r="M142" i="7" s="1"/>
  <c r="M282" i="7"/>
  <c r="M336" i="7" s="1"/>
  <c r="M338" i="7" s="1"/>
  <c r="M150" i="7" s="1"/>
  <c r="M185" i="7" s="1"/>
  <c r="L114" i="7"/>
  <c r="M110" i="7"/>
  <c r="M134" i="7" s="1"/>
  <c r="M113" i="7"/>
  <c r="M143" i="7" s="1"/>
  <c r="N102" i="7"/>
  <c r="M111" i="7"/>
  <c r="M141" i="7" s="1"/>
  <c r="P103" i="7"/>
  <c r="O104" i="7"/>
  <c r="N101" i="7"/>
  <c r="M105" i="7"/>
  <c r="K71" i="7"/>
  <c r="K72" i="7" s="1"/>
  <c r="K76" i="7" s="1"/>
  <c r="K129" i="7" s="1"/>
  <c r="K93" i="7"/>
  <c r="K108" i="7" s="1"/>
  <c r="K133" i="7" s="1"/>
  <c r="L51" i="7"/>
  <c r="L66" i="7" s="1"/>
  <c r="L68" i="7" s="1"/>
  <c r="L53" i="7"/>
  <c r="M31" i="7"/>
  <c r="M52" i="7" s="1"/>
  <c r="M67" i="7" s="1"/>
  <c r="M27" i="7"/>
  <c r="N11" i="7"/>
  <c r="N92" i="7" s="1"/>
  <c r="N10" i="7"/>
  <c r="L33" i="7"/>
  <c r="M30" i="7"/>
  <c r="M26" i="7"/>
  <c r="A107" i="4"/>
  <c r="A35" i="4"/>
  <c r="I145" i="4"/>
  <c r="J145" i="4"/>
  <c r="K145" i="4"/>
  <c r="L145" i="4"/>
  <c r="M145" i="4"/>
  <c r="N145" i="4"/>
  <c r="O145" i="4"/>
  <c r="P145" i="4"/>
  <c r="Q145" i="4"/>
  <c r="H145" i="4"/>
  <c r="I131" i="4"/>
  <c r="I134" i="4" s="1"/>
  <c r="J131" i="4"/>
  <c r="J134" i="4" s="1"/>
  <c r="K131" i="4"/>
  <c r="K134" i="4" s="1"/>
  <c r="L131" i="4"/>
  <c r="L134" i="4" s="1"/>
  <c r="M131" i="4"/>
  <c r="M134" i="4" s="1"/>
  <c r="N131" i="4"/>
  <c r="N134" i="4" s="1"/>
  <c r="O131" i="4"/>
  <c r="O134" i="4" s="1"/>
  <c r="P131" i="4"/>
  <c r="P134" i="4" s="1"/>
  <c r="Q131" i="4"/>
  <c r="Q134" i="4" s="1"/>
  <c r="H131" i="4"/>
  <c r="H134" i="4" s="1"/>
  <c r="I113" i="4"/>
  <c r="J113" i="4"/>
  <c r="K113" i="4"/>
  <c r="L113" i="4"/>
  <c r="M113" i="4"/>
  <c r="N113" i="4"/>
  <c r="O113" i="4"/>
  <c r="P113" i="4"/>
  <c r="Q113" i="4"/>
  <c r="H113" i="4"/>
  <c r="I112" i="4"/>
  <c r="J112" i="4"/>
  <c r="K112" i="4"/>
  <c r="L112" i="4"/>
  <c r="M112" i="4"/>
  <c r="N112" i="4"/>
  <c r="O112" i="4"/>
  <c r="P112" i="4"/>
  <c r="Q112" i="4"/>
  <c r="B108" i="4"/>
  <c r="I91" i="4"/>
  <c r="J91" i="4"/>
  <c r="K91" i="4"/>
  <c r="L91" i="4"/>
  <c r="M91" i="4"/>
  <c r="N91" i="4"/>
  <c r="O91" i="4"/>
  <c r="P91" i="4"/>
  <c r="Q91" i="4"/>
  <c r="O11" i="2" s="1"/>
  <c r="H91" i="4"/>
  <c r="I87" i="4"/>
  <c r="J87" i="4"/>
  <c r="K87" i="4"/>
  <c r="L87" i="4"/>
  <c r="M87" i="4"/>
  <c r="N87" i="4"/>
  <c r="O87" i="4"/>
  <c r="P87" i="4"/>
  <c r="Q87" i="4"/>
  <c r="H87" i="4"/>
  <c r="I80" i="4"/>
  <c r="J80" i="4"/>
  <c r="K80" i="4"/>
  <c r="L80" i="4"/>
  <c r="M80" i="4"/>
  <c r="N80" i="4"/>
  <c r="O80" i="4"/>
  <c r="P80" i="4"/>
  <c r="Q80" i="4"/>
  <c r="H80" i="4"/>
  <c r="I19" i="26" l="1"/>
  <c r="I11" i="26"/>
  <c r="I17" i="26"/>
  <c r="I15" i="26"/>
  <c r="I16" i="26"/>
  <c r="I14" i="26"/>
  <c r="I8" i="26"/>
  <c r="I10" i="26"/>
  <c r="L29" i="5"/>
  <c r="K30" i="5"/>
  <c r="K27" i="5" a="1"/>
  <c r="O59" i="7" s="1"/>
  <c r="K31" i="5"/>
  <c r="G19" i="8"/>
  <c r="K145" i="7"/>
  <c r="G26" i="8" s="1"/>
  <c r="K151" i="7"/>
  <c r="G27" i="8" s="1"/>
  <c r="K130" i="7"/>
  <c r="G9" i="8" s="1"/>
  <c r="K135" i="7"/>
  <c r="L387" i="7"/>
  <c r="L193" i="7"/>
  <c r="L195" i="7" s="1"/>
  <c r="L439" i="7"/>
  <c r="K137" i="7"/>
  <c r="K116" i="7"/>
  <c r="K352" i="7"/>
  <c r="K79" i="7"/>
  <c r="K351" i="7"/>
  <c r="M284" i="7"/>
  <c r="J13" i="27" s="1"/>
  <c r="M298" i="7"/>
  <c r="N112" i="7"/>
  <c r="N142" i="7" s="1"/>
  <c r="N282" i="7"/>
  <c r="N336" i="7" s="1"/>
  <c r="N338" i="7" s="1"/>
  <c r="N150" i="7" s="1"/>
  <c r="N185" i="7" s="1"/>
  <c r="M114" i="7"/>
  <c r="N110" i="7"/>
  <c r="N134" i="7" s="1"/>
  <c r="N113" i="7"/>
  <c r="N143" i="7" s="1"/>
  <c r="P104" i="7"/>
  <c r="O102" i="7"/>
  <c r="N111" i="7"/>
  <c r="N141" i="7" s="1"/>
  <c r="O101" i="7"/>
  <c r="N105" i="7"/>
  <c r="L71" i="7"/>
  <c r="L72" i="7" s="1"/>
  <c r="L76" i="7" s="1"/>
  <c r="L129" i="7" s="1"/>
  <c r="J19" i="26" s="1"/>
  <c r="L93" i="7"/>
  <c r="L108" i="7" s="1"/>
  <c r="L133" i="7" s="1"/>
  <c r="M33" i="7"/>
  <c r="M51" i="7"/>
  <c r="M66" i="7" s="1"/>
  <c r="M68" i="7" s="1"/>
  <c r="M53" i="7"/>
  <c r="N30" i="7"/>
  <c r="N26" i="7"/>
  <c r="O11" i="7"/>
  <c r="O92" i="7" s="1"/>
  <c r="O10" i="7"/>
  <c r="N27" i="7"/>
  <c r="N31" i="7"/>
  <c r="N52" i="7" s="1"/>
  <c r="N67" i="7" s="1"/>
  <c r="M95" i="4"/>
  <c r="P95" i="4"/>
  <c r="K95" i="4"/>
  <c r="H95" i="4"/>
  <c r="J95" i="4"/>
  <c r="L95" i="4"/>
  <c r="Q95" i="4"/>
  <c r="I95" i="4"/>
  <c r="O95" i="4"/>
  <c r="N95" i="4"/>
  <c r="L197" i="7" l="1"/>
  <c r="H9" i="25"/>
  <c r="J11" i="26"/>
  <c r="J17" i="26"/>
  <c r="J15" i="26"/>
  <c r="J16" i="26"/>
  <c r="J14" i="26"/>
  <c r="G10" i="8"/>
  <c r="I12" i="26"/>
  <c r="J8" i="26"/>
  <c r="J10" i="26"/>
  <c r="L30" i="5"/>
  <c r="L31" i="5"/>
  <c r="L27" i="5" a="1"/>
  <c r="P59" i="7" s="1"/>
  <c r="G25" i="8"/>
  <c r="H19" i="8"/>
  <c r="L145" i="7"/>
  <c r="H26" i="8" s="1"/>
  <c r="L151" i="7"/>
  <c r="H27" i="8" s="1"/>
  <c r="K147" i="7"/>
  <c r="I18" i="26" s="1"/>
  <c r="K138" i="7"/>
  <c r="G18" i="8" s="1"/>
  <c r="L130" i="7"/>
  <c r="H9" i="8" s="1"/>
  <c r="L135" i="7"/>
  <c r="M387" i="7"/>
  <c r="M193" i="7"/>
  <c r="M195" i="7" s="1"/>
  <c r="M439" i="7"/>
  <c r="L137" i="7"/>
  <c r="L116" i="7"/>
  <c r="L352" i="7"/>
  <c r="K367" i="7"/>
  <c r="K241" i="7" s="1"/>
  <c r="G40" i="8" s="1"/>
  <c r="G52" i="8" s="1"/>
  <c r="K363" i="7"/>
  <c r="K223" i="7" s="1"/>
  <c r="G38" i="8" s="1"/>
  <c r="K366" i="7"/>
  <c r="K227" i="7" s="1"/>
  <c r="K368" i="7"/>
  <c r="K242" i="7" s="1"/>
  <c r="K364" i="7"/>
  <c r="K365" i="7"/>
  <c r="K226" i="7" s="1"/>
  <c r="L79" i="7"/>
  <c r="L351" i="7"/>
  <c r="N284" i="7"/>
  <c r="K13" i="27" s="1"/>
  <c r="N298" i="7"/>
  <c r="O112" i="7"/>
  <c r="O142" i="7" s="1"/>
  <c r="O282" i="7"/>
  <c r="O336" i="7" s="1"/>
  <c r="O338" i="7" s="1"/>
  <c r="O150" i="7" s="1"/>
  <c r="O185" i="7" s="1"/>
  <c r="O110" i="7"/>
  <c r="O134" i="7" s="1"/>
  <c r="N114" i="7"/>
  <c r="O113" i="7"/>
  <c r="O143" i="7" s="1"/>
  <c r="P102" i="7"/>
  <c r="O111" i="7"/>
  <c r="O141" i="7" s="1"/>
  <c r="P101" i="7"/>
  <c r="O105" i="7"/>
  <c r="M71" i="7"/>
  <c r="M72" i="7" s="1"/>
  <c r="M76" i="7" s="1"/>
  <c r="M129" i="7" s="1"/>
  <c r="K19" i="26" s="1"/>
  <c r="M93" i="7"/>
  <c r="M108" i="7" s="1"/>
  <c r="M133" i="7" s="1"/>
  <c r="N53" i="7"/>
  <c r="N51" i="7"/>
  <c r="N66" i="7" s="1"/>
  <c r="N68" i="7" s="1"/>
  <c r="O27" i="7"/>
  <c r="O31" i="7"/>
  <c r="O52" i="7" s="1"/>
  <c r="O67" i="7" s="1"/>
  <c r="P11" i="7"/>
  <c r="P92" i="7" s="1"/>
  <c r="P10" i="7"/>
  <c r="O26" i="7"/>
  <c r="O30" i="7"/>
  <c r="N33" i="7"/>
  <c r="I71" i="4"/>
  <c r="J71" i="4"/>
  <c r="K71" i="4"/>
  <c r="L71" i="4"/>
  <c r="M71" i="4"/>
  <c r="N71" i="4"/>
  <c r="O71" i="4"/>
  <c r="P71" i="4"/>
  <c r="Q71" i="4"/>
  <c r="H71" i="4"/>
  <c r="I63" i="4"/>
  <c r="I65" i="4" s="1"/>
  <c r="J63" i="4"/>
  <c r="J65" i="4" s="1"/>
  <c r="K63" i="4"/>
  <c r="K65" i="4" s="1"/>
  <c r="L63" i="4"/>
  <c r="L65" i="4" s="1"/>
  <c r="M63" i="4"/>
  <c r="M65" i="4" s="1"/>
  <c r="N63" i="4"/>
  <c r="N65" i="4" s="1"/>
  <c r="O63" i="4"/>
  <c r="P63" i="4"/>
  <c r="Q63" i="4"/>
  <c r="Q65" i="4" s="1"/>
  <c r="J231" i="7" s="1"/>
  <c r="K231" i="7" s="1"/>
  <c r="L231" i="7" s="1"/>
  <c r="M231" i="7" s="1"/>
  <c r="N231" i="7" s="1"/>
  <c r="H63" i="4"/>
  <c r="H65" i="4" s="1"/>
  <c r="I45" i="4"/>
  <c r="I51" i="4" s="1"/>
  <c r="J45" i="4"/>
  <c r="J51" i="4" s="1"/>
  <c r="K45" i="4"/>
  <c r="K51" i="4" s="1"/>
  <c r="L45" i="4"/>
  <c r="L51" i="4" s="1"/>
  <c r="M45" i="4"/>
  <c r="M51" i="4" s="1"/>
  <c r="N45" i="4"/>
  <c r="N51" i="4" s="1"/>
  <c r="O45" i="4"/>
  <c r="P45" i="4"/>
  <c r="Q45" i="4"/>
  <c r="H45" i="4"/>
  <c r="H51" i="4" s="1"/>
  <c r="H37" i="4"/>
  <c r="H109" i="4" s="1"/>
  <c r="B36" i="4"/>
  <c r="I13" i="4"/>
  <c r="I20" i="4" s="1"/>
  <c r="I23" i="4" s="1"/>
  <c r="I26" i="4" s="1"/>
  <c r="J13" i="4"/>
  <c r="J20" i="4" s="1"/>
  <c r="J23" i="4" s="1"/>
  <c r="J26" i="4" s="1"/>
  <c r="K13" i="4"/>
  <c r="K20" i="4" s="1"/>
  <c r="K23" i="4" s="1"/>
  <c r="K26" i="4" s="1"/>
  <c r="L13" i="4"/>
  <c r="L20" i="4" s="1"/>
  <c r="L23" i="4" s="1"/>
  <c r="L26" i="4" s="1"/>
  <c r="M13" i="4"/>
  <c r="M20" i="4" s="1"/>
  <c r="M23" i="4" s="1"/>
  <c r="M26" i="4" s="1"/>
  <c r="N13" i="4"/>
  <c r="N20" i="4" s="1"/>
  <c r="N23" i="4" s="1"/>
  <c r="N26" i="4" s="1"/>
  <c r="O13" i="4"/>
  <c r="O20" i="4" s="1"/>
  <c r="O23" i="4" s="1"/>
  <c r="O26" i="4" s="1"/>
  <c r="P13" i="4"/>
  <c r="P20" i="4" s="1"/>
  <c r="P23" i="4" s="1"/>
  <c r="P26" i="4" s="1"/>
  <c r="Q13" i="4"/>
  <c r="Q20" i="4" s="1"/>
  <c r="Q23" i="4" s="1"/>
  <c r="Q26" i="4" s="1"/>
  <c r="H13" i="4"/>
  <c r="H20" i="4" s="1"/>
  <c r="I5" i="4"/>
  <c r="I37" i="4" s="1"/>
  <c r="I109" i="4" s="1"/>
  <c r="B1" i="4"/>
  <c r="M197" i="7" l="1"/>
  <c r="I9" i="25"/>
  <c r="K11" i="26"/>
  <c r="K17" i="26"/>
  <c r="K16" i="26"/>
  <c r="K14" i="26"/>
  <c r="K15" i="26"/>
  <c r="H10" i="8"/>
  <c r="J12" i="26"/>
  <c r="K8" i="26"/>
  <c r="K10" i="26"/>
  <c r="G50" i="8"/>
  <c r="H25" i="8"/>
  <c r="I19" i="8"/>
  <c r="M145" i="7"/>
  <c r="I26" i="8" s="1"/>
  <c r="K148" i="7"/>
  <c r="G20" i="8" s="1"/>
  <c r="G11" i="8"/>
  <c r="N73" i="4"/>
  <c r="N97" i="4" s="1"/>
  <c r="Q51" i="4"/>
  <c r="J224" i="7"/>
  <c r="J228" i="7" s="1"/>
  <c r="P51" i="4"/>
  <c r="I224" i="7"/>
  <c r="I228" i="7" s="1"/>
  <c r="O65" i="4"/>
  <c r="H231" i="7" s="1"/>
  <c r="H230" i="7"/>
  <c r="H232" i="7" s="1"/>
  <c r="H235" i="7" s="1"/>
  <c r="O51" i="4"/>
  <c r="O73" i="4" s="1"/>
  <c r="O97" i="4" s="1"/>
  <c r="H224" i="7"/>
  <c r="H228" i="7" s="1"/>
  <c r="I230" i="7"/>
  <c r="P65" i="4"/>
  <c r="I231" i="7" s="1"/>
  <c r="J296" i="7"/>
  <c r="M73" i="4"/>
  <c r="M97" i="4" s="1"/>
  <c r="K382" i="7"/>
  <c r="K153" i="7"/>
  <c r="M151" i="7"/>
  <c r="I27" i="8" s="1"/>
  <c r="K243" i="7"/>
  <c r="L147" i="7"/>
  <c r="J18" i="26" s="1"/>
  <c r="L138" i="7"/>
  <c r="H18" i="8" s="1"/>
  <c r="M130" i="7"/>
  <c r="I9" i="8" s="1"/>
  <c r="M135" i="7"/>
  <c r="N387" i="7"/>
  <c r="N193" i="7"/>
  <c r="N195" i="7" s="1"/>
  <c r="O231" i="7"/>
  <c r="K224" i="7"/>
  <c r="N439" i="7"/>
  <c r="M137" i="7"/>
  <c r="M116" i="7"/>
  <c r="M352" i="7"/>
  <c r="L367" i="7"/>
  <c r="L241" i="7" s="1"/>
  <c r="H40" i="8" s="1"/>
  <c r="H52" i="8" s="1"/>
  <c r="L363" i="7"/>
  <c r="L223" i="7" s="1"/>
  <c r="H38" i="8" s="1"/>
  <c r="H50" i="8" s="1"/>
  <c r="K370" i="7"/>
  <c r="K371" i="7" s="1"/>
  <c r="H10" i="25" s="1"/>
  <c r="L366" i="7"/>
  <c r="L227" i="7" s="1"/>
  <c r="L368" i="7"/>
  <c r="L242" i="7" s="1"/>
  <c r="L364" i="7"/>
  <c r="L224" i="7" s="1"/>
  <c r="L365" i="7"/>
  <c r="L226" i="7" s="1"/>
  <c r="M79" i="7"/>
  <c r="M351" i="7"/>
  <c r="O284" i="7"/>
  <c r="L13" i="27" s="1"/>
  <c r="O298" i="7"/>
  <c r="P112" i="7"/>
  <c r="P142" i="7" s="1"/>
  <c r="P282" i="7"/>
  <c r="P336" i="7" s="1"/>
  <c r="P338" i="7" s="1"/>
  <c r="P150" i="7" s="1"/>
  <c r="P185" i="7" s="1"/>
  <c r="O114" i="7"/>
  <c r="P111" i="7"/>
  <c r="P141" i="7" s="1"/>
  <c r="P113" i="7"/>
  <c r="P143" i="7" s="1"/>
  <c r="P105" i="7"/>
  <c r="P110" i="7"/>
  <c r="P134" i="7" s="1"/>
  <c r="N71" i="7"/>
  <c r="N72" i="7" s="1"/>
  <c r="N76" i="7" s="1"/>
  <c r="N129" i="7" s="1"/>
  <c r="L19" i="26" s="1"/>
  <c r="N93" i="7"/>
  <c r="N108" i="7" s="1"/>
  <c r="N133" i="7" s="1"/>
  <c r="O33" i="7"/>
  <c r="O51" i="7"/>
  <c r="O66" i="7" s="1"/>
  <c r="O68" i="7" s="1"/>
  <c r="O53" i="7"/>
  <c r="P30" i="7"/>
  <c r="P26" i="7"/>
  <c r="P27" i="7"/>
  <c r="P31" i="7"/>
  <c r="P52" i="7" s="1"/>
  <c r="L30" i="4"/>
  <c r="L111" i="4"/>
  <c r="K30" i="4"/>
  <c r="K111" i="4"/>
  <c r="J30" i="4"/>
  <c r="J111" i="4"/>
  <c r="Q30" i="4"/>
  <c r="O12" i="2" s="1"/>
  <c r="Q111" i="4"/>
  <c r="I30" i="4"/>
  <c r="I111" i="4"/>
  <c r="P30" i="4"/>
  <c r="P111" i="4"/>
  <c r="O30" i="4"/>
  <c r="O111" i="4"/>
  <c r="N30" i="4"/>
  <c r="N111" i="4"/>
  <c r="M30" i="4"/>
  <c r="M111" i="4"/>
  <c r="B34" i="4"/>
  <c r="B106" i="4"/>
  <c r="L73" i="4"/>
  <c r="L97" i="4" s="1"/>
  <c r="P73" i="4"/>
  <c r="P97" i="4" s="1"/>
  <c r="K73" i="4"/>
  <c r="K97" i="4" s="1"/>
  <c r="H73" i="4"/>
  <c r="H97" i="4" s="1"/>
  <c r="J73" i="4"/>
  <c r="J97" i="4" s="1"/>
  <c r="Q73" i="4"/>
  <c r="Q97" i="4" s="1"/>
  <c r="I73" i="4"/>
  <c r="I97" i="4" s="1"/>
  <c r="J5" i="4"/>
  <c r="K5" i="4" s="1"/>
  <c r="L5" i="4" s="1"/>
  <c r="M5" i="4" s="1"/>
  <c r="N5" i="4" s="1"/>
  <c r="O5" i="4" s="1"/>
  <c r="P5" i="4" s="1"/>
  <c r="Q5" i="4" s="1"/>
  <c r="Q37" i="4" s="1"/>
  <c r="Q109" i="4" s="1"/>
  <c r="H23" i="4"/>
  <c r="H26" i="4" s="1"/>
  <c r="N197" i="7" l="1"/>
  <c r="J9" i="25"/>
  <c r="H11" i="25"/>
  <c r="H13" i="25"/>
  <c r="H15" i="25" s="1"/>
  <c r="I20" i="26"/>
  <c r="L11" i="26"/>
  <c r="L17" i="26"/>
  <c r="L15" i="26"/>
  <c r="L14" i="26"/>
  <c r="L16" i="26"/>
  <c r="I10" i="8"/>
  <c r="K12" i="26"/>
  <c r="L8" i="26"/>
  <c r="L10" i="26"/>
  <c r="I25" i="8"/>
  <c r="G39" i="8"/>
  <c r="H39" i="8"/>
  <c r="H51" i="8" s="1"/>
  <c r="H53" i="8" s="1"/>
  <c r="J19" i="8"/>
  <c r="N145" i="7"/>
  <c r="J26" i="8" s="1"/>
  <c r="K154" i="7"/>
  <c r="G21" i="8" s="1"/>
  <c r="G12" i="8"/>
  <c r="L148" i="7"/>
  <c r="H20" i="8" s="1"/>
  <c r="H11" i="8"/>
  <c r="H237" i="7"/>
  <c r="I232" i="7"/>
  <c r="I235" i="7" s="1"/>
  <c r="I237" i="7" s="1"/>
  <c r="L153" i="7"/>
  <c r="L382" i="7"/>
  <c r="N151" i="7"/>
  <c r="J27" i="8" s="1"/>
  <c r="M147" i="7"/>
  <c r="K18" i="26" s="1"/>
  <c r="M138" i="7"/>
  <c r="I18" i="8" s="1"/>
  <c r="N130" i="7"/>
  <c r="J9" i="8" s="1"/>
  <c r="N135" i="7"/>
  <c r="L243" i="7"/>
  <c r="O387" i="7"/>
  <c r="O193" i="7"/>
  <c r="O195" i="7" s="1"/>
  <c r="P231" i="7"/>
  <c r="K383" i="7"/>
  <c r="K188" i="7"/>
  <c r="O439" i="7"/>
  <c r="N137" i="7"/>
  <c r="N116" i="7"/>
  <c r="N352" i="7"/>
  <c r="M367" i="7"/>
  <c r="M241" i="7" s="1"/>
  <c r="I40" i="8" s="1"/>
  <c r="I52" i="8" s="1"/>
  <c r="M363" i="7"/>
  <c r="M223" i="7" s="1"/>
  <c r="I38" i="8" s="1"/>
  <c r="I50" i="8" s="1"/>
  <c r="L370" i="7"/>
  <c r="L371" i="7" s="1"/>
  <c r="I10" i="25" s="1"/>
  <c r="M366" i="7"/>
  <c r="M227" i="7" s="1"/>
  <c r="M368" i="7"/>
  <c r="M242" i="7" s="1"/>
  <c r="M364" i="7"/>
  <c r="M224" i="7" s="1"/>
  <c r="M365" i="7"/>
  <c r="M226" i="7" s="1"/>
  <c r="N79" i="7"/>
  <c r="N351" i="7"/>
  <c r="P284" i="7"/>
  <c r="M13" i="27" s="1"/>
  <c r="P298" i="7"/>
  <c r="P114" i="7"/>
  <c r="P53" i="7"/>
  <c r="P93" i="7" s="1"/>
  <c r="P108" i="7" s="1"/>
  <c r="O71" i="7"/>
  <c r="O72" i="7" s="1"/>
  <c r="O76" i="7" s="1"/>
  <c r="O129" i="7" s="1"/>
  <c r="M19" i="26" s="1"/>
  <c r="O93" i="7"/>
  <c r="O108" i="7" s="1"/>
  <c r="O133" i="7" s="1"/>
  <c r="P33" i="7"/>
  <c r="P67" i="7"/>
  <c r="P51" i="7"/>
  <c r="P66" i="7" s="1"/>
  <c r="N125" i="4"/>
  <c r="N147" i="4" s="1"/>
  <c r="Q125" i="4"/>
  <c r="Q147" i="4" s="1"/>
  <c r="O125" i="4"/>
  <c r="J125" i="4"/>
  <c r="J147" i="4" s="1"/>
  <c r="P125" i="4"/>
  <c r="P147" i="4" s="1"/>
  <c r="K125" i="4"/>
  <c r="K147" i="4" s="1"/>
  <c r="I125" i="4"/>
  <c r="I147" i="4" s="1"/>
  <c r="L125" i="4"/>
  <c r="L147" i="4" s="1"/>
  <c r="M125" i="4"/>
  <c r="M147" i="4" s="1"/>
  <c r="H30" i="4"/>
  <c r="H111" i="4"/>
  <c r="J37" i="4"/>
  <c r="J109" i="4" s="1"/>
  <c r="K37" i="4"/>
  <c r="K109" i="4" s="1"/>
  <c r="O37" i="4"/>
  <c r="O109" i="4" s="1"/>
  <c r="L37" i="4"/>
  <c r="L109" i="4" s="1"/>
  <c r="M37" i="4"/>
  <c r="M109" i="4" s="1"/>
  <c r="N37" i="4"/>
  <c r="N109" i="4" s="1"/>
  <c r="P37" i="4"/>
  <c r="P109" i="4" s="1"/>
  <c r="B1" i="2"/>
  <c r="O197" i="7" l="1"/>
  <c r="K9" i="25"/>
  <c r="I11" i="25"/>
  <c r="H17" i="25"/>
  <c r="H27" i="25" s="1"/>
  <c r="I39" i="8"/>
  <c r="I51" i="8" s="1"/>
  <c r="I53" i="8" s="1"/>
  <c r="I13" i="25"/>
  <c r="I15" i="25" s="1"/>
  <c r="J20" i="26"/>
  <c r="M11" i="26"/>
  <c r="M17" i="26"/>
  <c r="M15" i="26"/>
  <c r="M14" i="26"/>
  <c r="M16" i="26"/>
  <c r="J10" i="8"/>
  <c r="L12" i="26"/>
  <c r="M8" i="26"/>
  <c r="M10" i="26"/>
  <c r="G51" i="8"/>
  <c r="J25" i="8"/>
  <c r="K19" i="8"/>
  <c r="O145" i="7"/>
  <c r="K26" i="8" s="1"/>
  <c r="L154" i="7"/>
  <c r="H21" i="8" s="1"/>
  <c r="H12" i="8"/>
  <c r="M148" i="7"/>
  <c r="I20" i="8" s="1"/>
  <c r="I11" i="8"/>
  <c r="M153" i="7"/>
  <c r="M382" i="7"/>
  <c r="O151" i="7"/>
  <c r="K27" i="8" s="1"/>
  <c r="N147" i="7"/>
  <c r="L18" i="26" s="1"/>
  <c r="N138" i="7"/>
  <c r="J18" i="8" s="1"/>
  <c r="O130" i="7"/>
  <c r="K9" i="8" s="1"/>
  <c r="O135" i="7"/>
  <c r="P387" i="7"/>
  <c r="P193" i="7"/>
  <c r="P195" i="7" s="1"/>
  <c r="M243" i="7"/>
  <c r="L383" i="7"/>
  <c r="L188" i="7"/>
  <c r="P439" i="7"/>
  <c r="P352" i="7"/>
  <c r="P363" i="7" s="1"/>
  <c r="P223" i="7" s="1"/>
  <c r="P133" i="7"/>
  <c r="O137" i="7"/>
  <c r="N367" i="7"/>
  <c r="N241" i="7" s="1"/>
  <c r="J40" i="8" s="1"/>
  <c r="J52" i="8" s="1"/>
  <c r="N363" i="7"/>
  <c r="N223" i="7" s="1"/>
  <c r="J38" i="8" s="1"/>
  <c r="J50" i="8" s="1"/>
  <c r="O116" i="7"/>
  <c r="O352" i="7"/>
  <c r="M370" i="7"/>
  <c r="M371" i="7" s="1"/>
  <c r="J10" i="25" s="1"/>
  <c r="N366" i="7"/>
  <c r="N227" i="7" s="1"/>
  <c r="N368" i="7"/>
  <c r="N242" i="7" s="1"/>
  <c r="N364" i="7"/>
  <c r="N224" i="7" s="1"/>
  <c r="N365" i="7"/>
  <c r="N226" i="7" s="1"/>
  <c r="O79" i="7"/>
  <c r="O351" i="7"/>
  <c r="P68" i="7"/>
  <c r="P116" i="7"/>
  <c r="P71" i="7"/>
  <c r="P72" i="7" s="1"/>
  <c r="H125" i="4"/>
  <c r="H147" i="4" s="1"/>
  <c r="H152" i="4" s="1"/>
  <c r="I149" i="4" s="1"/>
  <c r="I152" i="4" s="1"/>
  <c r="J149" i="4" s="1"/>
  <c r="J152" i="4" s="1"/>
  <c r="K149" i="4" s="1"/>
  <c r="K152" i="4" s="1"/>
  <c r="L149" i="4" s="1"/>
  <c r="L152" i="4" s="1"/>
  <c r="M149" i="4" s="1"/>
  <c r="M152" i="4" s="1"/>
  <c r="N149" i="4" s="1"/>
  <c r="N152" i="4" s="1"/>
  <c r="O149" i="4" s="1"/>
  <c r="P149" i="4" s="1"/>
  <c r="P152" i="4" s="1"/>
  <c r="Q149" i="4" s="1"/>
  <c r="Q152" i="4" s="1"/>
  <c r="P197" i="7" l="1"/>
  <c r="L9" i="25"/>
  <c r="I17" i="25"/>
  <c r="I27" i="25" s="1"/>
  <c r="J11" i="25"/>
  <c r="J39" i="8"/>
  <c r="J51" i="8" s="1"/>
  <c r="J53" i="8" s="1"/>
  <c r="J13" i="25"/>
  <c r="J15" i="25" s="1"/>
  <c r="K20" i="26"/>
  <c r="K10" i="8"/>
  <c r="M12" i="26"/>
  <c r="G53" i="8"/>
  <c r="K25" i="8"/>
  <c r="M154" i="7"/>
  <c r="I21" i="8" s="1"/>
  <c r="I12" i="8"/>
  <c r="N148" i="7"/>
  <c r="J20" i="8" s="1"/>
  <c r="J11" i="8"/>
  <c r="N382" i="7"/>
  <c r="N153" i="7"/>
  <c r="O147" i="7"/>
  <c r="M18" i="26" s="1"/>
  <c r="O138" i="7"/>
  <c r="K18" i="8" s="1"/>
  <c r="N243" i="7"/>
  <c r="M383" i="7"/>
  <c r="M188" i="7"/>
  <c r="P367" i="7"/>
  <c r="P241" i="7" s="1"/>
  <c r="P76" i="7"/>
  <c r="P129" i="7" s="1"/>
  <c r="N19" i="26" s="1"/>
  <c r="O367" i="7"/>
  <c r="O241" i="7" s="1"/>
  <c r="K40" i="8" s="1"/>
  <c r="K52" i="8" s="1"/>
  <c r="O363" i="7"/>
  <c r="O223" i="7" s="1"/>
  <c r="K38" i="8" s="1"/>
  <c r="K50" i="8" s="1"/>
  <c r="N370" i="7"/>
  <c r="N371" i="7" s="1"/>
  <c r="K10" i="25" s="1"/>
  <c r="O366" i="7"/>
  <c r="O227" i="7" s="1"/>
  <c r="O368" i="7"/>
  <c r="O242" i="7" s="1"/>
  <c r="O364" i="7"/>
  <c r="O224" i="7" s="1"/>
  <c r="O365" i="7"/>
  <c r="O226" i="7" s="1"/>
  <c r="J17" i="25" l="1"/>
  <c r="J27" i="25" s="1"/>
  <c r="K11" i="25"/>
  <c r="K39" i="8"/>
  <c r="K51" i="8" s="1"/>
  <c r="K53" i="8" s="1"/>
  <c r="K13" i="25"/>
  <c r="K15" i="25" s="1"/>
  <c r="L20" i="26"/>
  <c r="N11" i="26"/>
  <c r="N17" i="26"/>
  <c r="N14" i="26"/>
  <c r="N16" i="26"/>
  <c r="N15" i="26"/>
  <c r="N8" i="26"/>
  <c r="N10" i="26"/>
  <c r="L40" i="8"/>
  <c r="L52" i="8" s="1"/>
  <c r="L19" i="8"/>
  <c r="P145" i="7"/>
  <c r="L26" i="8" s="1"/>
  <c r="N154" i="7"/>
  <c r="J21" i="8" s="1"/>
  <c r="J12" i="8"/>
  <c r="O148" i="7"/>
  <c r="K20" i="8" s="1"/>
  <c r="K11" i="8"/>
  <c r="P151" i="7"/>
  <c r="L27" i="8" s="1"/>
  <c r="O382" i="7"/>
  <c r="O153" i="7"/>
  <c r="P135" i="7"/>
  <c r="P137" i="7"/>
  <c r="P130" i="7"/>
  <c r="L9" i="8" s="1"/>
  <c r="O243" i="7"/>
  <c r="N383" i="7"/>
  <c r="N188" i="7"/>
  <c r="P79" i="7"/>
  <c r="P351" i="7"/>
  <c r="P366" i="7" s="1"/>
  <c r="P227" i="7" s="1"/>
  <c r="O370" i="7"/>
  <c r="O371" i="7" s="1"/>
  <c r="L10" i="25" s="1"/>
  <c r="L11" i="25" l="1"/>
  <c r="K17" i="25"/>
  <c r="K27" i="25" s="1"/>
  <c r="L13" i="25"/>
  <c r="L15" i="25" s="1"/>
  <c r="M20" i="26"/>
  <c r="L10" i="8"/>
  <c r="O10" i="8" s="1"/>
  <c r="N12" i="26"/>
  <c r="N40" i="8"/>
  <c r="O40" i="8"/>
  <c r="N52" i="8"/>
  <c r="O52" i="8"/>
  <c r="N26" i="8"/>
  <c r="O26" i="8"/>
  <c r="N27" i="8"/>
  <c r="O27" i="8"/>
  <c r="N19" i="8"/>
  <c r="O19" i="8"/>
  <c r="N9" i="8"/>
  <c r="O9" i="8"/>
  <c r="L25" i="8"/>
  <c r="L38" i="8"/>
  <c r="O38" i="8" s="1"/>
  <c r="O154" i="7"/>
  <c r="K21" i="8" s="1"/>
  <c r="K12" i="8"/>
  <c r="P147" i="7"/>
  <c r="N18" i="26" s="1"/>
  <c r="P138" i="7"/>
  <c r="L18" i="8" s="1"/>
  <c r="O383" i="7"/>
  <c r="O188" i="7"/>
  <c r="P365" i="7"/>
  <c r="P226" i="7" s="1"/>
  <c r="P364" i="7"/>
  <c r="P224" i="7" s="1"/>
  <c r="P368" i="7"/>
  <c r="P242" i="7" s="1"/>
  <c r="L17" i="25" l="1"/>
  <c r="L27" i="25" s="1"/>
  <c r="P243" i="7"/>
  <c r="L39" i="8"/>
  <c r="O39" i="8" s="1"/>
  <c r="N10" i="8"/>
  <c r="N25" i="8"/>
  <c r="O25" i="8"/>
  <c r="N18" i="8"/>
  <c r="O18" i="8"/>
  <c r="L50" i="8"/>
  <c r="N38" i="8"/>
  <c r="P148" i="7"/>
  <c r="L20" i="8" s="1"/>
  <c r="L11" i="8"/>
  <c r="P382" i="7"/>
  <c r="P153" i="7"/>
  <c r="P370" i="7"/>
  <c r="P371" i="7" s="1"/>
  <c r="M10" i="25" s="1"/>
  <c r="M11" i="25" l="1"/>
  <c r="N39" i="8"/>
  <c r="L51" i="8"/>
  <c r="O51" i="8" s="1"/>
  <c r="M13" i="25"/>
  <c r="M15" i="25" s="1"/>
  <c r="N20" i="26"/>
  <c r="N50" i="8"/>
  <c r="O50" i="8"/>
  <c r="N20" i="8"/>
  <c r="O20" i="8"/>
  <c r="N11" i="8"/>
  <c r="O11" i="8"/>
  <c r="P154" i="7"/>
  <c r="L21" i="8" s="1"/>
  <c r="L12" i="8"/>
  <c r="P383" i="7"/>
  <c r="P188" i="7"/>
  <c r="M17" i="25" l="1"/>
  <c r="M27" i="25" s="1"/>
  <c r="N51" i="8"/>
  <c r="L53" i="8"/>
  <c r="N53" i="8" s="1"/>
  <c r="N21" i="8"/>
  <c r="O21" i="8"/>
  <c r="N12" i="8"/>
  <c r="O12" i="8"/>
  <c r="M19" i="25" l="1"/>
  <c r="M20" i="25"/>
  <c r="O53" i="8"/>
  <c r="J420" i="7"/>
  <c r="J289" i="7" s="1"/>
  <c r="J290" i="7" s="1"/>
  <c r="J291" i="7" s="1"/>
  <c r="K287" i="7" s="1"/>
  <c r="J293" i="7" l="1"/>
  <c r="J233" i="7"/>
  <c r="J297" i="7"/>
  <c r="J423" i="7"/>
  <c r="J421" i="7"/>
  <c r="J422" i="7" s="1"/>
  <c r="J386" i="7" s="1"/>
  <c r="J388" i="7" s="1"/>
  <c r="J300" i="7" l="1"/>
  <c r="J439" i="7"/>
  <c r="J440" i="7" s="1"/>
  <c r="J446" i="7" s="1"/>
  <c r="J447" i="7" s="1"/>
  <c r="J451" i="7" s="1"/>
  <c r="K450" i="7" s="1"/>
  <c r="J441" i="7" l="1"/>
  <c r="K438" i="7" s="1"/>
  <c r="J448" i="7"/>
  <c r="K453" i="7" s="1"/>
  <c r="K384" i="7" s="1"/>
  <c r="K386" i="7" s="1"/>
  <c r="K388" i="7" s="1"/>
  <c r="K393" i="7" s="1"/>
  <c r="J187" i="7"/>
  <c r="J190" i="7" s="1"/>
  <c r="G11" i="27" s="1"/>
  <c r="G14" i="27" s="1"/>
  <c r="F57" i="8"/>
  <c r="F55" i="8"/>
  <c r="J230" i="7"/>
  <c r="K296" i="7"/>
  <c r="K440" i="7"/>
  <c r="K446" i="7" s="1"/>
  <c r="K447" i="7" s="1"/>
  <c r="K451" i="7" s="1"/>
  <c r="J232" i="7" l="1"/>
  <c r="J206" i="7"/>
  <c r="J207" i="7" s="1"/>
  <c r="J209" i="7" s="1"/>
  <c r="J211" i="7" s="1"/>
  <c r="K300" i="7"/>
  <c r="K419" i="7"/>
  <c r="K420" i="7" s="1"/>
  <c r="K249" i="7"/>
  <c r="L450" i="7"/>
  <c r="K394" i="7"/>
  <c r="K200" i="7"/>
  <c r="K207" i="7" s="1"/>
  <c r="K412" i="7"/>
  <c r="K413" i="7" s="1"/>
  <c r="L411" i="7" s="1"/>
  <c r="K441" i="7"/>
  <c r="L438" i="7" s="1"/>
  <c r="K210" i="7" l="1"/>
  <c r="J213" i="7"/>
  <c r="J235" i="7"/>
  <c r="K289" i="7"/>
  <c r="K291" i="7" s="1"/>
  <c r="K421" i="7"/>
  <c r="K230" i="7"/>
  <c r="K232" i="7" s="1"/>
  <c r="L296" i="7"/>
  <c r="L300" i="7" s="1"/>
  <c r="L440" i="7"/>
  <c r="L446" i="7" s="1"/>
  <c r="L447" i="7" s="1"/>
  <c r="L451" i="7" s="1"/>
  <c r="L415" i="7"/>
  <c r="K245" i="7"/>
  <c r="L391" i="7"/>
  <c r="K425" i="7"/>
  <c r="K423" i="7" l="1"/>
  <c r="J237" i="7"/>
  <c r="F37" i="8"/>
  <c r="K422" i="7"/>
  <c r="K156" i="7"/>
  <c r="H12" i="27" s="1"/>
  <c r="K233" i="7"/>
  <c r="K235" i="7" s="1"/>
  <c r="G37" i="8" s="1"/>
  <c r="L287" i="7"/>
  <c r="L419" i="7" s="1"/>
  <c r="M296" i="7"/>
  <c r="M300" i="7" s="1"/>
  <c r="L230" i="7"/>
  <c r="L232" i="7" s="1"/>
  <c r="G47" i="8"/>
  <c r="L441" i="7"/>
  <c r="M438" i="7" s="1"/>
  <c r="M440" i="7" s="1"/>
  <c r="M446" i="7" s="1"/>
  <c r="M447" i="7" s="1"/>
  <c r="L249" i="7"/>
  <c r="M450" i="7"/>
  <c r="L396" i="7"/>
  <c r="L418" i="7" s="1"/>
  <c r="H65" i="26" l="1"/>
  <c r="H56" i="26"/>
  <c r="H36" i="26"/>
  <c r="H48" i="26"/>
  <c r="H66" i="26"/>
  <c r="H52" i="26"/>
  <c r="H54" i="26"/>
  <c r="H51" i="26"/>
  <c r="H68" i="26"/>
  <c r="H58" i="26"/>
  <c r="H38" i="26"/>
  <c r="H45" i="26"/>
  <c r="H57" i="26"/>
  <c r="H37" i="26"/>
  <c r="H42" i="26"/>
  <c r="H64" i="26"/>
  <c r="H59" i="26"/>
  <c r="H39" i="26"/>
  <c r="H35" i="26"/>
  <c r="H53" i="26"/>
  <c r="H34" i="26"/>
  <c r="H60" i="26"/>
  <c r="H44" i="26"/>
  <c r="H41" i="26"/>
  <c r="H43" i="26"/>
  <c r="F30" i="8"/>
  <c r="F36" i="8"/>
  <c r="F56" i="8"/>
  <c r="J250" i="7"/>
  <c r="I21" i="26"/>
  <c r="H46" i="26"/>
  <c r="M441" i="7"/>
  <c r="N438" i="7" s="1"/>
  <c r="N440" i="7" s="1"/>
  <c r="N446" i="7" s="1"/>
  <c r="N447" i="7" s="1"/>
  <c r="M230" i="7"/>
  <c r="M232" i="7" s="1"/>
  <c r="N296" i="7"/>
  <c r="N300" i="7" s="1"/>
  <c r="G46" i="8"/>
  <c r="K157" i="7"/>
  <c r="K186" i="7"/>
  <c r="K159" i="7"/>
  <c r="I22" i="26" s="1"/>
  <c r="M451" i="7"/>
  <c r="L420" i="7"/>
  <c r="L205" i="7"/>
  <c r="L385" i="7"/>
  <c r="N441" i="7" l="1"/>
  <c r="O438" i="7" s="1"/>
  <c r="O440" i="7" s="1"/>
  <c r="O446" i="7" s="1"/>
  <c r="O447" i="7" s="1"/>
  <c r="H61" i="26"/>
  <c r="K250" i="7"/>
  <c r="J251" i="7"/>
  <c r="N230" i="7"/>
  <c r="N232" i="7" s="1"/>
  <c r="O296" i="7"/>
  <c r="O300" i="7" s="1"/>
  <c r="K444" i="7"/>
  <c r="K445" i="7" s="1"/>
  <c r="K187" i="7" s="1"/>
  <c r="G13" i="8"/>
  <c r="K160" i="7"/>
  <c r="L289" i="7"/>
  <c r="L291" i="7" s="1"/>
  <c r="L421" i="7"/>
  <c r="L422" i="7" s="1"/>
  <c r="N450" i="7"/>
  <c r="N451" i="7" s="1"/>
  <c r="M249" i="7"/>
  <c r="H62" i="26" l="1"/>
  <c r="F32" i="8"/>
  <c r="G28" i="25" s="1"/>
  <c r="G30" i="25" s="1"/>
  <c r="F45" i="8"/>
  <c r="J259" i="7"/>
  <c r="L250" i="7"/>
  <c r="M250" i="7" s="1"/>
  <c r="N250" i="7" s="1"/>
  <c r="O250" i="7" s="1"/>
  <c r="P250" i="7" s="1"/>
  <c r="K251" i="7"/>
  <c r="G32" i="8" s="1"/>
  <c r="H28" i="25" s="1"/>
  <c r="H30" i="25" s="1"/>
  <c r="K162" i="7"/>
  <c r="I23" i="26" s="1"/>
  <c r="K448" i="7"/>
  <c r="L453" i="7" s="1"/>
  <c r="L384" i="7" s="1"/>
  <c r="L386" i="7" s="1"/>
  <c r="L388" i="7" s="1"/>
  <c r="L393" i="7" s="1"/>
  <c r="L412" i="7" s="1"/>
  <c r="L413" i="7" s="1"/>
  <c r="M411" i="7" s="1"/>
  <c r="P296" i="7"/>
  <c r="P300" i="7" s="1"/>
  <c r="P230" i="7" s="1"/>
  <c r="P232" i="7" s="1"/>
  <c r="O230" i="7"/>
  <c r="O232" i="7" s="1"/>
  <c r="L156" i="7"/>
  <c r="I12" i="27" s="1"/>
  <c r="M287" i="7"/>
  <c r="L233" i="7"/>
  <c r="L423" i="7"/>
  <c r="O441" i="7"/>
  <c r="P438" i="7" s="1"/>
  <c r="O450" i="7"/>
  <c r="O451" i="7" s="1"/>
  <c r="N249" i="7"/>
  <c r="J261" i="7" l="1"/>
  <c r="H70" i="26"/>
  <c r="L235" i="7"/>
  <c r="H37" i="8" s="1"/>
  <c r="L186" i="7"/>
  <c r="J21" i="26"/>
  <c r="L200" i="7"/>
  <c r="L207" i="7" s="1"/>
  <c r="L394" i="7"/>
  <c r="M391" i="7" s="1"/>
  <c r="K163" i="7"/>
  <c r="K165" i="7"/>
  <c r="I24" i="26" s="1"/>
  <c r="L159" i="7"/>
  <c r="H46" i="8"/>
  <c r="L157" i="7"/>
  <c r="M419" i="7"/>
  <c r="M415" i="7"/>
  <c r="P450" i="7"/>
  <c r="O249" i="7"/>
  <c r="P440" i="7"/>
  <c r="P446" i="7" s="1"/>
  <c r="P447" i="7" s="1"/>
  <c r="L160" i="7" l="1"/>
  <c r="J22" i="26"/>
  <c r="L425" i="7"/>
  <c r="L245" i="7"/>
  <c r="K473" i="7"/>
  <c r="G14" i="8"/>
  <c r="K166" i="7"/>
  <c r="G22" i="8" s="1"/>
  <c r="K184" i="7"/>
  <c r="K190" i="7" s="1"/>
  <c r="H11" i="27" s="1"/>
  <c r="H14" i="27" s="1"/>
  <c r="H13" i="8"/>
  <c r="L444" i="7"/>
  <c r="L445" i="7" s="1"/>
  <c r="L187" i="7" s="1"/>
  <c r="M396" i="7"/>
  <c r="M418" i="7" s="1"/>
  <c r="P441" i="7"/>
  <c r="P451" i="7"/>
  <c r="P249" i="7" s="1"/>
  <c r="L162" i="7" l="1"/>
  <c r="J23" i="26" s="1"/>
  <c r="H47" i="8"/>
  <c r="L251" i="7"/>
  <c r="H32" i="8" s="1"/>
  <c r="G57" i="8"/>
  <c r="G55" i="8"/>
  <c r="K209" i="7"/>
  <c r="K211" i="7" s="1"/>
  <c r="K167" i="7"/>
  <c r="K168" i="7" s="1"/>
  <c r="K474" i="7"/>
  <c r="L448" i="7"/>
  <c r="M453" i="7" s="1"/>
  <c r="M384" i="7" s="1"/>
  <c r="M205" i="7"/>
  <c r="M420" i="7"/>
  <c r="M385" i="7"/>
  <c r="L165" i="7" l="1"/>
  <c r="L163" i="7"/>
  <c r="I28" i="25"/>
  <c r="I30" i="25" s="1"/>
  <c r="L472" i="7"/>
  <c r="K257" i="7"/>
  <c r="K172" i="7"/>
  <c r="K173" i="7" s="1"/>
  <c r="G15" i="8" s="1"/>
  <c r="K466" i="7"/>
  <c r="K469" i="7" s="1"/>
  <c r="K213" i="7"/>
  <c r="K225" i="7"/>
  <c r="L210" i="7"/>
  <c r="M386" i="7"/>
  <c r="M388" i="7" s="1"/>
  <c r="M393" i="7" s="1"/>
  <c r="M289" i="7"/>
  <c r="M291" i="7" s="1"/>
  <c r="M421" i="7"/>
  <c r="J24" i="26" l="1"/>
  <c r="H14" i="8"/>
  <c r="L166" i="7"/>
  <c r="H22" i="8" s="1"/>
  <c r="L473" i="7"/>
  <c r="L474" i="7" s="1"/>
  <c r="L184" i="7"/>
  <c r="L190" i="7" s="1"/>
  <c r="L209" i="7" s="1"/>
  <c r="L211" i="7" s="1"/>
  <c r="L225" i="7" s="1"/>
  <c r="K228" i="7"/>
  <c r="K254" i="7"/>
  <c r="L465" i="7"/>
  <c r="N287" i="7"/>
  <c r="M233" i="7"/>
  <c r="M423" i="7"/>
  <c r="M200" i="7"/>
  <c r="M207" i="7" s="1"/>
  <c r="M394" i="7"/>
  <c r="M156" i="7"/>
  <c r="J12" i="27" s="1"/>
  <c r="M422" i="7"/>
  <c r="M412" i="7"/>
  <c r="M413" i="7" s="1"/>
  <c r="N411" i="7" s="1"/>
  <c r="L167" i="7" l="1"/>
  <c r="L168" i="7" s="1"/>
  <c r="I11" i="27"/>
  <c r="I14" i="27" s="1"/>
  <c r="H57" i="8"/>
  <c r="H55" i="8"/>
  <c r="K255" i="7"/>
  <c r="G31" i="8" s="1"/>
  <c r="L228" i="7"/>
  <c r="L237" i="7" s="1"/>
  <c r="J64" i="26" s="1"/>
  <c r="K237" i="7"/>
  <c r="I39" i="26" s="1"/>
  <c r="M235" i="7"/>
  <c r="I37" i="8" s="1"/>
  <c r="I46" i="8"/>
  <c r="K21" i="26"/>
  <c r="L213" i="7"/>
  <c r="M210" i="7"/>
  <c r="N419" i="7"/>
  <c r="M159" i="7"/>
  <c r="K22" i="26" s="1"/>
  <c r="M157" i="7"/>
  <c r="M186" i="7"/>
  <c r="L257" i="7"/>
  <c r="M472" i="7"/>
  <c r="M425" i="7"/>
  <c r="N391" i="7"/>
  <c r="M245" i="7"/>
  <c r="N415" i="7"/>
  <c r="L466" i="7" l="1"/>
  <c r="L469" i="7" s="1"/>
  <c r="L172" i="7"/>
  <c r="L173" i="7" s="1"/>
  <c r="H15" i="8" s="1"/>
  <c r="G33" i="8"/>
  <c r="G43" i="8"/>
  <c r="G44" i="8"/>
  <c r="J68" i="26"/>
  <c r="I64" i="26"/>
  <c r="I68" i="26"/>
  <c r="I65" i="26"/>
  <c r="K259" i="7"/>
  <c r="I66" i="26"/>
  <c r="I59" i="26"/>
  <c r="I58" i="26"/>
  <c r="I57" i="26"/>
  <c r="I61" i="26"/>
  <c r="I60" i="26"/>
  <c r="I56" i="26"/>
  <c r="I62" i="26"/>
  <c r="J58" i="26"/>
  <c r="J57" i="26"/>
  <c r="J61" i="26"/>
  <c r="J60" i="26"/>
  <c r="J59" i="26"/>
  <c r="J56" i="26"/>
  <c r="J62" i="26"/>
  <c r="J52" i="26"/>
  <c r="J51" i="26"/>
  <c r="J53" i="26"/>
  <c r="J54" i="26"/>
  <c r="I51" i="26"/>
  <c r="I52" i="26"/>
  <c r="I53" i="26"/>
  <c r="I54" i="26"/>
  <c r="I34" i="26"/>
  <c r="I38" i="26"/>
  <c r="I37" i="26"/>
  <c r="I35" i="26"/>
  <c r="I44" i="26"/>
  <c r="I36" i="26"/>
  <c r="G45" i="8"/>
  <c r="I48" i="26"/>
  <c r="G36" i="8"/>
  <c r="I43" i="26"/>
  <c r="I42" i="26"/>
  <c r="G56" i="8"/>
  <c r="I41" i="26"/>
  <c r="I46" i="26"/>
  <c r="I45" i="26"/>
  <c r="G30" i="8"/>
  <c r="J34" i="26"/>
  <c r="J37" i="26"/>
  <c r="J35" i="26"/>
  <c r="J38" i="26"/>
  <c r="J36" i="26"/>
  <c r="J39" i="26"/>
  <c r="J42" i="26"/>
  <c r="J41" i="26"/>
  <c r="J45" i="26"/>
  <c r="J43" i="26"/>
  <c r="J44" i="26"/>
  <c r="J46" i="26"/>
  <c r="H45" i="8"/>
  <c r="J48" i="26"/>
  <c r="I47" i="8"/>
  <c r="H56" i="8"/>
  <c r="N396" i="7"/>
  <c r="N418" i="7" s="1"/>
  <c r="H36" i="8"/>
  <c r="H30" i="8"/>
  <c r="I13" i="8"/>
  <c r="M444" i="7"/>
  <c r="M445" i="7" s="1"/>
  <c r="M187" i="7" s="1"/>
  <c r="M160" i="7"/>
  <c r="M251" i="7"/>
  <c r="I32" i="8" s="1"/>
  <c r="M465" i="7" l="1"/>
  <c r="L254" i="7"/>
  <c r="K261" i="7"/>
  <c r="I70" i="26"/>
  <c r="J28" i="25"/>
  <c r="J30" i="25" s="1"/>
  <c r="N385" i="7"/>
  <c r="N205" i="7"/>
  <c r="N420" i="7"/>
  <c r="M448" i="7"/>
  <c r="N453" i="7" s="1"/>
  <c r="N384" i="7" s="1"/>
  <c r="M162" i="7"/>
  <c r="K23" i="26" s="1"/>
  <c r="J65" i="26" l="1"/>
  <c r="L255" i="7"/>
  <c r="H44" i="8" s="1"/>
  <c r="N289" i="7"/>
  <c r="N291" i="7" s="1"/>
  <c r="N386" i="7"/>
  <c r="N388" i="7" s="1"/>
  <c r="N393" i="7" s="1"/>
  <c r="N421" i="7"/>
  <c r="M163" i="7"/>
  <c r="M165" i="7"/>
  <c r="K24" i="26" s="1"/>
  <c r="H31" i="8" l="1"/>
  <c r="H33" i="8"/>
  <c r="L259" i="7"/>
  <c r="J66" i="26"/>
  <c r="H43" i="8"/>
  <c r="N233" i="7"/>
  <c r="O287" i="7"/>
  <c r="N423" i="7"/>
  <c r="N156" i="7"/>
  <c r="K12" i="27" s="1"/>
  <c r="N422" i="7"/>
  <c r="M473" i="7"/>
  <c r="I14" i="8"/>
  <c r="M166" i="7"/>
  <c r="I22" i="8" s="1"/>
  <c r="M184" i="7"/>
  <c r="M190" i="7" s="1"/>
  <c r="N200" i="7"/>
  <c r="N207" i="7" s="1"/>
  <c r="N394" i="7"/>
  <c r="N412" i="7"/>
  <c r="N413" i="7" s="1"/>
  <c r="O411" i="7" s="1"/>
  <c r="J70" i="26" l="1"/>
  <c r="L261" i="7"/>
  <c r="I57" i="8"/>
  <c r="J11" i="27"/>
  <c r="J14" i="27" s="1"/>
  <c r="N235" i="7"/>
  <c r="J37" i="8" s="1"/>
  <c r="J46" i="8"/>
  <c r="L21" i="26"/>
  <c r="M209" i="7"/>
  <c r="M211" i="7" s="1"/>
  <c r="N210" i="7" s="1"/>
  <c r="I55" i="8"/>
  <c r="O419" i="7"/>
  <c r="O415" i="7"/>
  <c r="M167" i="7"/>
  <c r="M168" i="7" s="1"/>
  <c r="M474" i="7"/>
  <c r="N425" i="7"/>
  <c r="O391" i="7"/>
  <c r="N245" i="7"/>
  <c r="N186" i="7"/>
  <c r="N159" i="7"/>
  <c r="L22" i="26" s="1"/>
  <c r="N157" i="7"/>
  <c r="M225" i="7" l="1"/>
  <c r="M213" i="7"/>
  <c r="J47" i="8"/>
  <c r="M257" i="7"/>
  <c r="N472" i="7"/>
  <c r="J13" i="8"/>
  <c r="N160" i="7"/>
  <c r="N444" i="7"/>
  <c r="N445" i="7" s="1"/>
  <c r="N187" i="7" s="1"/>
  <c r="O396" i="7"/>
  <c r="O418" i="7" s="1"/>
  <c r="M466" i="7"/>
  <c r="M469" i="7" s="1"/>
  <c r="M172" i="7"/>
  <c r="M173" i="7" s="1"/>
  <c r="I15" i="8" s="1"/>
  <c r="N251" i="7"/>
  <c r="J32" i="8" s="1"/>
  <c r="K28" i="25" l="1"/>
  <c r="K30" i="25" s="1"/>
  <c r="M228" i="7"/>
  <c r="M254" i="7"/>
  <c r="N465" i="7"/>
  <c r="O205" i="7"/>
  <c r="O420" i="7"/>
  <c r="O385" i="7"/>
  <c r="N162" i="7"/>
  <c r="L23" i="26" s="1"/>
  <c r="N448" i="7"/>
  <c r="O453" i="7" s="1"/>
  <c r="O384" i="7" s="1"/>
  <c r="M255" i="7" l="1"/>
  <c r="I33" i="8" s="1"/>
  <c r="M237" i="7"/>
  <c r="K39" i="26" s="1"/>
  <c r="O289" i="7"/>
  <c r="O291" i="7" s="1"/>
  <c r="O386" i="7"/>
  <c r="O388" i="7" s="1"/>
  <c r="O393" i="7" s="1"/>
  <c r="N163" i="7"/>
  <c r="N165" i="7"/>
  <c r="L24" i="26" s="1"/>
  <c r="O421" i="7"/>
  <c r="I43" i="8" l="1"/>
  <c r="I44" i="8"/>
  <c r="I31" i="8"/>
  <c r="K64" i="26"/>
  <c r="K68" i="26"/>
  <c r="K65" i="26"/>
  <c r="M259" i="7"/>
  <c r="K66" i="26"/>
  <c r="K57" i="26"/>
  <c r="K61" i="26"/>
  <c r="K60" i="26"/>
  <c r="K59" i="26"/>
  <c r="K58" i="26"/>
  <c r="K56" i="26"/>
  <c r="K62" i="26"/>
  <c r="K52" i="26"/>
  <c r="K51" i="26"/>
  <c r="K53" i="26"/>
  <c r="K54" i="26"/>
  <c r="K34" i="26"/>
  <c r="K38" i="26"/>
  <c r="K37" i="26"/>
  <c r="K35" i="26"/>
  <c r="I45" i="8"/>
  <c r="K45" i="26"/>
  <c r="I30" i="8"/>
  <c r="K36" i="26"/>
  <c r="K48" i="26"/>
  <c r="I56" i="8"/>
  <c r="K43" i="26"/>
  <c r="K42" i="26"/>
  <c r="K41" i="26"/>
  <c r="I36" i="8"/>
  <c r="K44" i="26"/>
  <c r="K46" i="26"/>
  <c r="P287" i="7"/>
  <c r="O233" i="7"/>
  <c r="O423" i="7"/>
  <c r="O200" i="7"/>
  <c r="O207" i="7" s="1"/>
  <c r="O394" i="7"/>
  <c r="O156" i="7"/>
  <c r="L12" i="27" s="1"/>
  <c r="O422" i="7"/>
  <c r="J14" i="8"/>
  <c r="N473" i="7"/>
  <c r="N166" i="7"/>
  <c r="J22" i="8" s="1"/>
  <c r="N184" i="7"/>
  <c r="N190" i="7" s="1"/>
  <c r="O412" i="7"/>
  <c r="O413" i="7" s="1"/>
  <c r="P411" i="7" s="1"/>
  <c r="J57" i="8" l="1"/>
  <c r="K11" i="27"/>
  <c r="K14" i="27" s="1"/>
  <c r="M261" i="7"/>
  <c r="K70" i="26"/>
  <c r="O235" i="7"/>
  <c r="K46" i="8"/>
  <c r="M21" i="26"/>
  <c r="N209" i="7"/>
  <c r="N211" i="7" s="1"/>
  <c r="O210" i="7" s="1"/>
  <c r="J55" i="8"/>
  <c r="P419" i="7"/>
  <c r="P391" i="7"/>
  <c r="O425" i="7"/>
  <c r="O245" i="7"/>
  <c r="N167" i="7"/>
  <c r="N168" i="7" s="1"/>
  <c r="N474" i="7"/>
  <c r="P415" i="7"/>
  <c r="O186" i="7"/>
  <c r="O157" i="7"/>
  <c r="O159" i="7"/>
  <c r="M22" i="26" s="1"/>
  <c r="K37" i="8" l="1"/>
  <c r="N225" i="7"/>
  <c r="N213" i="7"/>
  <c r="K47" i="8"/>
  <c r="N172" i="7"/>
  <c r="N173" i="7" s="1"/>
  <c r="J15" i="8" s="1"/>
  <c r="N466" i="7"/>
  <c r="N469" i="7" s="1"/>
  <c r="N257" i="7"/>
  <c r="O472" i="7"/>
  <c r="O444" i="7"/>
  <c r="O445" i="7" s="1"/>
  <c r="O187" i="7" s="1"/>
  <c r="O160" i="7"/>
  <c r="K13" i="8"/>
  <c r="O251" i="7"/>
  <c r="K32" i="8" s="1"/>
  <c r="P396" i="7"/>
  <c r="P418" i="7" s="1"/>
  <c r="L28" i="25" l="1"/>
  <c r="L30" i="25" s="1"/>
  <c r="N228" i="7"/>
  <c r="P385" i="7"/>
  <c r="P205" i="7"/>
  <c r="P420" i="7"/>
  <c r="O465" i="7"/>
  <c r="N254" i="7"/>
  <c r="O448" i="7"/>
  <c r="P453" i="7" s="1"/>
  <c r="P384" i="7" s="1"/>
  <c r="O162" i="7"/>
  <c r="M23" i="26" s="1"/>
  <c r="N255" i="7" l="1"/>
  <c r="J33" i="8" s="1"/>
  <c r="N237" i="7"/>
  <c r="L39" i="26" s="1"/>
  <c r="P386" i="7"/>
  <c r="P388" i="7" s="1"/>
  <c r="P393" i="7" s="1"/>
  <c r="P289" i="7"/>
  <c r="P291" i="7" s="1"/>
  <c r="P233" i="7" s="1"/>
  <c r="P421" i="7"/>
  <c r="O163" i="7"/>
  <c r="O165" i="7"/>
  <c r="M24" i="26" s="1"/>
  <c r="J43" i="8" l="1"/>
  <c r="J44" i="8"/>
  <c r="N259" i="7"/>
  <c r="N261" i="7" s="1"/>
  <c r="J31" i="8"/>
  <c r="L64" i="26"/>
  <c r="L68" i="26"/>
  <c r="L65" i="26"/>
  <c r="L66" i="26"/>
  <c r="L61" i="26"/>
  <c r="L59" i="26"/>
  <c r="L58" i="26"/>
  <c r="L57" i="26"/>
  <c r="L60" i="26"/>
  <c r="L56" i="26"/>
  <c r="L62" i="26"/>
  <c r="L52" i="26"/>
  <c r="L51" i="26"/>
  <c r="L53" i="26"/>
  <c r="L54" i="26"/>
  <c r="L34" i="26"/>
  <c r="L38" i="26"/>
  <c r="L37" i="26"/>
  <c r="L35" i="26"/>
  <c r="L36" i="26"/>
  <c r="L48" i="26"/>
  <c r="L42" i="26"/>
  <c r="L41" i="26"/>
  <c r="J36" i="8"/>
  <c r="L45" i="26"/>
  <c r="J56" i="8"/>
  <c r="L43" i="26"/>
  <c r="L46" i="26"/>
  <c r="J30" i="8"/>
  <c r="J45" i="8"/>
  <c r="L44" i="26"/>
  <c r="P235" i="7"/>
  <c r="P423" i="7"/>
  <c r="O473" i="7"/>
  <c r="O166" i="7"/>
  <c r="K22" i="8" s="1"/>
  <c r="O184" i="7"/>
  <c r="O190" i="7" s="1"/>
  <c r="K14" i="8"/>
  <c r="P422" i="7"/>
  <c r="P156" i="7"/>
  <c r="M12" i="27" s="1"/>
  <c r="P200" i="7"/>
  <c r="P207" i="7" s="1"/>
  <c r="P394" i="7"/>
  <c r="P412" i="7"/>
  <c r="P413" i="7" s="1"/>
  <c r="L70" i="26" l="1"/>
  <c r="K57" i="8"/>
  <c r="L11" i="27"/>
  <c r="L14" i="27" s="1"/>
  <c r="L37" i="8"/>
  <c r="L46" i="8"/>
  <c r="N46" i="8" s="1"/>
  <c r="N21" i="26"/>
  <c r="O209" i="7"/>
  <c r="O211" i="7" s="1"/>
  <c r="P210" i="7" s="1"/>
  <c r="K55" i="8"/>
  <c r="P159" i="7"/>
  <c r="N22" i="26" s="1"/>
  <c r="P157" i="7"/>
  <c r="P186" i="7"/>
  <c r="P425" i="7"/>
  <c r="P245" i="7"/>
  <c r="O167" i="7"/>
  <c r="O168" i="7" s="1"/>
  <c r="O474" i="7"/>
  <c r="N37" i="8" l="1"/>
  <c r="O37" i="8"/>
  <c r="O46" i="8"/>
  <c r="O213" i="7"/>
  <c r="O225" i="7"/>
  <c r="L47" i="8"/>
  <c r="P251" i="7"/>
  <c r="L32" i="8" s="1"/>
  <c r="P472" i="7"/>
  <c r="O257" i="7"/>
  <c r="O466" i="7"/>
  <c r="O469" i="7" s="1"/>
  <c r="O172" i="7"/>
  <c r="O173" i="7" s="1"/>
  <c r="K15" i="8" s="1"/>
  <c r="L13" i="8"/>
  <c r="P444" i="7"/>
  <c r="P445" i="7" s="1"/>
  <c r="P187" i="7" s="1"/>
  <c r="P160" i="7"/>
  <c r="M28" i="25" l="1"/>
  <c r="M30" i="25" s="1"/>
  <c r="M32" i="25" s="1"/>
  <c r="O228" i="7"/>
  <c r="N47" i="8"/>
  <c r="O47" i="8"/>
  <c r="N13" i="8"/>
  <c r="O13" i="8"/>
  <c r="P465" i="7"/>
  <c r="O254" i="7"/>
  <c r="P448" i="7"/>
  <c r="P162" i="7"/>
  <c r="N23" i="26" s="1"/>
  <c r="N32" i="8" l="1"/>
  <c r="O32" i="8"/>
  <c r="M33" i="25"/>
  <c r="O255" i="7"/>
  <c r="O259" i="7" s="1"/>
  <c r="O237" i="7"/>
  <c r="P163" i="7"/>
  <c r="P165" i="7"/>
  <c r="N24" i="26" s="1"/>
  <c r="K43" i="8" l="1"/>
  <c r="K44" i="8"/>
  <c r="K33" i="8"/>
  <c r="K31" i="8"/>
  <c r="O261" i="7"/>
  <c r="M70" i="26"/>
  <c r="M64" i="26"/>
  <c r="M68" i="26"/>
  <c r="M65" i="26"/>
  <c r="M66" i="26"/>
  <c r="M59" i="26"/>
  <c r="M61" i="26"/>
  <c r="M58" i="26"/>
  <c r="M57" i="26"/>
  <c r="M60" i="26"/>
  <c r="M56" i="26"/>
  <c r="M62" i="26"/>
  <c r="M39" i="26"/>
  <c r="M52" i="26"/>
  <c r="M51" i="26"/>
  <c r="M53" i="26"/>
  <c r="M54" i="26"/>
  <c r="M34" i="26"/>
  <c r="M37" i="26"/>
  <c r="M38" i="26"/>
  <c r="M35" i="26"/>
  <c r="K45" i="8"/>
  <c r="K30" i="8"/>
  <c r="M46" i="26"/>
  <c r="M36" i="26"/>
  <c r="M48" i="26"/>
  <c r="K56" i="8"/>
  <c r="M45" i="26"/>
  <c r="M42" i="26"/>
  <c r="K36" i="8"/>
  <c r="M44" i="26"/>
  <c r="M43" i="26"/>
  <c r="M41" i="26"/>
  <c r="P166" i="7"/>
  <c r="L22" i="8" s="1"/>
  <c r="P184" i="7"/>
  <c r="P190" i="7" s="1"/>
  <c r="P473" i="7"/>
  <c r="L14" i="8"/>
  <c r="L57" i="8" l="1"/>
  <c r="N57" i="8" s="1"/>
  <c r="M11" i="27"/>
  <c r="M14" i="27" s="1"/>
  <c r="D22" i="27" s="1"/>
  <c r="N22" i="8"/>
  <c r="O22" i="8"/>
  <c r="N14" i="8"/>
  <c r="O14" i="8"/>
  <c r="P209" i="7"/>
  <c r="P211" i="7" s="1"/>
  <c r="P213" i="7" s="1"/>
  <c r="L55" i="8"/>
  <c r="P167" i="7"/>
  <c r="P168" i="7" s="1"/>
  <c r="P474" i="7"/>
  <c r="P257" i="7" s="1"/>
  <c r="O57" i="8" l="1"/>
  <c r="N55" i="8"/>
  <c r="O55" i="8"/>
  <c r="P225" i="7"/>
  <c r="P172" i="7"/>
  <c r="P173" i="7" s="1"/>
  <c r="L15" i="8" s="1"/>
  <c r="P466" i="7"/>
  <c r="P469" i="7" s="1"/>
  <c r="P254" i="7" s="1"/>
  <c r="P255" i="7" l="1"/>
  <c r="L43" i="8" s="1"/>
  <c r="P228" i="7"/>
  <c r="N15" i="8"/>
  <c r="O15" i="8"/>
  <c r="P259" i="7" l="1"/>
  <c r="L31" i="8"/>
  <c r="N31" i="8" s="1"/>
  <c r="L44" i="8"/>
  <c r="O44" i="8" s="1"/>
  <c r="L33" i="8"/>
  <c r="O33" i="8" s="1"/>
  <c r="P237" i="7"/>
  <c r="N68" i="26" s="1"/>
  <c r="N43" i="8"/>
  <c r="O43" i="8"/>
  <c r="N44" i="8" l="1"/>
  <c r="G36" i="10" s="1"/>
  <c r="O31" i="8"/>
  <c r="N33" i="8"/>
  <c r="N39" i="26"/>
  <c r="N70" i="26"/>
  <c r="N64" i="26"/>
  <c r="N65" i="26"/>
  <c r="N66" i="26"/>
  <c r="N59" i="26"/>
  <c r="N61" i="26"/>
  <c r="N60" i="26"/>
  <c r="N58" i="26"/>
  <c r="N57" i="26"/>
  <c r="N56" i="26"/>
  <c r="N62" i="26"/>
  <c r="N51" i="26"/>
  <c r="N52" i="26"/>
  <c r="N53" i="26"/>
  <c r="N54" i="26"/>
  <c r="N34" i="26"/>
  <c r="N38" i="26"/>
  <c r="N37" i="26"/>
  <c r="N35" i="26"/>
  <c r="L45" i="8"/>
  <c r="L36" i="8"/>
  <c r="N45" i="26"/>
  <c r="L56" i="8"/>
  <c r="N36" i="26"/>
  <c r="N48" i="26"/>
  <c r="N43" i="26"/>
  <c r="L30" i="8"/>
  <c r="N42" i="26"/>
  <c r="N41" i="26"/>
  <c r="N44" i="26"/>
  <c r="N46" i="26"/>
  <c r="P261" i="7"/>
  <c r="G46" i="10" l="1"/>
  <c r="G37" i="10"/>
  <c r="N56" i="8"/>
  <c r="O56" i="8"/>
  <c r="O36" i="8"/>
  <c r="N36" i="8"/>
  <c r="N30" i="8"/>
  <c r="O30" i="8"/>
  <c r="N45" i="8"/>
  <c r="O45" i="8"/>
  <c r="G47" i="10" l="1"/>
  <c r="G39" i="10"/>
  <c r="M36" i="10" s="1"/>
  <c r="M38" i="10" s="1"/>
  <c r="M27" i="10" s="1"/>
  <c r="M28" i="10" s="1"/>
  <c r="F47" i="10" l="1"/>
  <c r="G48" i="10" s="1"/>
  <c r="I63" i="5" s="1"/>
  <c r="H63" i="5" l="1"/>
  <c r="J63" i="5"/>
  <c r="I64" i="5"/>
  <c r="I65" i="5"/>
  <c r="I61" i="5" l="1" a="1"/>
  <c r="J64" i="5"/>
  <c r="K64" i="5" s="1"/>
  <c r="H64" i="5"/>
  <c r="G64" i="5" s="1"/>
  <c r="G63" i="5"/>
  <c r="K63" i="5"/>
  <c r="J65" i="5"/>
  <c r="H65" i="5"/>
  <c r="K31" i="27" l="1"/>
  <c r="D8" i="27"/>
  <c r="K65" i="5"/>
  <c r="K61" i="5" s="1" a="1"/>
  <c r="M31" i="27" s="1"/>
  <c r="J61" i="5" a="1"/>
  <c r="L31" i="27" s="1"/>
  <c r="G65" i="5"/>
  <c r="G61" i="5" s="1" a="1"/>
  <c r="I31" i="27" s="1"/>
  <c r="H61" i="5" a="1"/>
  <c r="J31" i="27" s="1"/>
  <c r="I17" i="27" l="1"/>
  <c r="I19" i="27" s="1"/>
  <c r="H17" i="27"/>
  <c r="H19" i="27" s="1"/>
  <c r="M17" i="27"/>
  <c r="L17" i="27"/>
  <c r="L19" i="27" s="1"/>
  <c r="K17" i="27"/>
  <c r="K19" i="27" s="1"/>
  <c r="J17" i="27"/>
  <c r="J19" i="27" s="1"/>
  <c r="D23" i="27"/>
  <c r="D25" i="27" s="1"/>
  <c r="M19" i="27" l="1"/>
  <c r="E28" i="27" s="1"/>
  <c r="E29" i="27"/>
  <c r="E30" i="27" l="1"/>
  <c r="E34" i="27" s="1"/>
  <c r="E37" i="27" s="1"/>
  <c r="H31" i="27" l="1"/>
  <c r="E40" i="2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<sst xmlns="http://schemas.openxmlformats.org/spreadsheetml/2006/main" count="1229" uniqueCount="630">
  <si>
    <t>Financial Modeling - Practice</t>
  </si>
  <si>
    <t>Adani Power</t>
  </si>
  <si>
    <t>Inputs and Assumptions</t>
  </si>
  <si>
    <t>-</t>
  </si>
  <si>
    <t>First Year of Forecast in Financial Model:</t>
  </si>
  <si>
    <t>GENERAL</t>
  </si>
  <si>
    <t>Income Statement</t>
  </si>
  <si>
    <t>(₹ Crore)</t>
  </si>
  <si>
    <t>Revenue</t>
  </si>
  <si>
    <t>Sales</t>
  </si>
  <si>
    <t>Power and Fuel</t>
  </si>
  <si>
    <t>Other Mfr. Exp</t>
  </si>
  <si>
    <t>COGS</t>
  </si>
  <si>
    <t>Gross Profit</t>
  </si>
  <si>
    <t>SG&amp;A</t>
  </si>
  <si>
    <t>Employee Cost</t>
  </si>
  <si>
    <t>Selling and admin</t>
  </si>
  <si>
    <t>Other Expenses</t>
  </si>
  <si>
    <t>Other Income</t>
  </si>
  <si>
    <t>EBITDA</t>
  </si>
  <si>
    <t>Depreciation</t>
  </si>
  <si>
    <t>EBIT</t>
  </si>
  <si>
    <t>Interest</t>
  </si>
  <si>
    <t>EBT</t>
  </si>
  <si>
    <t>Tax</t>
  </si>
  <si>
    <t>Net Profit</t>
  </si>
  <si>
    <t>Balance Sheet</t>
  </si>
  <si>
    <t>Total Trade receivables</t>
  </si>
  <si>
    <t>Receivables over 6m</t>
  </si>
  <si>
    <t>Receivables under 6m</t>
  </si>
  <si>
    <t>Prov for Doubtful</t>
  </si>
  <si>
    <t>Cash Equivalents</t>
  </si>
  <si>
    <t>Loans n Advances</t>
  </si>
  <si>
    <t>Inventories</t>
  </si>
  <si>
    <t>Other asset items</t>
  </si>
  <si>
    <t>Total Current Assets</t>
  </si>
  <si>
    <t>Land</t>
  </si>
  <si>
    <t>Building</t>
  </si>
  <si>
    <t>Plant Machinery</t>
  </si>
  <si>
    <t>Equipments</t>
  </si>
  <si>
    <t>Computers</t>
  </si>
  <si>
    <t>Furniture n fittings</t>
  </si>
  <si>
    <t>Railway sidings</t>
  </si>
  <si>
    <t>Vehicles</t>
  </si>
  <si>
    <t>Intangible Assets</t>
  </si>
  <si>
    <t>Other fixed assets</t>
  </si>
  <si>
    <t>Gross Block</t>
  </si>
  <si>
    <t>Accumulated Depreciation</t>
  </si>
  <si>
    <t>Net Block</t>
  </si>
  <si>
    <t>Capital Work in Progress</t>
  </si>
  <si>
    <t>Investments</t>
  </si>
  <si>
    <t>Total Non-Current Asset</t>
  </si>
  <si>
    <t>Total Assets</t>
  </si>
  <si>
    <t>ASSETS</t>
  </si>
  <si>
    <t>LIABILITIES AND EQUITY</t>
  </si>
  <si>
    <t>Equity Share Capital</t>
  </si>
  <si>
    <t>Reserves</t>
  </si>
  <si>
    <t>Short term Borrowings</t>
  </si>
  <si>
    <t>Trade Payables</t>
  </si>
  <si>
    <t>Advance from Customers</t>
  </si>
  <si>
    <t>Long term Borrowings</t>
  </si>
  <si>
    <t>Preference Capital</t>
  </si>
  <si>
    <t>Lease Liabilities</t>
  </si>
  <si>
    <t>Other Borrowings</t>
  </si>
  <si>
    <t>Other liability items</t>
  </si>
  <si>
    <t>Non controlling int</t>
  </si>
  <si>
    <t>Total Current Liabilities</t>
  </si>
  <si>
    <t>Total Non-Current Liabilities</t>
  </si>
  <si>
    <t>Shareholder's Equity</t>
  </si>
  <si>
    <t>Total Liabilities and Equity</t>
  </si>
  <si>
    <t>Check</t>
  </si>
  <si>
    <t>Cash Flow Statement</t>
  </si>
  <si>
    <t>Operating Activities</t>
  </si>
  <si>
    <t>Net Income</t>
  </si>
  <si>
    <t>Depreciation &amp; Amortization</t>
  </si>
  <si>
    <t>Operating Cash Flow</t>
  </si>
  <si>
    <t>Investing Activities</t>
  </si>
  <si>
    <t>Other</t>
  </si>
  <si>
    <t>Investing Cash Flow</t>
  </si>
  <si>
    <t>Financing Activities</t>
  </si>
  <si>
    <t>Common Dividends</t>
  </si>
  <si>
    <t>Financing Cash Flow</t>
  </si>
  <si>
    <t>Interest Expenses</t>
  </si>
  <si>
    <t>Profit/Loss on sale of Fixed Assets</t>
  </si>
  <si>
    <t>Profit/Loss on sale of investments</t>
  </si>
  <si>
    <t>Interest Income</t>
  </si>
  <si>
    <t>Effect of Exchange Rate Change</t>
  </si>
  <si>
    <t>Provision &amp; Written Off</t>
  </si>
  <si>
    <t>Excess of cost over fair value of investments</t>
  </si>
  <si>
    <t>Bad debts irrecoverable written off</t>
  </si>
  <si>
    <t>Provision for doubtful debts &amp; advances</t>
  </si>
  <si>
    <t>Other Adjustments</t>
  </si>
  <si>
    <t>Changes In working Capital</t>
  </si>
  <si>
    <t>Purchase of Fixed Assets</t>
  </si>
  <si>
    <t>Sale of Fixed Assets</t>
  </si>
  <si>
    <t>Total CAPEX</t>
  </si>
  <si>
    <t>Term Debt Issuance</t>
  </si>
  <si>
    <t>Term Debt Repayment</t>
  </si>
  <si>
    <t>Proceeds from Share Capital</t>
  </si>
  <si>
    <t>Redemption of Shares Capital</t>
  </si>
  <si>
    <t>Interest Paid</t>
  </si>
  <si>
    <t>Other Financial Activities</t>
  </si>
  <si>
    <t>Net Cash Inflow / Outflow</t>
  </si>
  <si>
    <t>Tax Paid</t>
  </si>
  <si>
    <t>Opening Cash &amp; Cash Equivalents</t>
  </si>
  <si>
    <t>Effect of Foreign Exchange Fluctuations</t>
  </si>
  <si>
    <t>Closing Cash &amp; Cash Equivalent</t>
  </si>
  <si>
    <t>#</t>
  </si>
  <si>
    <t>Cash &amp; Cash Equivalent on Take over / Merger</t>
  </si>
  <si>
    <t>ADJUSTMENT</t>
  </si>
  <si>
    <t>revenue (domestic coal shortfall, carrying costs, late-payment surcharges).</t>
  </si>
  <si>
    <r>
      <t xml:space="preserve">FY'24 Total income includes </t>
    </r>
    <r>
      <rPr>
        <b/>
        <sz val="11"/>
        <color theme="1"/>
        <rFont val="Calibri"/>
        <family val="2"/>
      </rPr>
      <t>₹9,322 crore of one-time prior-period</t>
    </r>
  </si>
  <si>
    <t>EQUITY</t>
  </si>
  <si>
    <t>Face value</t>
  </si>
  <si>
    <t>Book value per share</t>
  </si>
  <si>
    <t>Scenarios :</t>
  </si>
  <si>
    <r>
      <rPr>
        <b/>
        <sz val="11"/>
        <color theme="1"/>
        <rFont val="Calibri"/>
        <family val="2"/>
      </rPr>
      <t>CAPACITY SCENARIOS -</t>
    </r>
    <r>
      <rPr>
        <sz val="11"/>
        <color theme="1"/>
        <rFont val="Calibri"/>
        <family val="2"/>
      </rPr>
      <t xml:space="preserve">  Capacity Commissioned, Plant Availability</t>
    </r>
  </si>
  <si>
    <r>
      <rPr>
        <b/>
        <sz val="11"/>
        <color theme="1"/>
        <rFont val="Calibri"/>
        <family val="2"/>
      </rPr>
      <t>TARIFF SCENARIO -</t>
    </r>
    <r>
      <rPr>
        <sz val="11"/>
        <color theme="1"/>
        <rFont val="Calibri"/>
        <family val="2"/>
      </rPr>
      <t xml:space="preserve">  New-PPA Capacity Charge, Merchant Tariff</t>
    </r>
  </si>
  <si>
    <r>
      <rPr>
        <b/>
        <sz val="11"/>
        <color theme="1"/>
        <rFont val="Calibri"/>
        <family val="2"/>
      </rPr>
      <t>ECONOMIC SCENARIOS -</t>
    </r>
    <r>
      <rPr>
        <sz val="11"/>
        <color theme="1"/>
        <rFont val="Calibri"/>
        <family val="2"/>
      </rPr>
      <t xml:space="preserve">  Cost of Incremental Debt, Cost Inflation</t>
    </r>
  </si>
  <si>
    <t>EPS</t>
  </si>
  <si>
    <t>Fiscal Year</t>
  </si>
  <si>
    <t>Capacity added (MW)</t>
  </si>
  <si>
    <t>INSTALLED CAPACITY</t>
  </si>
  <si>
    <t>Cumulative (MW)</t>
  </si>
  <si>
    <t>INTEREST RATE</t>
  </si>
  <si>
    <t>Interest earned on cash balances</t>
  </si>
  <si>
    <t>Interest rate on bank revolver / working capital</t>
  </si>
  <si>
    <t>Interest rate on senior secured term debt</t>
  </si>
  <si>
    <t>DEPRECIATION</t>
  </si>
  <si>
    <t>Depreciation Methodology Used:</t>
  </si>
  <si>
    <t>Straight Line</t>
  </si>
  <si>
    <t>Years remaining for depreciation of existing assets:</t>
  </si>
  <si>
    <t>Years used for depreciation of new assets:</t>
  </si>
  <si>
    <t>TAXES</t>
  </si>
  <si>
    <t>Tax rate assumed in the Model:</t>
  </si>
  <si>
    <t>OPERATING PARAMETERS</t>
  </si>
  <si>
    <t>Parameter</t>
  </si>
  <si>
    <t>Plant Availability</t>
  </si>
  <si>
    <t>Plant Load Factor (PLF)</t>
  </si>
  <si>
    <t>Auxiliary power consumption</t>
  </si>
  <si>
    <t>Contracted capacity</t>
  </si>
  <si>
    <t>Legacy capacity charge</t>
  </si>
  <si>
    <t>New-PPA capacity charge — tied 13,320 MW</t>
  </si>
  <si>
    <t>New-PPA capacity charge — untied 10,400 MW</t>
  </si>
  <si>
    <t>Capacity-charge escalation</t>
  </si>
  <si>
    <t>Merchant tariff</t>
  </si>
  <si>
    <t>COST</t>
  </si>
  <si>
    <t>Fuel Cost</t>
  </si>
  <si>
    <t>Electricity Generation</t>
  </si>
  <si>
    <t>SCENARIO SWITCH:</t>
  </si>
  <si>
    <t>ECONOMIC SCENARIOS</t>
  </si>
  <si>
    <t>CHOOSE / OFFSET / INDEX</t>
  </si>
  <si>
    <t xml:space="preserve"> </t>
  </si>
  <si>
    <t>Best Case</t>
  </si>
  <si>
    <t>Worst Case</t>
  </si>
  <si>
    <t>Capacity, Tariff and Economic Scenario</t>
  </si>
  <si>
    <t>Capacity Commissioned (MW)</t>
  </si>
  <si>
    <t>CAPACITY SCENARIOS</t>
  </si>
  <si>
    <t>Plant Availability (%)</t>
  </si>
  <si>
    <t>Base Case</t>
  </si>
  <si>
    <t xml:space="preserve">  </t>
  </si>
  <si>
    <t>TARIFF SCENARIOS</t>
  </si>
  <si>
    <t>New-PPA Capacity Charge — untied capacity (₹/kWh)</t>
  </si>
  <si>
    <t>Merchant Tariff (₹/kWh)</t>
  </si>
  <si>
    <t>Cost of Incremental Debt (%)</t>
  </si>
  <si>
    <t>Cost Inflation (%) — fixed O&amp;M only</t>
  </si>
  <si>
    <t>Revenue Schedule</t>
  </si>
  <si>
    <t>Projected</t>
  </si>
  <si>
    <t>(%)</t>
  </si>
  <si>
    <t>Capacity &amp; Commissioning Schedule</t>
  </si>
  <si>
    <t xml:space="preserve">Installed Capacity		</t>
  </si>
  <si>
    <t>Capacity commissioned</t>
  </si>
  <si>
    <t>Cumulative capacity</t>
  </si>
  <si>
    <t>Effective capacity</t>
  </si>
  <si>
    <t>(MW)</t>
  </si>
  <si>
    <t>Operating Parameters</t>
  </si>
  <si>
    <t>Plant availability</t>
  </si>
  <si>
    <t>Plant load factor</t>
  </si>
  <si>
    <t>Auxiliary consumption</t>
  </si>
  <si>
    <t xml:space="preserve">Capacity by Vintage	</t>
  </si>
  <si>
    <t>Tied additions</t>
  </si>
  <si>
    <t>Untied additions</t>
  </si>
  <si>
    <t>Legacy — cumulative</t>
  </si>
  <si>
    <t>New tied — cumulative</t>
  </si>
  <si>
    <t>New untied — cumulative</t>
  </si>
  <si>
    <t>Legacy — effective</t>
  </si>
  <si>
    <t>New tied — effective</t>
  </si>
  <si>
    <t>New untied — effective</t>
  </si>
  <si>
    <t>Check: total effective</t>
  </si>
  <si>
    <t>Extended - OPERATING PARAMETERS</t>
  </si>
  <si>
    <t>Pipeline — PSA tied</t>
  </si>
  <si>
    <t xml:space="preserve">	Pipeline — total</t>
  </si>
  <si>
    <t>Tied share of additions</t>
  </si>
  <si>
    <t>Hours per year</t>
  </si>
  <si>
    <t xml:space="preserve">Effective capacity factor	</t>
  </si>
  <si>
    <t>Gross generation — legacy</t>
  </si>
  <si>
    <t>Net saleable — legacy</t>
  </si>
  <si>
    <t>PPA units — legacy</t>
  </si>
  <si>
    <t>Merchant units — legacy</t>
  </si>
  <si>
    <t>Billable capacity — new tied</t>
  </si>
  <si>
    <t>Billable capacity — new untied</t>
  </si>
  <si>
    <t>Net saleable — new</t>
  </si>
  <si>
    <t>(cr kWh)</t>
  </si>
  <si>
    <r>
      <rPr>
        <i/>
        <sz val="11"/>
        <color theme="1"/>
        <rFont val="Calibri"/>
        <family val="2"/>
      </rPr>
      <t>Less:</t>
    </r>
    <r>
      <rPr>
        <sz val="11"/>
        <color theme="1"/>
        <rFont val="Calibri"/>
        <family val="2"/>
      </rPr>
      <t xml:space="preserve"> Auxiliary consumption</t>
    </r>
  </si>
  <si>
    <t>Normative availability</t>
  </si>
  <si>
    <t>VOLUMES</t>
  </si>
  <si>
    <t>TARIFFS</t>
  </si>
  <si>
    <t>Legacy energy charge</t>
  </si>
  <si>
    <t>New tied capacity charge</t>
  </si>
  <si>
    <t>New untied capacity charge</t>
  </si>
  <si>
    <t>Energy charge — new</t>
  </si>
  <si>
    <t>Availability factor</t>
  </si>
  <si>
    <t>Coal cost inflation</t>
  </si>
  <si>
    <t>(₹/kWh)</t>
  </si>
  <si>
    <t>REVENUE</t>
  </si>
  <si>
    <t>Capacity charge — legacy</t>
  </si>
  <si>
    <t>(₹ cr)</t>
  </si>
  <si>
    <t>Capacity charge — new tied</t>
  </si>
  <si>
    <t>Capacity charge — new untied</t>
  </si>
  <si>
    <t>Total capacity charge</t>
  </si>
  <si>
    <t>Energy charge — legacy</t>
  </si>
  <si>
    <t>Total energy charge</t>
  </si>
  <si>
    <t>Merchant revenue</t>
  </si>
  <si>
    <t>Revenue from operations</t>
  </si>
  <si>
    <t>Other income</t>
  </si>
  <si>
    <t>Coal cost inflation / Other income growth</t>
  </si>
  <si>
    <t>Total income</t>
  </si>
  <si>
    <t>Check vs reported</t>
  </si>
  <si>
    <t>Cost Schedule</t>
  </si>
  <si>
    <t>DRIVERS</t>
  </si>
  <si>
    <t>Net saleable units</t>
  </si>
  <si>
    <t>Cost inflation</t>
  </si>
  <si>
    <t>VARIABLE — per kWh</t>
  </si>
  <si>
    <t>Fuel cost</t>
  </si>
  <si>
    <t>Selling &amp; admin</t>
  </si>
  <si>
    <t>Total fixed</t>
  </si>
  <si>
    <t>(₹ cr/MW)</t>
  </si>
  <si>
    <t>FIXED — per MW</t>
  </si>
  <si>
    <t>COSTS</t>
  </si>
  <si>
    <t>Total fixed costs</t>
  </si>
  <si>
    <t>Total Operating Cost</t>
  </si>
  <si>
    <t>Capex &amp; CWIP Schedule</t>
  </si>
  <si>
    <t>CAPEX</t>
  </si>
  <si>
    <t>CAPEX &amp; CWIP</t>
  </si>
  <si>
    <t>Total capex program</t>
  </si>
  <si>
    <t>Capex per MW — blended</t>
  </si>
  <si>
    <t>Capex per MW — greenfield</t>
  </si>
  <si>
    <t>Opening CWIP</t>
  </si>
  <si>
    <t>Maintenance capex per MW</t>
  </si>
  <si>
    <t>S-curve weights</t>
  </si>
  <si>
    <t>Year T−3</t>
  </si>
  <si>
    <t>Year T−2</t>
  </si>
  <si>
    <t>Year T−1</t>
  </si>
  <si>
    <t>Year T (COD)</t>
  </si>
  <si>
    <t>Capacity commissioning in year</t>
  </si>
  <si>
    <t>Capex per MW</t>
  </si>
  <si>
    <t>S-curve:</t>
  </si>
  <si>
    <t>T−3</t>
  </si>
  <si>
    <t>T−2</t>
  </si>
  <si>
    <t>T−1</t>
  </si>
  <si>
    <t>T</t>
  </si>
  <si>
    <t>Growth capex</t>
  </si>
  <si>
    <t>Maintenance capex</t>
  </si>
  <si>
    <t>Total capex</t>
  </si>
  <si>
    <t>CWIP</t>
  </si>
  <si>
    <r>
      <rPr>
        <i/>
        <sz val="11"/>
        <color theme="1"/>
        <rFont val="Calibri"/>
        <family val="2"/>
      </rPr>
      <t>Add:</t>
    </r>
    <r>
      <rPr>
        <sz val="11"/>
        <color theme="1"/>
        <rFont val="Calibri"/>
        <family val="2"/>
      </rPr>
      <t xml:space="preserve"> growth capex</t>
    </r>
  </si>
  <si>
    <r>
      <rPr>
        <i/>
        <sz val="11"/>
        <color theme="1"/>
        <rFont val="Calibri"/>
        <family val="2"/>
      </rPr>
      <t>Add:</t>
    </r>
    <r>
      <rPr>
        <sz val="11"/>
        <color theme="1"/>
        <rFont val="Calibri"/>
        <family val="2"/>
      </rPr>
      <t xml:space="preserve"> capitalised interest</t>
    </r>
  </si>
  <si>
    <r>
      <rPr>
        <i/>
        <sz val="11"/>
        <color theme="1"/>
        <rFont val="Calibri"/>
        <family val="2"/>
      </rPr>
      <t>Less:</t>
    </r>
    <r>
      <rPr>
        <sz val="11"/>
        <color theme="1"/>
        <rFont val="Calibri"/>
        <family val="2"/>
      </rPr>
      <t xml:space="preserve"> transfer to PPE</t>
    </r>
  </si>
  <si>
    <t>Closing CWIP</t>
  </si>
  <si>
    <t>GROSS BLOCK</t>
  </si>
  <si>
    <t>Opening gross block</t>
  </si>
  <si>
    <t>Closing gross block</t>
  </si>
  <si>
    <r>
      <rPr>
        <i/>
        <sz val="11"/>
        <color theme="1"/>
        <rFont val="Calibri"/>
        <family val="2"/>
      </rPr>
      <t>Add:</t>
    </r>
    <r>
      <rPr>
        <sz val="11"/>
        <color theme="1"/>
        <rFont val="Calibri"/>
        <family val="2"/>
      </rPr>
      <t xml:space="preserve"> transfer from CWIP</t>
    </r>
  </si>
  <si>
    <r>
      <rPr>
        <i/>
        <sz val="11"/>
        <color theme="1"/>
        <rFont val="Calibri"/>
        <family val="2"/>
      </rPr>
      <t>Add:</t>
    </r>
    <r>
      <rPr>
        <sz val="11"/>
        <color theme="1"/>
        <rFont val="Calibri"/>
        <family val="2"/>
      </rPr>
      <t xml:space="preserve"> maintenance capex</t>
    </r>
  </si>
  <si>
    <r>
      <rPr>
        <i/>
        <sz val="11"/>
        <color theme="1"/>
        <rFont val="Calibri"/>
        <family val="2"/>
      </rPr>
      <t>Less:</t>
    </r>
    <r>
      <rPr>
        <sz val="11"/>
        <color theme="1"/>
        <rFont val="Calibri"/>
        <family val="2"/>
      </rPr>
      <t xml:space="preserve"> disposals</t>
    </r>
  </si>
  <si>
    <t>Depreciation Schedule</t>
  </si>
  <si>
    <t>Years Remaining Existing Assets:</t>
  </si>
  <si>
    <t>Depreciation Years on New Assets:</t>
  </si>
  <si>
    <t>EXISTING ASSETS</t>
  </si>
  <si>
    <t>Opening net block</t>
  </si>
  <si>
    <t>Depreciation — existing</t>
  </si>
  <si>
    <t>Closing net block</t>
  </si>
  <si>
    <t>NEW ASSET LAYER</t>
  </si>
  <si>
    <t>DEPRECIATION - NEW ASSET LAYER</t>
  </si>
  <si>
    <t>Total New Deprectiation</t>
  </si>
  <si>
    <t>Depreciation — Maintenance capex</t>
  </si>
  <si>
    <t>Total Depreciation</t>
  </si>
  <si>
    <t>WORKING CAPITAL DAYS</t>
  </si>
  <si>
    <t>Inventory days</t>
  </si>
  <si>
    <t>Receivable days</t>
  </si>
  <si>
    <t>Loans &amp; advances days</t>
  </si>
  <si>
    <t>Other asset items days</t>
  </si>
  <si>
    <t>Trade payable days</t>
  </si>
  <si>
    <t>Advance from customers days</t>
  </si>
  <si>
    <t>DEBT</t>
  </si>
  <si>
    <t>Opening term debt (incl. NCDs)</t>
  </si>
  <si>
    <t>Opening revolver</t>
  </si>
  <si>
    <t>Opening lease liabilities</t>
  </si>
  <si>
    <t>Minimum cash balance</t>
  </si>
  <si>
    <t>Repayment Ladder</t>
  </si>
  <si>
    <t>TAX</t>
  </si>
  <si>
    <t>Opening DTL</t>
  </si>
  <si>
    <t>Opening DTA</t>
  </si>
  <si>
    <t>Current tax payable at FY26</t>
  </si>
  <si>
    <t>Tax depreciation rate (WDV)</t>
  </si>
  <si>
    <t>Opening tax WDV</t>
  </si>
  <si>
    <t>Working Capital Schedule</t>
  </si>
  <si>
    <t>Days per year:</t>
  </si>
  <si>
    <t>DAYS</t>
  </si>
  <si>
    <t>Trade receivables</t>
  </si>
  <si>
    <t>Loans &amp; advances</t>
  </si>
  <si>
    <t>Trade payables</t>
  </si>
  <si>
    <t>Advance from customers</t>
  </si>
  <si>
    <t>BALANCES</t>
  </si>
  <si>
    <t>Net working capital</t>
  </si>
  <si>
    <t>Change in working capital</t>
  </si>
  <si>
    <t>(days)</t>
  </si>
  <si>
    <t>Debt &amp; Interest Schedule</t>
  </si>
  <si>
    <t>CASH AVAILABLE</t>
  </si>
  <si>
    <t>Operating cash flow</t>
  </si>
  <si>
    <t>FCF before financing</t>
  </si>
  <si>
    <r>
      <rPr>
        <i/>
        <sz val="11"/>
        <color theme="1"/>
        <rFont val="Calibri"/>
        <family val="2"/>
      </rPr>
      <t>Less:</t>
    </r>
    <r>
      <rPr>
        <sz val="11"/>
        <color theme="1"/>
        <rFont val="Calibri"/>
        <family val="2"/>
      </rPr>
      <t xml:space="preserve"> cash taxes</t>
    </r>
  </si>
  <si>
    <r>
      <rPr>
        <i/>
        <sz val="11"/>
        <color theme="1"/>
        <rFont val="Calibri"/>
        <family val="2"/>
      </rPr>
      <t>Less:</t>
    </r>
    <r>
      <rPr>
        <sz val="11"/>
        <color theme="1"/>
        <rFont val="Calibri"/>
        <family val="2"/>
      </rPr>
      <t xml:space="preserve"> net cash interest</t>
    </r>
  </si>
  <si>
    <r>
      <rPr>
        <i/>
        <sz val="11"/>
        <color theme="1"/>
        <rFont val="Calibri"/>
        <family val="2"/>
      </rPr>
      <t>Less:</t>
    </r>
    <r>
      <rPr>
        <sz val="11"/>
        <color theme="1"/>
        <rFont val="Calibri"/>
        <family val="2"/>
      </rPr>
      <t xml:space="preserve"> total capex</t>
    </r>
  </si>
  <si>
    <r>
      <rPr>
        <i/>
        <sz val="11"/>
        <color theme="1"/>
        <rFont val="Calibri"/>
        <family val="2"/>
      </rPr>
      <t>Less</t>
    </r>
    <r>
      <rPr>
        <sz val="11"/>
        <color theme="1"/>
        <rFont val="Calibri"/>
        <family val="2"/>
      </rPr>
      <t>: Non-controlling interest</t>
    </r>
  </si>
  <si>
    <t>Net Profit to owners</t>
  </si>
  <si>
    <t>OPERATING ACTIVITY</t>
  </si>
  <si>
    <t>Deferred tax (non-cash)</t>
  </si>
  <si>
    <t>Changes in Working Capital</t>
  </si>
  <si>
    <t>INVESTING ACTIVITY</t>
  </si>
  <si>
    <t>FINANCING ACTIVITY</t>
  </si>
  <si>
    <t>Revolver draw / (repay)</t>
  </si>
  <si>
    <t>Net Cash Inflow / (Outflow)</t>
  </si>
  <si>
    <t>Opening Cash</t>
  </si>
  <si>
    <t>Closing Cash</t>
  </si>
  <si>
    <t>Check vs debt schedule</t>
  </si>
  <si>
    <t>Total Non-Current Assets</t>
  </si>
  <si>
    <t>TOTAL ASSETS</t>
  </si>
  <si>
    <t>Deferred Tax Liability</t>
  </si>
  <si>
    <t>TOTAL LIABILITIES AND EQUITY</t>
  </si>
  <si>
    <t>CHECK</t>
  </si>
  <si>
    <t>TERM DEBT</t>
  </si>
  <si>
    <t>Opening balance</t>
  </si>
  <si>
    <t>Mandatory repayment</t>
  </si>
  <si>
    <t>New issuance</t>
  </si>
  <si>
    <t>Closing balance</t>
  </si>
  <si>
    <t>Interest rate</t>
  </si>
  <si>
    <t>Interest expense</t>
  </si>
  <si>
    <t>REVOLVER</t>
  </si>
  <si>
    <t>Opening</t>
  </si>
  <si>
    <t>Draw / (repay)</t>
  </si>
  <si>
    <t>Closing</t>
  </si>
  <si>
    <t>LEASES</t>
  </si>
  <si>
    <t>CASH</t>
  </si>
  <si>
    <t>Opening cash</t>
  </si>
  <si>
    <t>Net change in cash</t>
  </si>
  <si>
    <t>Closing cash</t>
  </si>
  <si>
    <t>Interest rate on cash</t>
  </si>
  <si>
    <t>Interest income</t>
  </si>
  <si>
    <t>INTEREST SUMMARY</t>
  </si>
  <si>
    <t>Total interest expense</t>
  </si>
  <si>
    <t>Capitalisation rate</t>
  </si>
  <si>
    <t>Capitalised interest</t>
  </si>
  <si>
    <t>Interest expense — P&amp;L</t>
  </si>
  <si>
    <t>Net interest (after income)</t>
  </si>
  <si>
    <t>Check to CWIP row 269</t>
  </si>
  <si>
    <t>Net debt / EBITDA</t>
  </si>
  <si>
    <t>Income Tax Schedule</t>
  </si>
  <si>
    <t>Tax rate:</t>
  </si>
  <si>
    <t>TAX DEPRECIATION</t>
  </si>
  <si>
    <r>
      <rPr>
        <i/>
        <sz val="11"/>
        <color theme="1"/>
        <rFont val="Calibri"/>
        <family val="2"/>
      </rPr>
      <t>Add:</t>
    </r>
    <r>
      <rPr>
        <sz val="11"/>
        <color theme="1"/>
        <rFont val="Calibri"/>
        <family val="2"/>
      </rPr>
      <t xml:space="preserve"> additions</t>
    </r>
  </si>
  <si>
    <t>Tax depreciation @ 15%</t>
  </si>
  <si>
    <t>Closing tax WDV</t>
  </si>
  <si>
    <t>TAX COMPUTATION</t>
  </si>
  <si>
    <t>Accounting EBT</t>
  </si>
  <si>
    <t>Book tax</t>
  </si>
  <si>
    <t>Timing difference</t>
  </si>
  <si>
    <t>Deferred tax</t>
  </si>
  <si>
    <t>Current tax</t>
  </si>
  <si>
    <t>Closing DTL</t>
  </si>
  <si>
    <t>Cash tax paid</t>
  </si>
  <si>
    <t>Shareholders' Equity Schedule</t>
  </si>
  <si>
    <t>RESERVES</t>
  </si>
  <si>
    <t>Opening reserves</t>
  </si>
  <si>
    <t>Net profit to owners</t>
  </si>
  <si>
    <t>Dividends</t>
  </si>
  <si>
    <t>Other movements</t>
  </si>
  <si>
    <t>Closing reserves</t>
  </si>
  <si>
    <t>NON-CONTROLLING INTEREST</t>
  </si>
  <si>
    <t>Opening NCI</t>
  </si>
  <si>
    <t>NCI share of profit</t>
  </si>
  <si>
    <t>Closing NCI</t>
  </si>
  <si>
    <t>Sales Growth</t>
  </si>
  <si>
    <t>COGS % Sales</t>
  </si>
  <si>
    <t>Gross Profit Margin</t>
  </si>
  <si>
    <t>SG&amp;A % Sales</t>
  </si>
  <si>
    <t>EBITDA Margin</t>
  </si>
  <si>
    <t>Depreciation % Sales</t>
  </si>
  <si>
    <t>EBIT Margin</t>
  </si>
  <si>
    <t>Interest Margin</t>
  </si>
  <si>
    <t>EBT Margin</t>
  </si>
  <si>
    <t>Net Profit Margin</t>
  </si>
  <si>
    <t>Tax Margin</t>
  </si>
  <si>
    <t>Ratio Analysis</t>
  </si>
  <si>
    <t>GROWTH OVER PRIOR PERIOD</t>
  </si>
  <si>
    <t>Revenue Growth</t>
  </si>
  <si>
    <t>Gross Profit Growth</t>
  </si>
  <si>
    <t>EBITDA Growth</t>
  </si>
  <si>
    <t>EBIT Growth</t>
  </si>
  <si>
    <t>EBT Growth</t>
  </si>
  <si>
    <t>No. of Equity Shares</t>
  </si>
  <si>
    <t>Adjusted Equity Shares in Cr</t>
  </si>
  <si>
    <t>EPS Growth</t>
  </si>
  <si>
    <t>Adjusted Equity Share</t>
  </si>
  <si>
    <t>MARGIN ANALYSIS</t>
  </si>
  <si>
    <t>Gross profit Margin</t>
  </si>
  <si>
    <t>SG&amp;A Margin</t>
  </si>
  <si>
    <t>Net Profit Growth</t>
  </si>
  <si>
    <t>COMMON SIZING</t>
  </si>
  <si>
    <t>PROFITABILITY</t>
  </si>
  <si>
    <t>Return on Asset</t>
  </si>
  <si>
    <t>Return on Equity</t>
  </si>
  <si>
    <t>Return on Capital Employed</t>
  </si>
  <si>
    <t xml:space="preserve">ASSET TURNOVER </t>
  </si>
  <si>
    <t>Total Asset Turnover</t>
  </si>
  <si>
    <t>Fixed Asset Turnover</t>
  </si>
  <si>
    <t>Inventory Turnover</t>
  </si>
  <si>
    <t>SOLVENCY RATIO</t>
  </si>
  <si>
    <t>Debt / Equity</t>
  </si>
  <si>
    <t>Debt / Capital</t>
  </si>
  <si>
    <t>Total Liab / Total Asset</t>
  </si>
  <si>
    <t>Total Debt / EBITDA</t>
  </si>
  <si>
    <t>Interest Coverate ratio</t>
  </si>
  <si>
    <t>Trade payable Turnover</t>
  </si>
  <si>
    <t>Trade Receivable Turnover</t>
  </si>
  <si>
    <t>Cash Conversion Cycle</t>
  </si>
  <si>
    <t>CFO/Sales</t>
  </si>
  <si>
    <t>CFO/Total Asset</t>
  </si>
  <si>
    <t>CFO/Total Debt</t>
  </si>
  <si>
    <t>Trend</t>
  </si>
  <si>
    <t>MEAN</t>
  </si>
  <si>
    <t>MEDIAN</t>
  </si>
  <si>
    <t>Name of the Company</t>
  </si>
  <si>
    <t>Country</t>
  </si>
  <si>
    <t>Total Debt</t>
  </si>
  <si>
    <t>Equity</t>
  </si>
  <si>
    <t>Debt /</t>
  </si>
  <si>
    <t>Capital</t>
  </si>
  <si>
    <t xml:space="preserve">Levered </t>
  </si>
  <si>
    <t>Unlevered</t>
  </si>
  <si>
    <t>Average</t>
  </si>
  <si>
    <t>Median</t>
  </si>
  <si>
    <t>Cost of Debt</t>
  </si>
  <si>
    <t>Cost of Equity</t>
  </si>
  <si>
    <t>Pre tax cost of Debt</t>
  </si>
  <si>
    <t>Tax Rate</t>
  </si>
  <si>
    <t>Risk Free Rate</t>
  </si>
  <si>
    <t>Equity Risk Premium</t>
  </si>
  <si>
    <r>
      <t>Levered Beta</t>
    </r>
    <r>
      <rPr>
        <vertAlign val="superscript"/>
        <sz val="11"/>
        <color theme="1"/>
        <rFont val="Calibri"/>
        <family val="2"/>
      </rPr>
      <t>4</t>
    </r>
  </si>
  <si>
    <t>Capital Structure</t>
  </si>
  <si>
    <t>Levered Beta</t>
  </si>
  <si>
    <t>Current</t>
  </si>
  <si>
    <t>Target</t>
  </si>
  <si>
    <t>Peers Median Unlevered Beta</t>
  </si>
  <si>
    <t>Target Debt / Equity</t>
  </si>
  <si>
    <t>Post Tax Cost of Debt</t>
  </si>
  <si>
    <t>Weighted Average Cost of Capital (WACC)</t>
  </si>
  <si>
    <t>Total Cost</t>
  </si>
  <si>
    <t>Total Weight</t>
  </si>
  <si>
    <t>Debt</t>
  </si>
  <si>
    <t>WACC</t>
  </si>
  <si>
    <t>Adani Power Weekly returns</t>
  </si>
  <si>
    <t>Date</t>
  </si>
  <si>
    <t>Price</t>
  </si>
  <si>
    <t>Weekly Returns</t>
  </si>
  <si>
    <t>NIFTY Weekly Return</t>
  </si>
  <si>
    <t>Return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</si>
  <si>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</si>
  <si>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</si>
  <si>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</si>
  <si>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</si>
  <si>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</si>
  <si>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</si>
  <si>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</si>
  <si>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</si>
  <si>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</si>
  <si>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</si>
  <si>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</si>
  <si>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</si>
  <si>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</si>
  <si>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</si>
  <si>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</si>
  <si>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</si>
  <si>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</si>
  <si>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</si>
  <si>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</si>
  <si>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</si>
  <si>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</si>
  <si>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</si>
  <si>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</si>
  <si>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</si>
  <si>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</si>
  <si>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Beta Drifting</t>
  </si>
  <si>
    <t>Levered Raw Beta</t>
  </si>
  <si>
    <t>Raw Beta Weight</t>
  </si>
  <si>
    <t>Market Beta</t>
  </si>
  <si>
    <t>Market Beta Weight</t>
  </si>
  <si>
    <t>Adjusted Beta</t>
  </si>
  <si>
    <t>Regression Beta - 5Y Weekly</t>
  </si>
  <si>
    <r>
      <t>Beta</t>
    </r>
    <r>
      <rPr>
        <b/>
        <vertAlign val="superscript"/>
        <sz val="11"/>
        <color theme="1"/>
        <rFont val="Calibri"/>
        <family val="2"/>
      </rPr>
      <t>1</t>
    </r>
  </si>
  <si>
    <t>Tata Power Co.</t>
  </si>
  <si>
    <t>Torrent Power</t>
  </si>
  <si>
    <t>CESC</t>
  </si>
  <si>
    <t>NTPC</t>
  </si>
  <si>
    <t>JSW Energy</t>
  </si>
  <si>
    <t>India</t>
  </si>
  <si>
    <t>Total Debt (Cr)</t>
  </si>
  <si>
    <t>Total Equity (Cr)</t>
  </si>
  <si>
    <t>NIFTY Return - Last 20 Yr</t>
  </si>
  <si>
    <t>Year</t>
  </si>
  <si>
    <t>Average Return</t>
  </si>
  <si>
    <t>Dividend Yield</t>
  </si>
  <si>
    <t>Total Market Return</t>
  </si>
  <si>
    <r>
      <t>Tax rate</t>
    </r>
    <r>
      <rPr>
        <vertAlign val="superscript"/>
        <sz val="11"/>
        <color theme="0"/>
        <rFont val="Calibri"/>
        <family val="2"/>
      </rPr>
      <t>1</t>
    </r>
  </si>
  <si>
    <r>
      <t>Beta</t>
    </r>
    <r>
      <rPr>
        <vertAlign val="superscript"/>
        <sz val="11"/>
        <color theme="0"/>
        <rFont val="Calibri"/>
        <family val="2"/>
      </rPr>
      <t>2</t>
    </r>
  </si>
  <si>
    <r>
      <t>Beta</t>
    </r>
    <r>
      <rPr>
        <vertAlign val="superscript"/>
        <sz val="11"/>
        <color theme="0"/>
        <rFont val="Calibri"/>
        <family val="2"/>
      </rPr>
      <t>3</t>
    </r>
  </si>
  <si>
    <t>Tata Power</t>
  </si>
  <si>
    <t>CESE</t>
  </si>
  <si>
    <t>Return on Invested Capital</t>
  </si>
  <si>
    <t>Reinvestment Rate</t>
  </si>
  <si>
    <t>Calculation of Reinvestment Rate</t>
  </si>
  <si>
    <t>Net Capex</t>
  </si>
  <si>
    <t>Marginal Tax Rate</t>
  </si>
  <si>
    <t>Post Tax EBIT</t>
  </si>
  <si>
    <t>Reinvestment</t>
  </si>
  <si>
    <t>Average Reinvestment Rate</t>
  </si>
  <si>
    <t>Median Reinvestment Rate</t>
  </si>
  <si>
    <t>ROIC</t>
  </si>
  <si>
    <t>Intrinsic Growth</t>
  </si>
  <si>
    <t>Income Statement - Common Size</t>
  </si>
  <si>
    <t>Balance Sheet - Common Size</t>
  </si>
  <si>
    <t>Terminal Value</t>
  </si>
  <si>
    <t>Free Cash Flow to Firm</t>
  </si>
  <si>
    <t>CFO</t>
  </si>
  <si>
    <r>
      <rPr>
        <i/>
        <sz val="11"/>
        <color theme="1"/>
        <rFont val="Calibri"/>
        <family val="2"/>
      </rPr>
      <t>Add:</t>
    </r>
    <r>
      <rPr>
        <sz val="11"/>
        <color theme="1"/>
        <rFont val="Calibri"/>
        <family val="2"/>
      </rPr>
      <t xml:space="preserve"> Tax adjusted Interest</t>
    </r>
  </si>
  <si>
    <r>
      <rPr>
        <i/>
        <sz val="11"/>
        <color theme="1"/>
        <rFont val="Calibri"/>
        <family val="2"/>
      </rPr>
      <t>Less</t>
    </r>
    <r>
      <rPr>
        <sz val="11"/>
        <color theme="1"/>
        <rFont val="Calibri"/>
        <family val="2"/>
      </rPr>
      <t>: Capex</t>
    </r>
  </si>
  <si>
    <t>Mid Year Convention</t>
  </si>
  <si>
    <t>Discounting Factor</t>
  </si>
  <si>
    <t>PV of FCFF</t>
  </si>
  <si>
    <t>Terminal Growth Rate</t>
  </si>
  <si>
    <t>Calculation of Terminal Value</t>
  </si>
  <si>
    <t>FCFF (n+1)</t>
  </si>
  <si>
    <t>Average Intrinsic Growth</t>
  </si>
  <si>
    <t>Median Intrinsic Growth</t>
  </si>
  <si>
    <t>Calculation of Intrinsic Growth Rate</t>
  </si>
  <si>
    <t>Calculation of PV of FCFF</t>
  </si>
  <si>
    <t>PV of Terminal Value</t>
  </si>
  <si>
    <t>Enterprise Value</t>
  </si>
  <si>
    <r>
      <rPr>
        <i/>
        <sz val="11"/>
        <color theme="1"/>
        <rFont val="Calibri"/>
        <family val="2"/>
      </rPr>
      <t>Add:</t>
    </r>
    <r>
      <rPr>
        <sz val="11"/>
        <color theme="1"/>
        <rFont val="Calibri"/>
        <family val="2"/>
      </rPr>
      <t xml:space="preserve"> Cash</t>
    </r>
  </si>
  <si>
    <r>
      <rPr>
        <i/>
        <sz val="11"/>
        <color theme="1"/>
        <rFont val="Calibri"/>
        <family val="2"/>
      </rPr>
      <t>Less:</t>
    </r>
    <r>
      <rPr>
        <sz val="11"/>
        <color theme="1"/>
        <rFont val="Calibri"/>
        <family val="2"/>
      </rPr>
      <t xml:space="preserve"> Debt</t>
    </r>
  </si>
  <si>
    <t>Calculation of Equity Value Per Share</t>
  </si>
  <si>
    <t>Value of Equity</t>
  </si>
  <si>
    <t>No. of Shares</t>
  </si>
  <si>
    <t>Equity Value per Share</t>
  </si>
  <si>
    <t>DCF Valuation</t>
  </si>
  <si>
    <t>Share Price</t>
  </si>
  <si>
    <t>Discount / Premium</t>
  </si>
  <si>
    <t>Comparable Company Data</t>
  </si>
  <si>
    <t>Company</t>
  </si>
  <si>
    <t>Ticker</t>
  </si>
  <si>
    <t>Shares Outstading</t>
  </si>
  <si>
    <t>Equity Value</t>
  </si>
  <si>
    <t>Net Debt</t>
  </si>
  <si>
    <t>Market Data</t>
  </si>
  <si>
    <t>Financials</t>
  </si>
  <si>
    <t>Valuation</t>
  </si>
  <si>
    <t>S.No.</t>
  </si>
  <si>
    <t>PAT 12M Rs.Cr.</t>
  </si>
  <si>
    <t>CMP</t>
  </si>
  <si>
    <t>No. Eq. Shares</t>
  </si>
  <si>
    <t>Mar Cap</t>
  </si>
  <si>
    <t>EV</t>
  </si>
  <si>
    <t>EV/Revenue</t>
  </si>
  <si>
    <t>EV/EBITDA</t>
  </si>
  <si>
    <t>P/E</t>
  </si>
  <si>
    <t>High</t>
  </si>
  <si>
    <t>75th Percentile</t>
  </si>
  <si>
    <t>25th Percentile</t>
  </si>
  <si>
    <t>Low</t>
  </si>
  <si>
    <t>Cash</t>
  </si>
  <si>
    <t>Comparable Valuation</t>
  </si>
  <si>
    <t>Peers Valuation</t>
  </si>
  <si>
    <t>Implied Enterprise Valuation</t>
  </si>
  <si>
    <t>Implied Market Value</t>
  </si>
  <si>
    <t>Shares Outstanding</t>
  </si>
  <si>
    <t>Implied Value Per Share</t>
  </si>
  <si>
    <t>Senstivity Analysis</t>
  </si>
  <si>
    <t>WACC (%)</t>
  </si>
  <si>
    <t>DCF SCENARIO</t>
  </si>
  <si>
    <t>Terminal Growth Rate (%)</t>
  </si>
  <si>
    <t>Equity Value Per Share</t>
  </si>
  <si>
    <t>Football Field Analysis</t>
  </si>
  <si>
    <t>Comps</t>
  </si>
  <si>
    <t>DCF Worst Case</t>
  </si>
  <si>
    <t>DCF Base Case</t>
  </si>
  <si>
    <t>DCF Best Case</t>
  </si>
  <si>
    <t>52Weeks H/L</t>
  </si>
  <si>
    <t>Open_Low</t>
  </si>
  <si>
    <t>Open_High</t>
  </si>
  <si>
    <t>Stock Price - 25/9/26</t>
  </si>
  <si>
    <t>Sep 25, 2026</t>
  </si>
  <si>
    <t>Value at Risk</t>
  </si>
  <si>
    <t>Adani Power Historical Weekly returns</t>
  </si>
  <si>
    <t>Replication</t>
  </si>
  <si>
    <t>Simulated Return</t>
  </si>
  <si>
    <t>Monte Carlo Return</t>
  </si>
  <si>
    <t>Historical Approach</t>
  </si>
  <si>
    <t>Mean</t>
  </si>
  <si>
    <t>Min</t>
  </si>
  <si>
    <t>Max</t>
  </si>
  <si>
    <t>Monte Carlo Simulation</t>
  </si>
  <si>
    <t>Std Deviation</t>
  </si>
  <si>
    <t>Percentile</t>
  </si>
  <si>
    <t>Confidence</t>
  </si>
  <si>
    <t>VAR%</t>
  </si>
  <si>
    <t>Stock Price</t>
  </si>
  <si>
    <t>VAR (₹)</t>
  </si>
  <si>
    <t>VaR - Historical Approach</t>
  </si>
  <si>
    <t>VaR - Monte Carlo Approach</t>
  </si>
  <si>
    <t>Disclaimer: This analysis is not a solicitation, offer, or recommendation to buy, hold, or sell any security, commodity, or financial instrument. This financial model and the accompanying analysis are for educational, practice, and informational purposes only. Nothing contained in this post or model constitutes financial, investment, legal, or tax advice. Harsh Aryan 2026 ©  — shared for educational purposes; please credit if referenced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</si>
</sst>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41" formatCode="_(* #,##0_);_(* \(#,##0\);_(* &quot;-&quot;_);_(@_)"/>
    <numFmt numFmtId="43" formatCode="_(* #,##0.00_);_(* \(#,##0.00\);_(* &quot;-&quot;??_);_(@_)"/>
    <numFmt numFmtId="164" formatCode="#,##0.0_);\(#,##0.0\)"/>
    <numFmt numFmtId="165" formatCode="&quot;₹&quot;\ 0"/>
    <numFmt numFmtId="166" formatCode="&quot;FY&quot;\ 0"/>
    <numFmt numFmtId="167" formatCode="#,##0\ &quot;MW&quot;"/>
    <numFmt numFmtId="168" formatCode="&quot;- Opening UCC pool of &quot;&quot;$&quot;#,###.0&quot; million as of January 1, 1999&quot;"/>
    <numFmt numFmtId="169" formatCode="#,##0\ &quot;Years&quot;"/>
    <numFmt numFmtId="170" formatCode="&quot;₹&quot;\ 0.00"/>
    <numFmt numFmtId="171" formatCode="&quot;₹&quot;\ #,##0.00&quot;/kwh&quot;"/>
    <numFmt numFmtId="172" formatCode="#,##0\ &quot;Crore kwh&quot;"/>
    <numFmt numFmtId="173" formatCode="0.0%"/>
    <numFmt numFmtId="174" formatCode="0.00_);\(0.00\)"/>
    <numFmt numFmtId="175" formatCode="0_);\(0\)"/>
    <numFmt numFmtId="176" formatCode="0%;\(0%\)"/>
    <numFmt numFmtId="177" formatCode="0\ &quot;MW&quot;"/>
    <numFmt numFmtId="178" formatCode="0\A"/>
    <numFmt numFmtId="179" formatCode="_(* #,##0.0_);_(* \(#,##0.0\);_(* &quot;-&quot;??_);_(@_)"/>
    <numFmt numFmtId="180" formatCode="_(* #,##0_);_(* \(#,##0\);_(* &quot;-&quot;??_);_(@_)"/>
    <numFmt numFmtId="181" formatCode="0.0_);\(0.0\)"/>
    <numFmt numFmtId="182" formatCode="&quot;$&quot;#,##0.0_);\(&quot;$&quot;#,##0.0\)"/>
    <numFmt numFmtId="183" formatCode="0&quot;E&quot;"/>
    <numFmt numFmtId="184" formatCode="_(* #,##0.0_);_(* \(#,##0.0\);_(* &quot;-&quot;?_);_(@_)"/>
    <numFmt numFmtId="185" formatCode="_(* #,##0.\);_(* \(#,##0\);_(* &quot;-&quot;??_);_(@_)"/>
    <numFmt numFmtId="186" formatCode="0.000"/>
    <numFmt numFmtId="187" formatCode="_(* #,##0.00_);_(* \(#,##0.00\);_(* &quot;-&quot;?_);_(@_)"/>
    <numFmt numFmtId="188" formatCode="&quot;₹&quot;\ #,##0.00\ &quot;cr&quot;_);\(&quot;₹&quot;\ #,##0.00\ &quot;cr&quot;\)"/>
    <numFmt numFmtId="189" formatCode="&quot;₹&quot;#,##0.0\ &quot;Cr&quot;_);\(&quot;₹&quot;#,##0.0\ &quot;Cr&quot;\)"/>
    <numFmt numFmtId="190" formatCode="_(* #,##0.0_);_(* \(#,##0.0\);_(* &quot;-&quot;_);_(@_)"/>
    <numFmt numFmtId="191" formatCode="_(* #,##0.00_);_(* \(#,##0.00\);_(* &quot;-&quot;_);_(@_)"/>
    <numFmt numFmtId="192" formatCode="0.00%;[Red]\(0.00%\)"/>
    <numFmt numFmtId="193" formatCode="0.00&quot;x&quot;"/>
    <numFmt numFmtId="194" formatCode="#,##0&quot; days&quot;_);\(#,##0&quot; days&quot;\)"/>
    <numFmt numFmtId="195" formatCode="#,##0.00%_);[Red]\(#,##0.00%\)"/>
    <numFmt numFmtId="196" formatCode="_(* #,##0.00_);[Red]_(* \(#,##0.00\);_(* &quot;-&quot;_);_(@_)"/>
    <numFmt numFmtId="197" formatCode="0.0\x"/>
    <numFmt numFmtId="198" formatCode="&quot;₹&quot;0.00"/>
    <numFmt numFmtId="199" formatCode="_(&quot;₹&quot;* #,##0.00_);_(* \(&quot;₹&quot;#,##0.00\);_(* &quot;-&quot;??_);_(@_)"/>
    <numFmt numFmtId="200" formatCode="0.0"/>
  </numFmts>
  <fonts count="83" x14ac:knownFonts="1">
    <font>
      <sz val="11"/>
      <color theme="1"/>
      <name val="Calibri"/>
      <family val="2"/>
    </font>
    <font>
      <b/>
      <sz val="11"/>
      <color theme="0"/>
      <name val="Calibri"/>
      <family val="2"/>
    </font>
    <font>
      <b/>
      <sz val="11"/>
      <color theme="1"/>
      <name val="Calibri"/>
      <family val="2"/>
    </font>
    <font>
      <sz val="11"/>
      <color theme="0"/>
      <name val="Calibri"/>
      <family val="2"/>
    </font>
    <font>
      <sz val="16"/>
      <color theme="1"/>
      <name val="Calibri"/>
      <family val="2"/>
    </font>
    <font>
      <sz val="12"/>
      <color theme="1"/>
      <name val="Calibri"/>
      <family val="2"/>
    </font>
    <font>
      <i/>
      <sz val="8"/>
      <color theme="1" tint="0.499984740745262"/>
      <name val="Calibri"/>
      <family val="2"/>
    </font>
    <font>
      <b/>
      <sz val="25"/>
      <color theme="1"/>
      <name val="Calibri"/>
      <family val="2"/>
    </font>
    <font>
      <b/>
      <sz val="16"/>
      <color theme="1"/>
      <name val="Calibri"/>
      <family val="2"/>
    </font>
    <font>
      <sz val="11"/>
      <color rgb="FF0432FF"/>
      <name val="Calibri"/>
      <family val="2"/>
    </font>
    <font>
      <b/>
      <sz val="11"/>
      <color rgb="FF0432FF"/>
      <name val="Calibri"/>
      <family val="2"/>
    </font>
    <font>
      <i/>
      <sz val="11"/>
      <color rgb="FF0432FF"/>
      <name val="Calibri"/>
      <family val="2"/>
    </font>
    <font>
      <b/>
      <sz val="10"/>
      <name val="Arial"/>
      <family val="2"/>
    </font>
    <font>
      <i/>
      <sz val="11"/>
      <color theme="1"/>
      <name val="Calibri"/>
      <family val="2"/>
    </font>
    <font>
      <sz val="9"/>
      <color rgb="FF000000"/>
      <name val="Helvetica"/>
      <family val="2"/>
    </font>
    <font>
      <sz val="10"/>
      <color theme="1"/>
      <name val="Arial"/>
      <family val="2"/>
    </font>
    <font>
      <sz val="11"/>
      <color theme="1"/>
      <name val="Calibri"/>
      <family val="2"/>
    </font>
    <font>
      <b/>
      <u/>
      <sz val="11"/>
      <name val="Calibri"/>
      <family val="2"/>
    </font>
    <font>
      <sz val="11"/>
      <name val="Calibri"/>
      <family val="2"/>
    </font>
    <font>
      <sz val="10"/>
      <color indexed="12"/>
      <name val="Arial"/>
      <family val="2"/>
    </font>
    <font>
      <sz val="10"/>
      <name val="Times New Roman"/>
      <family val="1"/>
    </font>
    <font>
      <sz val="16"/>
      <name val="Arial"/>
      <family val="2"/>
    </font>
    <font>
      <b/>
      <sz val="18"/>
      <name val="Arial"/>
      <family val="2"/>
    </font>
    <font>
      <b/>
      <sz val="16"/>
      <name val="Arial"/>
      <family val="2"/>
    </font>
    <font>
      <sz val="10"/>
      <name val="Arial"/>
      <family val="2"/>
    </font>
    <font>
      <b/>
      <sz val="14"/>
      <name val="Arial"/>
      <family val="2"/>
    </font>
    <font>
      <i/>
      <sz val="10"/>
      <name val="Arial"/>
      <family val="2"/>
    </font>
    <font>
      <b/>
      <sz val="10"/>
      <color indexed="12"/>
      <name val="Arial"/>
      <family val="2"/>
    </font>
    <font>
      <b/>
      <u/>
      <sz val="10"/>
      <name val="Arial"/>
      <family val="2"/>
    </font>
    <font>
      <b/>
      <i/>
      <sz val="12"/>
      <name val="Arial"/>
      <family val="2"/>
    </font>
    <font>
      <b/>
      <sz val="11"/>
      <name val="Arial"/>
      <family val="2"/>
    </font>
    <font>
      <sz val="9"/>
      <color indexed="12"/>
      <name val="Arial"/>
      <family val="2"/>
    </font>
    <font>
      <sz val="9"/>
      <name val="Arial"/>
      <family val="2"/>
    </font>
    <font>
      <sz val="9"/>
      <color indexed="8"/>
      <name val="Arial"/>
      <family val="2"/>
    </font>
    <font>
      <b/>
      <sz val="10"/>
      <color indexed="8"/>
      <name val="Arial"/>
      <family val="2"/>
    </font>
    <font>
      <sz val="9"/>
      <color rgb="FF009B73"/>
      <name val="Arial"/>
      <family val="2"/>
    </font>
    <font>
      <u/>
      <sz val="9"/>
      <name val="Arial"/>
      <family val="2"/>
    </font>
    <font>
      <sz val="9"/>
      <color rgb="FF0432FF"/>
      <name val="Arial"/>
      <family val="2"/>
    </font>
    <font>
      <sz val="9"/>
      <color theme="1"/>
      <name val="Arial"/>
      <family val="2"/>
    </font>
    <font>
      <sz val="9"/>
      <color rgb="FF00B050"/>
      <name val="Arial"/>
      <family val="2"/>
    </font>
    <font>
      <sz val="11"/>
      <color rgb="FF00B050"/>
      <name val="Calibri"/>
      <family val="2"/>
    </font>
    <font>
      <sz val="10"/>
      <color indexed="8"/>
      <name val="Arial"/>
      <family val="2"/>
    </font>
    <font>
      <sz val="11"/>
      <color rgb="FFFF0000"/>
      <name val="Calibri"/>
      <family val="2"/>
    </font>
    <font>
      <b/>
      <sz val="18"/>
      <color indexed="12"/>
      <name val="Arial"/>
      <family val="2"/>
    </font>
    <font>
      <b/>
      <i/>
      <sz val="14"/>
      <color indexed="10"/>
      <name val="Arial"/>
      <family val="2"/>
    </font>
    <font>
      <b/>
      <i/>
      <sz val="9"/>
      <color indexed="10"/>
      <name val="Arial"/>
      <family val="2"/>
    </font>
    <font>
      <b/>
      <i/>
      <sz val="10"/>
      <name val="Arial"/>
      <family val="2"/>
    </font>
    <font>
      <sz val="10"/>
      <color indexed="9"/>
      <name val="Arial"/>
      <family val="2"/>
    </font>
    <font>
      <sz val="8"/>
      <name val="Arial"/>
      <family val="2"/>
    </font>
    <font>
      <sz val="10"/>
      <color rgb="FF0000FF"/>
      <name val="Arial"/>
      <family val="2"/>
    </font>
    <font>
      <i/>
      <sz val="10"/>
      <color indexed="12"/>
      <name val="Arial"/>
      <family val="2"/>
    </font>
    <font>
      <b/>
      <sz val="8"/>
      <name val="Arial"/>
      <family val="2"/>
    </font>
    <font>
      <b/>
      <sz val="10"/>
      <color indexed="9"/>
      <name val="Arial"/>
      <family val="2"/>
    </font>
    <font>
      <b/>
      <sz val="10"/>
      <color rgb="FF0000FF"/>
      <name val="Arial"/>
      <family val="2"/>
    </font>
    <font>
      <b/>
      <sz val="14"/>
      <color indexed="12"/>
      <name val="Arial"/>
      <family val="2"/>
    </font>
    <font>
      <b/>
      <sz val="10"/>
      <color theme="0"/>
      <name val="Arial"/>
      <family val="2"/>
    </font>
    <font>
      <sz val="10"/>
      <color rgb="FF00B050"/>
      <name val="Arial"/>
      <family val="2"/>
    </font>
    <font>
      <sz val="10"/>
      <color rgb="FF0432FF"/>
      <name val="Arial"/>
      <family val="2"/>
    </font>
    <font>
      <sz val="10"/>
      <color rgb="FFFF2F92"/>
      <name val="Arial"/>
      <family val="2"/>
    </font>
    <font>
      <sz val="11"/>
      <color rgb="FFFF2F92"/>
      <name val="Calibri"/>
      <family val="2"/>
    </font>
    <font>
      <b/>
      <u/>
      <sz val="11"/>
      <color theme="1"/>
      <name val="Calibri"/>
      <family val="2"/>
    </font>
    <font>
      <b/>
      <sz val="11"/>
      <color rgb="FF00B050"/>
      <name val="Calibri"/>
      <family val="2"/>
    </font>
    <font>
      <b/>
      <sz val="11"/>
      <name val="Calibri"/>
      <family val="2"/>
    </font>
    <font>
      <i/>
      <sz val="11"/>
      <color theme="0" tint="-0.34998626667073579"/>
      <name val="Calibri"/>
      <family val="2"/>
    </font>
    <font>
      <sz val="11"/>
      <color theme="0" tint="-0.34998626667073579"/>
      <name val="Calibri"/>
      <family val="2"/>
    </font>
    <font>
      <sz val="8"/>
      <color theme="0" tint="-0.34998626667073579"/>
      <name val="Arial"/>
      <family val="2"/>
    </font>
    <font>
      <b/>
      <i/>
      <sz val="11"/>
      <color theme="1"/>
      <name val="Calibri"/>
      <family val="2"/>
    </font>
    <font>
      <b/>
      <sz val="14"/>
      <color theme="1"/>
      <name val="Calibri"/>
      <family val="2"/>
    </font>
    <font>
      <b/>
      <sz val="10"/>
      <color rgb="FF48535B"/>
      <name val="Verdana"/>
      <family val="2"/>
    </font>
    <font>
      <vertAlign val="superscript"/>
      <sz val="11"/>
      <color theme="1"/>
      <name val="Calibri"/>
      <family val="2"/>
    </font>
    <font>
      <sz val="10"/>
      <color rgb="FF000000"/>
      <name val="Helvetica Neue"/>
      <family val="2"/>
    </font>
    <font>
      <b/>
      <sz val="10"/>
      <color rgb="FF000000"/>
      <name val="Helvetica Neue"/>
      <family val="2"/>
    </font>
    <font>
      <b/>
      <sz val="10"/>
      <color theme="1"/>
      <name val="Helvetica Neue"/>
      <family val="2"/>
    </font>
    <font>
      <b/>
      <vertAlign val="superscript"/>
      <sz val="11"/>
      <color theme="1"/>
      <name val="Calibri"/>
      <family val="2"/>
    </font>
    <font>
      <u/>
      <sz val="11"/>
      <color theme="10"/>
      <name val="Calibri"/>
      <family val="2"/>
    </font>
    <font>
      <sz val="11"/>
      <color rgb="FF181818"/>
      <name val="Arial"/>
      <family val="2"/>
    </font>
    <font>
      <vertAlign val="superscript"/>
      <sz val="11"/>
      <color theme="0"/>
      <name val="Calibri"/>
      <family val="2"/>
    </font>
    <font>
      <sz val="11"/>
      <color theme="9"/>
      <name val="Calibri"/>
      <family val="2"/>
    </font>
    <font>
      <sz val="11"/>
      <color theme="8"/>
      <name val="Calibri"/>
      <family val="2"/>
    </font>
    <font>
      <i/>
      <sz val="9"/>
      <color theme="1"/>
      <name val="Calibri"/>
      <family val="2"/>
    </font>
    <font>
      <i/>
      <sz val="11"/>
      <color theme="0"/>
      <name val="Calibri"/>
      <family val="2"/>
    </font>
    <font>
      <b/>
      <i/>
      <sz val="11"/>
      <color rgb="FF0432FF"/>
      <name val="Calibri"/>
      <family val="2"/>
    </font>
    <font>
      <b/>
      <sz val="28"/>
      <color rgb="FF002060"/>
      <name val="Calibri"/>
      <family val="2"/>
    </font>
  </fonts>
  <fills count="9">
    <fill>
      <patternFill patternType="none"/>
    </fill>
    <fill>
      <patternFill patternType="gray125"/>
    </fill>
    <fill>
      <patternFill patternType="solid">
        <fgColor rgb="FF097CAA"/>
        <bgColor indexed="64"/>
      </patternFill>
    </fill>
    <fill>
      <patternFill patternType="solid">
        <fgColor rgb="FF002060"/>
        <bgColor indexed="64"/>
      </patternFill>
    </fill>
    <fill>
      <patternFill patternType="solid">
        <fgColor rgb="FF5C58A7"/>
        <bgColor indexed="64"/>
      </patternFill>
    </fill>
    <fill>
      <patternFill patternType="solid">
        <fgColor rgb="FFBB386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89999084444715716"/>
        <bgColor indexed="64"/>
      </patternFill>
    </fill>
  </fills>
  <borders count="91">
    <border>
      <left/>
      <right/>
      <top/>
      <bottom/>
      <diagonal/>
    </border>
    <border>
      <left/>
      <right/>
      <top/>
      <bottom style="thick">
        <color auto="1"/>
      </bottom>
      <diagonal/>
    </border>
    <border>
      <left/>
      <right/>
      <top/>
      <bottom style="thin">
        <color indexed="64"/>
      </bottom>
      <diagonal/>
    </border>
    <border>
      <left/>
      <right/>
      <top/>
      <bottom style="medium">
        <color indexed="64"/>
      </bottom>
      <diagonal/>
    </border>
    <border>
      <left style="thin">
        <color rgb="FF0070C0"/>
      </left>
      <right/>
      <top style="thin">
        <color rgb="FF0070C0"/>
      </top>
      <bottom/>
      <diagonal/>
    </border>
    <border>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top/>
      <bottom style="thin">
        <color rgb="FF0070C0"/>
      </bottom>
      <diagonal/>
    </border>
    <border>
      <left/>
      <right/>
      <top/>
      <bottom style="thin">
        <color rgb="FF0070C0"/>
      </bottom>
      <diagonal/>
    </border>
    <border>
      <left/>
      <right style="thin">
        <color rgb="FF0070C0"/>
      </right>
      <top/>
      <bottom style="thin">
        <color rgb="FF0070C0"/>
      </bottom>
      <diagonal/>
    </border>
    <border>
      <left/>
      <right/>
      <top style="thin">
        <color auto="1"/>
      </top>
      <bottom/>
      <diagonal/>
    </border>
    <border>
      <left/>
      <right/>
      <top style="thin">
        <color auto="1"/>
      </top>
      <bottom style="double">
        <color auto="1"/>
      </bottom>
      <diagonal/>
    </border>
    <border>
      <left/>
      <right/>
      <top/>
      <bottom style="slantDashDot">
        <color indexed="64"/>
      </bottom>
      <diagonal/>
    </border>
    <border>
      <left/>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4586BB"/>
      </left>
      <right/>
      <top/>
      <bottom/>
      <diagonal/>
    </border>
    <border>
      <left/>
      <right style="thin">
        <color rgb="FF4586BB"/>
      </right>
      <top/>
      <bottom/>
      <diagonal/>
    </border>
    <border>
      <left style="thin">
        <color rgb="FF4586BB"/>
      </left>
      <right/>
      <top/>
      <bottom style="thin">
        <color rgb="FF4586BB"/>
      </bottom>
      <diagonal/>
    </border>
    <border>
      <left/>
      <right/>
      <top/>
      <bottom style="thin">
        <color rgb="FF4586BB"/>
      </bottom>
      <diagonal/>
    </border>
    <border>
      <left/>
      <right style="thin">
        <color rgb="FF4586BB"/>
      </right>
      <top/>
      <bottom style="thin">
        <color rgb="FF4586BB"/>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bottom/>
      <diagonal/>
    </border>
    <border>
      <left style="hair">
        <color theme="0" tint="-0.499984740745262"/>
      </left>
      <right/>
      <top style="hair">
        <color theme="0" tint="-0.499984740745262"/>
      </top>
      <bottom/>
      <diagonal/>
    </border>
    <border>
      <left/>
      <right/>
      <top style="hair">
        <color theme="0" tint="-0.499984740745262"/>
      </top>
      <bottom/>
      <diagonal/>
    </border>
    <border>
      <left/>
      <right style="hair">
        <color theme="0" tint="-0.499984740745262"/>
      </right>
      <top style="hair">
        <color theme="0" tint="-0.499984740745262"/>
      </top>
      <bottom/>
      <diagonal/>
    </border>
    <border>
      <left style="hair">
        <color theme="0" tint="-0.499984740745262"/>
      </left>
      <right/>
      <top/>
      <bottom/>
      <diagonal/>
    </border>
    <border>
      <left/>
      <right style="hair">
        <color theme="0" tint="-0.499984740745262"/>
      </right>
      <top/>
      <bottom/>
      <diagonal/>
    </border>
    <border>
      <left style="hair">
        <color theme="0" tint="-0.499984740745262"/>
      </left>
      <right/>
      <top/>
      <bottom style="hair">
        <color theme="0" tint="-0.499984740745262"/>
      </bottom>
      <diagonal/>
    </border>
    <border>
      <left/>
      <right/>
      <top/>
      <bottom style="hair">
        <color theme="0" tint="-0.499984740745262"/>
      </bottom>
      <diagonal/>
    </border>
    <border>
      <left/>
      <right style="hair">
        <color theme="0" tint="-0.499984740745262"/>
      </right>
      <top/>
      <bottom style="hair">
        <color theme="0" tint="-0.499984740745262"/>
      </bottom>
      <diagonal/>
    </border>
    <border>
      <left/>
      <right/>
      <top/>
      <bottom style="hair">
        <color indexed="64"/>
      </bottom>
      <diagonal/>
    </border>
    <border>
      <left/>
      <right/>
      <top style="hair">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thin">
        <color auto="1"/>
      </bottom>
      <diagonal/>
    </border>
    <border>
      <left style="hair">
        <color rgb="FF0070C0"/>
      </left>
      <right/>
      <top/>
      <bottom/>
      <diagonal/>
    </border>
    <border>
      <left/>
      <right style="hair">
        <color rgb="FF0070C0"/>
      </right>
      <top/>
      <bottom/>
      <diagonal/>
    </border>
    <border>
      <left style="hair">
        <color rgb="FF0070C0"/>
      </left>
      <right/>
      <top/>
      <bottom style="hair">
        <color rgb="FF0070C0"/>
      </bottom>
      <diagonal/>
    </border>
    <border>
      <left/>
      <right style="hair">
        <color rgb="FF0070C0"/>
      </right>
      <top/>
      <bottom style="hair">
        <color rgb="FF0070C0"/>
      </bottom>
      <diagonal/>
    </border>
    <border>
      <left style="thin">
        <color rgb="FF0070C0"/>
      </left>
      <right/>
      <top style="medium">
        <color indexed="64"/>
      </top>
      <bottom style="thin">
        <color auto="1"/>
      </bottom>
      <diagonal/>
    </border>
    <border>
      <left style="thin">
        <color rgb="FF0070C0"/>
      </left>
      <right/>
      <top/>
      <bottom style="medium">
        <color indexed="64"/>
      </bottom>
      <diagonal/>
    </border>
    <border>
      <left/>
      <right style="thin">
        <color rgb="FF0070C0"/>
      </right>
      <top style="medium">
        <color indexed="64"/>
      </top>
      <bottom style="thin">
        <color auto="1"/>
      </bottom>
      <diagonal/>
    </border>
    <border>
      <left style="thin">
        <color rgb="FF0070C0"/>
      </left>
      <right/>
      <top style="hair">
        <color auto="1"/>
      </top>
      <bottom/>
      <diagonal/>
    </border>
    <border>
      <left/>
      <right style="thin">
        <color rgb="FF0070C0"/>
      </right>
      <top style="hair">
        <color auto="1"/>
      </top>
      <bottom/>
      <diagonal/>
    </border>
    <border>
      <left style="thin">
        <color rgb="FF0070C0"/>
      </left>
      <right/>
      <top/>
      <bottom style="thin">
        <color indexed="64"/>
      </bottom>
      <diagonal/>
    </border>
    <border>
      <left/>
      <right style="thin">
        <color rgb="FF0070C0"/>
      </right>
      <top/>
      <bottom style="thin">
        <color indexed="64"/>
      </bottom>
      <diagonal/>
    </border>
    <border>
      <left style="thin">
        <color rgb="FF0070C0"/>
      </left>
      <right/>
      <top style="hair">
        <color theme="1"/>
      </top>
      <bottom style="thin">
        <color rgb="FF0070C0"/>
      </bottom>
      <diagonal/>
    </border>
    <border>
      <left/>
      <right style="thin">
        <color rgb="FF0070C0"/>
      </right>
      <top style="hair">
        <color theme="1"/>
      </top>
      <bottom style="thin">
        <color rgb="FF0070C0"/>
      </bottom>
      <diagonal/>
    </border>
    <border>
      <left/>
      <right style="thin">
        <color rgb="FF0070C0"/>
      </right>
      <top style="thin">
        <color indexed="64"/>
      </top>
      <bottom style="thin">
        <color rgb="FF0070C0"/>
      </bottom>
      <diagonal/>
    </border>
    <border>
      <left style="hair">
        <color rgb="FF0070C0"/>
      </left>
      <right/>
      <top style="hair">
        <color rgb="FF0070C0"/>
      </top>
      <bottom style="thin">
        <color indexed="64"/>
      </bottom>
      <diagonal/>
    </border>
    <border>
      <left/>
      <right style="hair">
        <color rgb="FF0070C0"/>
      </right>
      <top style="hair">
        <color rgb="FF0070C0"/>
      </top>
      <bottom style="thin">
        <color indexed="64"/>
      </bottom>
      <diagonal/>
    </border>
    <border>
      <left style="thin">
        <color rgb="FF0070C0"/>
      </left>
      <right/>
      <top style="thin">
        <color theme="0"/>
      </top>
      <bottom style="thin">
        <color rgb="FF0070C0"/>
      </bottom>
      <diagonal/>
    </border>
    <border>
      <left/>
      <right/>
      <top style="thin">
        <color theme="0"/>
      </top>
      <bottom style="thin">
        <color rgb="FF0070C0"/>
      </bottom>
      <diagonal/>
    </border>
    <border>
      <left style="thin">
        <color rgb="FF0070C0"/>
      </left>
      <right/>
      <top style="hair">
        <color auto="1"/>
      </top>
      <bottom style="thin">
        <color rgb="FF0070C0"/>
      </bottom>
      <diagonal/>
    </border>
    <border>
      <left/>
      <right/>
      <top style="hair">
        <color auto="1"/>
      </top>
      <bottom style="thin">
        <color rgb="FF0070C0"/>
      </bottom>
      <diagonal/>
    </border>
    <border>
      <left/>
      <right style="thin">
        <color rgb="FF0070C0"/>
      </right>
      <top style="hair">
        <color auto="1"/>
      </top>
      <bottom style="thin">
        <color rgb="FF0070C0"/>
      </bottom>
      <diagonal/>
    </border>
    <border>
      <left/>
      <right style="thin">
        <color rgb="FF0070C0"/>
      </right>
      <top/>
      <bottom style="hair">
        <color indexed="64"/>
      </bottom>
      <diagonal/>
    </border>
    <border>
      <left/>
      <right style="thin">
        <color rgb="FF0070C0"/>
      </right>
      <top style="thin">
        <color auto="1"/>
      </top>
      <bottom/>
      <diagonal/>
    </border>
    <border>
      <left style="thin">
        <color rgb="FF0070C0"/>
      </left>
      <right/>
      <top style="thin">
        <color indexed="64"/>
      </top>
      <bottom/>
      <diagonal/>
    </border>
    <border>
      <left style="thin">
        <color rgb="FF0070C0"/>
      </left>
      <right/>
      <top style="thin">
        <color auto="1"/>
      </top>
      <bottom style="slantDashDot">
        <color rgb="FF0070C0"/>
      </bottom>
      <diagonal/>
    </border>
    <border>
      <left/>
      <right/>
      <top style="thin">
        <color auto="1"/>
      </top>
      <bottom style="slantDashDot">
        <color rgb="FF0070C0"/>
      </bottom>
      <diagonal/>
    </border>
    <border>
      <left/>
      <right style="thin">
        <color rgb="FF0070C0"/>
      </right>
      <top style="thin">
        <color auto="1"/>
      </top>
      <bottom style="slantDashDot">
        <color rgb="FF0070C0"/>
      </bottom>
      <diagonal/>
    </border>
    <border>
      <left style="thin">
        <color rgb="FF0070C0"/>
      </left>
      <right/>
      <top style="thin">
        <color indexed="64"/>
      </top>
      <bottom style="double">
        <color rgb="FF0070C0"/>
      </bottom>
      <diagonal/>
    </border>
    <border>
      <left/>
      <right/>
      <top style="thin">
        <color indexed="64"/>
      </top>
      <bottom style="double">
        <color rgb="FF0070C0"/>
      </bottom>
      <diagonal/>
    </border>
    <border>
      <left/>
      <right style="thin">
        <color rgb="FF0070C0"/>
      </right>
      <top style="thin">
        <color indexed="64"/>
      </top>
      <bottom style="double">
        <color rgb="FF0070C0"/>
      </bottom>
      <diagonal/>
    </border>
    <border>
      <left/>
      <right/>
      <top/>
      <bottom style="thin">
        <color theme="0"/>
      </bottom>
      <diagonal/>
    </border>
    <border>
      <left/>
      <right/>
      <top style="thin">
        <color rgb="FF002060"/>
      </top>
      <bottom/>
      <diagonal/>
    </border>
    <border>
      <left/>
      <right/>
      <top/>
      <bottom style="thin">
        <color rgb="FF002060"/>
      </bottom>
      <diagonal/>
    </border>
    <border>
      <left/>
      <right/>
      <top style="slantDashDot">
        <color rgb="FF002060"/>
      </top>
      <bottom style="slantDashDot">
        <color rgb="FF002060"/>
      </bottom>
      <diagonal/>
    </border>
    <border>
      <left/>
      <right style="hair">
        <color auto="1"/>
      </right>
      <top/>
      <bottom style="hair">
        <color auto="1"/>
      </bottom>
      <diagonal/>
    </border>
    <border>
      <left/>
      <right/>
      <top style="hair">
        <color auto="1"/>
      </top>
      <bottom style="hair">
        <color auto="1"/>
      </bottom>
      <diagonal/>
    </border>
    <border>
      <left/>
      <right/>
      <top style="hair">
        <color auto="1"/>
      </top>
      <bottom style="thin">
        <color auto="1"/>
      </bottom>
      <diagonal/>
    </border>
    <border>
      <left/>
      <right/>
      <top style="thin">
        <color auto="1"/>
      </top>
      <bottom style="slantDashDot">
        <color auto="1"/>
      </bottom>
      <diagonal/>
    </border>
    <border>
      <left style="thin">
        <color rgb="FF0070C0"/>
      </left>
      <right/>
      <top style="thin">
        <color auto="1"/>
      </top>
      <bottom style="slantDashDot">
        <color auto="1"/>
      </bottom>
      <diagonal/>
    </border>
    <border>
      <left/>
      <right style="thin">
        <color rgb="FF0070C0"/>
      </right>
      <top style="thin">
        <color auto="1"/>
      </top>
      <bottom style="slantDashDot">
        <color auto="1"/>
      </bottom>
      <diagonal/>
    </border>
    <border>
      <left style="thin">
        <color rgb="FF0070C0"/>
      </left>
      <right/>
      <top/>
      <bottom style="hair">
        <color indexed="64"/>
      </bottom>
      <diagonal/>
    </border>
    <border>
      <left style="thin">
        <color rgb="FF0070C0"/>
      </left>
      <right/>
      <top style="hair">
        <color auto="1"/>
      </top>
      <bottom style="hair">
        <color auto="1"/>
      </bottom>
      <diagonal/>
    </border>
    <border>
      <left/>
      <right style="thin">
        <color rgb="FF0070C0"/>
      </right>
      <top style="hair">
        <color auto="1"/>
      </top>
      <bottom style="hair">
        <color auto="1"/>
      </bottom>
      <diagonal/>
    </border>
    <border>
      <left style="thin">
        <color rgb="FF0070C0"/>
      </left>
      <right/>
      <top style="hair">
        <color auto="1"/>
      </top>
      <bottom style="thin">
        <color auto="1"/>
      </bottom>
      <diagonal/>
    </border>
    <border>
      <left/>
      <right style="thin">
        <color rgb="FF0070C0"/>
      </right>
      <top style="hair">
        <color auto="1"/>
      </top>
      <bottom style="thin">
        <color auto="1"/>
      </bottom>
      <diagonal/>
    </border>
    <border>
      <left style="thin">
        <color rgb="FF0070C0"/>
      </left>
      <right/>
      <top style="slantDashDot">
        <color auto="1"/>
      </top>
      <bottom style="thin">
        <color theme="1"/>
      </bottom>
      <diagonal/>
    </border>
    <border>
      <left/>
      <right/>
      <top style="slantDashDot">
        <color auto="1"/>
      </top>
      <bottom style="thin">
        <color theme="1"/>
      </bottom>
      <diagonal/>
    </border>
    <border>
      <left/>
      <right style="thin">
        <color rgb="FF0070C0"/>
      </right>
      <top style="slantDashDot">
        <color auto="1"/>
      </top>
      <bottom style="thin">
        <color theme="1"/>
      </bottom>
      <diagonal/>
    </border>
  </borders>
  <cellStyleXfs count="6">
    <xf numFmtId="0" fontId="0" fillId="0" borderId="0"/>
    <xf numFmtId="9" fontId="16" fillId="0" borderId="0" applyFont="0" applyFill="0" applyBorder="0" applyAlignment="0" applyProtection="0"/>
    <xf numFmtId="43" fontId="16" fillId="0" borderId="0" applyFont="0" applyFill="0" applyBorder="0" applyAlignment="0" applyProtection="0"/>
    <xf numFmtId="0" fontId="20" fillId="0" borderId="0"/>
    <xf numFmtId="0" fontId="24" fillId="0" borderId="0"/>
    <xf numFmtId="0" fontId="74" fillId="0" borderId="0" applyNumberFormat="0" applyFill="0" applyBorder="0" applyAlignment="0" applyProtection="0"/>
  </cellStyleXfs>
  <cellXfs count="642">
    <xf numFmtId="0" fontId="0" fillId="0" borderId="0" xfId="0"/>
    <xf numFmtId="0" fontId="0" fillId="0" borderId="1" xfId="0" applyBorder="1"/>
    <xf numFmtId="0" fontId="2" fillId="0" borderId="0" xfId="0" applyFont="1"/>
    <xf numFmtId="0" fontId="4" fillId="0" borderId="0" xfId="0" applyFont="1"/>
    <xf numFmtId="0" fontId="5" fillId="0" borderId="0" xfId="0" applyFont="1"/>
    <xf numFmtId="0" fontId="0" fillId="0" borderId="0" xfId="0" applyAlignment="1">
      <alignment horizontal="centerContinuous"/>
    </xf>
    <xf numFmtId="0" fontId="7" fillId="0" borderId="0" xfId="0" applyFont="1" applyAlignment="1">
      <alignment horizontal="centerContinuous"/>
    </xf>
    <xf numFmtId="0" fontId="0" fillId="2" borderId="0" xfId="0" applyFill="1"/>
    <xf numFmtId="0" fontId="0" fillId="4" borderId="0" xfId="0" applyFill="1"/>
    <xf numFmtId="0" fontId="0" fillId="5" borderId="0" xfId="0" applyFill="1"/>
    <xf numFmtId="0" fontId="9" fillId="0" borderId="0" xfId="0" applyFont="1"/>
    <xf numFmtId="0" fontId="0" fillId="0" borderId="0" xfId="0" quotePrefix="1"/>
    <xf numFmtId="0" fontId="0" fillId="0" borderId="0" xfId="0" applyAlignment="1">
      <alignment horizontal="left"/>
    </xf>
    <xf numFmtId="0" fontId="3" fillId="3" borderId="5" xfId="0" applyFont="1" applyFill="1" applyBorder="1"/>
    <xf numFmtId="0" fontId="3" fillId="3" borderId="6" xfId="0" applyFont="1" applyFill="1" applyBorder="1"/>
    <xf numFmtId="0" fontId="0" fillId="2" borderId="7" xfId="0" applyFill="1" applyBorder="1"/>
    <xf numFmtId="0" fontId="0" fillId="2" borderId="8" xfId="0" applyFill="1" applyBorder="1"/>
    <xf numFmtId="0" fontId="0" fillId="4" borderId="7" xfId="0" applyFill="1" applyBorder="1"/>
    <xf numFmtId="0" fontId="0" fillId="4" borderId="8" xfId="0" applyFill="1" applyBorder="1"/>
    <xf numFmtId="0" fontId="0" fillId="5" borderId="7" xfId="0" applyFill="1" applyBorder="1"/>
    <xf numFmtId="0" fontId="0" fillId="5" borderId="8" xfId="0" applyFill="1" applyBorder="1"/>
    <xf numFmtId="0" fontId="0" fillId="0" borderId="7" xfId="0" applyBorder="1" applyAlignment="1">
      <alignment horizontal="center"/>
    </xf>
    <xf numFmtId="0" fontId="0" fillId="0" borderId="8" xfId="0" applyBorder="1"/>
    <xf numFmtId="0" fontId="0" fillId="0" borderId="8" xfId="0" applyBorder="1" applyAlignment="1">
      <alignment horizontal="left"/>
    </xf>
    <xf numFmtId="0" fontId="0" fillId="0" borderId="9" xfId="0" applyBorder="1"/>
    <xf numFmtId="0" fontId="0" fillId="0" borderId="10" xfId="0" applyBorder="1"/>
    <xf numFmtId="0" fontId="0" fillId="0" borderId="10" xfId="0" applyBorder="1" applyAlignment="1">
      <alignment horizontal="left"/>
    </xf>
    <xf numFmtId="0" fontId="0" fillId="0" borderId="11" xfId="0" applyBorder="1" applyAlignment="1">
      <alignment horizontal="left"/>
    </xf>
    <xf numFmtId="0" fontId="1" fillId="3" borderId="4" xfId="0" applyFont="1" applyFill="1" applyBorder="1"/>
    <xf numFmtId="164" fontId="2" fillId="0" borderId="12" xfId="0" applyNumberFormat="1" applyFont="1" applyBorder="1"/>
    <xf numFmtId="164" fontId="9" fillId="0" borderId="0" xfId="0" applyNumberFormat="1" applyFont="1"/>
    <xf numFmtId="164" fontId="10" fillId="0" borderId="12" xfId="0" applyNumberFormat="1" applyFont="1" applyBorder="1"/>
    <xf numFmtId="164" fontId="2" fillId="0" borderId="13" xfId="0" applyNumberFormat="1" applyFont="1" applyBorder="1"/>
    <xf numFmtId="0" fontId="1" fillId="3" borderId="0" xfId="0" applyFont="1" applyFill="1" applyAlignment="1">
      <alignment horizontal="center" vertical="center"/>
    </xf>
    <xf numFmtId="0" fontId="0" fillId="0" borderId="2" xfId="0" applyBorder="1"/>
    <xf numFmtId="0" fontId="11" fillId="0" borderId="0" xfId="0" applyFont="1"/>
    <xf numFmtId="164" fontId="0" fillId="0" borderId="0" xfId="0" applyNumberFormat="1"/>
    <xf numFmtId="164" fontId="2" fillId="0" borderId="15" xfId="0" applyNumberFormat="1" applyFont="1" applyBorder="1"/>
    <xf numFmtId="0" fontId="12" fillId="0" borderId="0" xfId="0" quotePrefix="1" applyFont="1" applyAlignment="1">
      <alignment horizontal="left"/>
    </xf>
    <xf numFmtId="0" fontId="13" fillId="0" borderId="0" xfId="0" applyFont="1"/>
    <xf numFmtId="164" fontId="13" fillId="0" borderId="0" xfId="0" applyNumberFormat="1" applyFont="1"/>
    <xf numFmtId="0" fontId="2" fillId="0" borderId="0" xfId="0" applyFont="1" applyAlignment="1">
      <alignment horizontal="centerContinuous"/>
    </xf>
    <xf numFmtId="0" fontId="12" fillId="0" borderId="0" xfId="0" applyFont="1"/>
    <xf numFmtId="0" fontId="0" fillId="0" borderId="0" xfId="0" quotePrefix="1" applyAlignment="1">
      <alignment horizontal="left"/>
    </xf>
    <xf numFmtId="0" fontId="12" fillId="0" borderId="0" xfId="0" applyFont="1" applyAlignment="1">
      <alignment horizontal="left"/>
    </xf>
    <xf numFmtId="164" fontId="2" fillId="0" borderId="0" xfId="0" applyNumberFormat="1" applyFont="1"/>
    <xf numFmtId="0" fontId="0" fillId="0" borderId="16" xfId="0" applyBorder="1"/>
    <xf numFmtId="0" fontId="0" fillId="0" borderId="12" xfId="0" applyBorder="1"/>
    <xf numFmtId="164" fontId="9" fillId="0" borderId="12" xfId="0" applyNumberFormat="1" applyFont="1" applyBorder="1"/>
    <xf numFmtId="164" fontId="0" fillId="0" borderId="12" xfId="0" applyNumberFormat="1" applyBorder="1"/>
    <xf numFmtId="164" fontId="0" fillId="0" borderId="17" xfId="0" applyNumberFormat="1" applyBorder="1"/>
    <xf numFmtId="0" fontId="0" fillId="0" borderId="18" xfId="0" applyBorder="1"/>
    <xf numFmtId="164" fontId="9" fillId="0" borderId="19" xfId="0" applyNumberFormat="1" applyFont="1" applyBorder="1"/>
    <xf numFmtId="0" fontId="0" fillId="0" borderId="20" xfId="0" applyBorder="1"/>
    <xf numFmtId="164" fontId="0" fillId="0" borderId="2" xfId="0" applyNumberFormat="1" applyBorder="1"/>
    <xf numFmtId="164" fontId="0" fillId="0" borderId="21" xfId="0" applyNumberFormat="1" applyBorder="1"/>
    <xf numFmtId="3" fontId="14" fillId="0" borderId="0" xfId="0" applyNumberFormat="1" applyFont="1"/>
    <xf numFmtId="39" fontId="9" fillId="0" borderId="8" xfId="0" applyNumberFormat="1" applyFont="1" applyBorder="1" applyAlignment="1">
      <alignment horizontal="right"/>
    </xf>
    <xf numFmtId="0" fontId="0" fillId="0" borderId="7" xfId="0" applyBorder="1"/>
    <xf numFmtId="0" fontId="0" fillId="0" borderId="11" xfId="0" applyBorder="1"/>
    <xf numFmtId="0" fontId="0" fillId="0" borderId="9" xfId="0" applyBorder="1" applyAlignment="1">
      <alignment horizontal="center"/>
    </xf>
    <xf numFmtId="165" fontId="9" fillId="0" borderId="8" xfId="0" applyNumberFormat="1" applyFont="1" applyBorder="1" applyAlignment="1">
      <alignment horizontal="right"/>
    </xf>
    <xf numFmtId="0" fontId="17" fillId="0" borderId="7" xfId="0" applyFont="1" applyBorder="1" applyAlignment="1">
      <alignment horizontal="centerContinuous" vertical="center"/>
    </xf>
    <xf numFmtId="0" fontId="17" fillId="0" borderId="0" xfId="0" applyFont="1" applyAlignment="1">
      <alignment horizontal="centerContinuous" vertical="center"/>
    </xf>
    <xf numFmtId="0" fontId="17" fillId="0" borderId="0" xfId="0" applyFont="1" applyAlignment="1">
      <alignment horizontal="centerContinuous"/>
    </xf>
    <xf numFmtId="0" fontId="18" fillId="0" borderId="0" xfId="0" applyFont="1" applyAlignment="1">
      <alignment horizontal="centerContinuous"/>
    </xf>
    <xf numFmtId="166" fontId="0" fillId="0" borderId="7" xfId="0" applyNumberFormat="1" applyBorder="1" applyAlignment="1">
      <alignment horizontal="centerContinuous" vertical="center"/>
    </xf>
    <xf numFmtId="0" fontId="18" fillId="0" borderId="0" xfId="0" applyFont="1" applyAlignment="1">
      <alignment horizontal="centerContinuous" vertical="center"/>
    </xf>
    <xf numFmtId="166" fontId="0" fillId="0" borderId="9" xfId="0" applyNumberFormat="1" applyBorder="1" applyAlignment="1">
      <alignment horizontal="centerContinuous" vertical="center"/>
    </xf>
    <xf numFmtId="0" fontId="18" fillId="0" borderId="10" xfId="0" applyFont="1" applyBorder="1" applyAlignment="1">
      <alignment horizontal="centerContinuous" vertical="center"/>
    </xf>
    <xf numFmtId="0" fontId="18" fillId="0" borderId="8" xfId="0" applyFont="1" applyBorder="1" applyAlignment="1">
      <alignment horizontal="centerContinuous"/>
    </xf>
    <xf numFmtId="167" fontId="9" fillId="0" borderId="0" xfId="0" applyNumberFormat="1" applyFont="1" applyAlignment="1">
      <alignment horizontal="centerContinuous"/>
    </xf>
    <xf numFmtId="167" fontId="18" fillId="0" borderId="0" xfId="0" applyNumberFormat="1" applyFont="1" applyAlignment="1">
      <alignment horizontal="centerContinuous"/>
    </xf>
    <xf numFmtId="167" fontId="18" fillId="0" borderId="8" xfId="0" applyNumberFormat="1" applyFont="1" applyBorder="1" applyAlignment="1">
      <alignment horizontal="centerContinuous"/>
    </xf>
    <xf numFmtId="167" fontId="9" fillId="0" borderId="10" xfId="0" applyNumberFormat="1" applyFont="1" applyBorder="1" applyAlignment="1">
      <alignment horizontal="centerContinuous"/>
    </xf>
    <xf numFmtId="167" fontId="0" fillId="0" borderId="10" xfId="0" applyNumberFormat="1" applyBorder="1" applyAlignment="1">
      <alignment horizontal="centerContinuous"/>
    </xf>
    <xf numFmtId="167" fontId="18" fillId="0" borderId="10" xfId="0" applyNumberFormat="1" applyFont="1" applyBorder="1" applyAlignment="1">
      <alignment horizontal="centerContinuous"/>
    </xf>
    <xf numFmtId="167" fontId="0" fillId="0" borderId="11" xfId="0" applyNumberFormat="1" applyBorder="1" applyAlignment="1">
      <alignment horizontal="centerContinuous"/>
    </xf>
    <xf numFmtId="0" fontId="17" fillId="0" borderId="0" xfId="0" applyFont="1"/>
    <xf numFmtId="0" fontId="18" fillId="0" borderId="0" xfId="0" applyFont="1"/>
    <xf numFmtId="167" fontId="9" fillId="0" borderId="0" xfId="0" applyNumberFormat="1" applyFont="1"/>
    <xf numFmtId="167" fontId="18" fillId="0" borderId="0" xfId="0" applyNumberFormat="1" applyFont="1"/>
    <xf numFmtId="167" fontId="9" fillId="0" borderId="10" xfId="0" applyNumberFormat="1" applyFont="1" applyBorder="1"/>
    <xf numFmtId="167" fontId="0" fillId="0" borderId="10" xfId="0" applyNumberFormat="1" applyBorder="1"/>
    <xf numFmtId="167" fontId="18" fillId="0" borderId="10" xfId="0" applyNumberFormat="1" applyFont="1" applyBorder="1"/>
    <xf numFmtId="10" fontId="9" fillId="0" borderId="8" xfId="1" applyNumberFormat="1" applyFont="1" applyBorder="1" applyAlignment="1"/>
    <xf numFmtId="166" fontId="0" fillId="0" borderId="0" xfId="0" applyNumberFormat="1" applyAlignment="1">
      <alignment horizontal="centerContinuous" vertical="center"/>
    </xf>
    <xf numFmtId="167" fontId="0" fillId="0" borderId="0" xfId="0" applyNumberFormat="1" applyAlignment="1">
      <alignment horizontal="centerContinuous"/>
    </xf>
    <xf numFmtId="166" fontId="0" fillId="0" borderId="0" xfId="0" applyNumberFormat="1" applyAlignment="1">
      <alignment vertical="center"/>
    </xf>
    <xf numFmtId="0" fontId="18" fillId="0" borderId="0" xfId="0" applyFont="1" applyAlignment="1">
      <alignment vertical="center"/>
    </xf>
    <xf numFmtId="167" fontId="0" fillId="0" borderId="0" xfId="0" applyNumberFormat="1"/>
    <xf numFmtId="0" fontId="0" fillId="0" borderId="22" xfId="0" applyBorder="1" applyAlignment="1">
      <alignment horizontal="center" vertical="center"/>
    </xf>
    <xf numFmtId="0" fontId="19" fillId="0" borderId="23" xfId="0" applyFont="1" applyBorder="1" applyAlignment="1">
      <alignment horizontal="right"/>
    </xf>
    <xf numFmtId="168" fontId="0" fillId="0" borderId="0" xfId="0" quotePrefix="1" applyNumberFormat="1" applyAlignment="1">
      <alignment horizontal="left"/>
    </xf>
    <xf numFmtId="0" fontId="0" fillId="0" borderId="24" xfId="0" applyBorder="1" applyAlignment="1">
      <alignment horizontal="center" vertical="center"/>
    </xf>
    <xf numFmtId="168" fontId="0" fillId="0" borderId="25" xfId="0" quotePrefix="1" applyNumberFormat="1" applyBorder="1" applyAlignment="1">
      <alignment horizontal="left"/>
    </xf>
    <xf numFmtId="0" fontId="0" fillId="0" borderId="25" xfId="0" applyBorder="1"/>
    <xf numFmtId="169" fontId="19" fillId="0" borderId="26" xfId="0" applyNumberFormat="1" applyFont="1" applyBorder="1" applyAlignment="1">
      <alignment horizontal="right"/>
    </xf>
    <xf numFmtId="169" fontId="15" fillId="0" borderId="23" xfId="0" applyNumberFormat="1" applyFont="1" applyBorder="1" applyAlignment="1">
      <alignment horizontal="right"/>
    </xf>
    <xf numFmtId="170" fontId="0" fillId="0" borderId="8" xfId="0" applyNumberFormat="1" applyBorder="1" applyAlignment="1">
      <alignment horizontal="right"/>
    </xf>
    <xf numFmtId="170" fontId="0" fillId="0" borderId="11" xfId="0" applyNumberFormat="1" applyBorder="1" applyAlignment="1">
      <alignment horizontal="right"/>
    </xf>
    <xf numFmtId="0" fontId="17" fillId="0" borderId="7" xfId="0" applyFont="1" applyBorder="1" applyAlignment="1">
      <alignment horizontal="left" vertical="center"/>
    </xf>
    <xf numFmtId="0" fontId="17" fillId="0" borderId="0" xfId="0" applyFont="1" applyAlignment="1">
      <alignment horizontal="left" vertical="center"/>
    </xf>
    <xf numFmtId="171" fontId="9" fillId="0" borderId="8" xfId="0" applyNumberFormat="1" applyFont="1" applyBorder="1" applyAlignment="1">
      <alignment horizontal="right"/>
    </xf>
    <xf numFmtId="167" fontId="0" fillId="0" borderId="8" xfId="0" applyNumberFormat="1" applyBorder="1" applyAlignment="1">
      <alignment horizontal="centerContinuous"/>
    </xf>
    <xf numFmtId="171" fontId="9" fillId="0" borderId="11" xfId="0" applyNumberFormat="1" applyFont="1" applyBorder="1" applyAlignment="1">
      <alignment horizontal="right"/>
    </xf>
    <xf numFmtId="10" fontId="9" fillId="0" borderId="11" xfId="1" applyNumberFormat="1" applyFont="1" applyBorder="1" applyAlignment="1"/>
    <xf numFmtId="0" fontId="9" fillId="0" borderId="8" xfId="0" applyFont="1" applyBorder="1"/>
    <xf numFmtId="172" fontId="0" fillId="0" borderId="8" xfId="0" applyNumberFormat="1" applyBorder="1"/>
    <xf numFmtId="0" fontId="21" fillId="0" borderId="0" xfId="3" applyFont="1"/>
    <xf numFmtId="0" fontId="22" fillId="0" borderId="0" xfId="3" applyFont="1" applyAlignment="1">
      <alignment horizontal="centerContinuous"/>
    </xf>
    <xf numFmtId="0" fontId="23" fillId="0" borderId="0" xfId="3" applyFont="1" applyAlignment="1">
      <alignment horizontal="centerContinuous"/>
    </xf>
    <xf numFmtId="0" fontId="24" fillId="0" borderId="0" xfId="3" applyFont="1"/>
    <xf numFmtId="0" fontId="26" fillId="0" borderId="0" xfId="3" quotePrefix="1" applyFont="1" applyAlignment="1">
      <alignment horizontal="left"/>
    </xf>
    <xf numFmtId="0" fontId="26" fillId="0" borderId="0" xfId="3" quotePrefix="1" applyFont="1" applyAlignment="1">
      <alignment horizontal="center"/>
    </xf>
    <xf numFmtId="0" fontId="24" fillId="0" borderId="16" xfId="3" applyFont="1" applyBorder="1"/>
    <xf numFmtId="0" fontId="24" fillId="0" borderId="12" xfId="3" applyFont="1" applyBorder="1"/>
    <xf numFmtId="0" fontId="24" fillId="0" borderId="12" xfId="3" applyFont="1" applyBorder="1" applyAlignment="1">
      <alignment horizontal="center"/>
    </xf>
    <xf numFmtId="0" fontId="24" fillId="0" borderId="17" xfId="3" applyFont="1" applyBorder="1" applyAlignment="1">
      <alignment horizontal="center"/>
    </xf>
    <xf numFmtId="0" fontId="12" fillId="0" borderId="2" xfId="3" applyFont="1" applyBorder="1" applyAlignment="1">
      <alignment horizontal="centerContinuous"/>
    </xf>
    <xf numFmtId="0" fontId="12" fillId="0" borderId="18" xfId="3" applyFont="1" applyBorder="1" applyAlignment="1">
      <alignment vertical="center"/>
    </xf>
    <xf numFmtId="0" fontId="12" fillId="0" borderId="0" xfId="3" applyFont="1"/>
    <xf numFmtId="0" fontId="27" fillId="0" borderId="0" xfId="3" applyFont="1" applyAlignment="1">
      <alignment horizontal="center" vertical="center"/>
    </xf>
    <xf numFmtId="0" fontId="12" fillId="0" borderId="20" xfId="3" applyFont="1" applyBorder="1"/>
    <xf numFmtId="0" fontId="12" fillId="0" borderId="2" xfId="3" applyFont="1" applyBorder="1"/>
    <xf numFmtId="0" fontId="12" fillId="0" borderId="2" xfId="3" applyFont="1" applyBorder="1" applyAlignment="1">
      <alignment horizontal="center"/>
    </xf>
    <xf numFmtId="0" fontId="12" fillId="0" borderId="21" xfId="3" applyFont="1" applyBorder="1" applyAlignment="1">
      <alignment horizontal="center"/>
    </xf>
    <xf numFmtId="0" fontId="28" fillId="0" borderId="0" xfId="3" quotePrefix="1" applyFont="1" applyAlignment="1">
      <alignment horizontal="right"/>
    </xf>
    <xf numFmtId="0" fontId="28" fillId="0" borderId="0" xfId="3" applyFont="1" applyAlignment="1">
      <alignment horizontal="right"/>
    </xf>
    <xf numFmtId="0" fontId="12" fillId="0" borderId="0" xfId="3" applyFont="1" applyAlignment="1">
      <alignment horizontal="center"/>
    </xf>
    <xf numFmtId="0" fontId="29" fillId="0" borderId="0" xfId="3" quotePrefix="1" applyFont="1" applyAlignment="1">
      <alignment horizontal="left"/>
    </xf>
    <xf numFmtId="0" fontId="30" fillId="0" borderId="0" xfId="3" applyFont="1" applyAlignment="1">
      <alignment horizontal="left"/>
    </xf>
    <xf numFmtId="0" fontId="24" fillId="0" borderId="0" xfId="3" applyFont="1" applyAlignment="1">
      <alignment horizontal="center"/>
    </xf>
    <xf numFmtId="0" fontId="12" fillId="0" borderId="0" xfId="3" applyFont="1" applyAlignment="1">
      <alignment horizontal="left" vertical="center"/>
    </xf>
    <xf numFmtId="0" fontId="27" fillId="0" borderId="0" xfId="3" applyFont="1" applyAlignment="1">
      <alignment horizontal="center"/>
    </xf>
    <xf numFmtId="0" fontId="12" fillId="0" borderId="0" xfId="3" quotePrefix="1" applyFont="1" applyAlignment="1">
      <alignment horizontal="left"/>
    </xf>
    <xf numFmtId="173" fontId="19" fillId="0" borderId="0" xfId="0" applyNumberFormat="1" applyFont="1"/>
    <xf numFmtId="173" fontId="24" fillId="0" borderId="0" xfId="0" applyNumberFormat="1" applyFont="1"/>
    <xf numFmtId="0" fontId="24" fillId="0" borderId="0" xfId="3" applyFont="1" applyAlignment="1">
      <alignment horizontal="left"/>
    </xf>
    <xf numFmtId="0" fontId="32" fillId="0" borderId="0" xfId="3" applyFont="1" applyAlignment="1">
      <alignment horizontal="center"/>
    </xf>
    <xf numFmtId="0" fontId="24" fillId="0" borderId="0" xfId="3" applyFont="1" applyAlignment="1">
      <alignment vertical="center"/>
    </xf>
    <xf numFmtId="0" fontId="12" fillId="0" borderId="0" xfId="3" applyFont="1" applyAlignment="1">
      <alignment horizontal="left"/>
    </xf>
    <xf numFmtId="176" fontId="35" fillId="0" borderId="0" xfId="3" applyNumberFormat="1" applyFont="1"/>
    <xf numFmtId="0" fontId="24" fillId="0" borderId="0" xfId="3" quotePrefix="1" applyFont="1" applyAlignment="1">
      <alignment horizontal="left"/>
    </xf>
    <xf numFmtId="37" fontId="31" fillId="0" borderId="0" xfId="0" applyNumberFormat="1" applyFont="1"/>
    <xf numFmtId="37" fontId="32" fillId="0" borderId="0" xfId="0" applyNumberFormat="1" applyFont="1"/>
    <xf numFmtId="0" fontId="24" fillId="0" borderId="2" xfId="3" applyFont="1" applyBorder="1"/>
    <xf numFmtId="0" fontId="24" fillId="0" borderId="2" xfId="3" applyFont="1" applyBorder="1" applyAlignment="1">
      <alignment horizontal="center"/>
    </xf>
    <xf numFmtId="177" fontId="37" fillId="0" borderId="0" xfId="0" applyNumberFormat="1" applyFont="1" applyAlignment="1">
      <alignment horizontal="center"/>
    </xf>
    <xf numFmtId="177" fontId="38" fillId="0" borderId="28" xfId="0" applyNumberFormat="1" applyFont="1" applyBorder="1" applyAlignment="1">
      <alignment horizontal="center"/>
    </xf>
    <xf numFmtId="0" fontId="24" fillId="0" borderId="2" xfId="3" applyFont="1" applyBorder="1" applyAlignment="1">
      <alignment horizontal="left"/>
    </xf>
    <xf numFmtId="0" fontId="32" fillId="0" borderId="2" xfId="3" applyFont="1" applyBorder="1" applyAlignment="1">
      <alignment horizontal="center"/>
    </xf>
    <xf numFmtId="174" fontId="31" fillId="0" borderId="2" xfId="2" applyNumberFormat="1" applyFont="1" applyBorder="1" applyAlignment="1" applyProtection="1">
      <alignment horizontal="right"/>
    </xf>
    <xf numFmtId="174" fontId="33" fillId="0" borderId="2" xfId="2" applyNumberFormat="1" applyFont="1" applyBorder="1" applyAlignment="1" applyProtection="1">
      <alignment horizontal="right"/>
    </xf>
    <xf numFmtId="177" fontId="31" fillId="0" borderId="0" xfId="0" applyNumberFormat="1" applyFont="1" applyAlignment="1">
      <alignment horizontal="center"/>
    </xf>
    <xf numFmtId="177" fontId="38" fillId="0" borderId="29" xfId="0" applyNumberFormat="1" applyFont="1" applyBorder="1" applyAlignment="1">
      <alignment horizontal="center"/>
    </xf>
    <xf numFmtId="173" fontId="19" fillId="0" borderId="0" xfId="0" applyNumberFormat="1" applyFont="1" applyAlignment="1">
      <alignment horizontal="center"/>
    </xf>
    <xf numFmtId="173" fontId="24" fillId="0" borderId="0" xfId="0" applyNumberFormat="1" applyFont="1" applyAlignment="1">
      <alignment horizontal="center"/>
    </xf>
    <xf numFmtId="0" fontId="0" fillId="0" borderId="0" xfId="0" applyAlignment="1">
      <alignment horizontal="center"/>
    </xf>
    <xf numFmtId="173" fontId="9" fillId="0" borderId="0" xfId="0" applyNumberFormat="1" applyFont="1" applyAlignment="1">
      <alignment horizontal="center"/>
    </xf>
    <xf numFmtId="173" fontId="9" fillId="0" borderId="31" xfId="0" applyNumberFormat="1" applyFont="1" applyBorder="1" applyAlignment="1">
      <alignment horizontal="center"/>
    </xf>
    <xf numFmtId="173" fontId="9" fillId="0" borderId="32" xfId="0" applyNumberFormat="1" applyFont="1" applyBorder="1" applyAlignment="1">
      <alignment horizontal="center"/>
    </xf>
    <xf numFmtId="173" fontId="9" fillId="0" borderId="33" xfId="0" applyNumberFormat="1" applyFont="1" applyBorder="1" applyAlignment="1">
      <alignment horizontal="center"/>
    </xf>
    <xf numFmtId="173" fontId="9" fillId="0" borderId="34" xfId="0" applyNumberFormat="1" applyFont="1" applyBorder="1" applyAlignment="1">
      <alignment horizontal="center"/>
    </xf>
    <xf numFmtId="173" fontId="9" fillId="0" borderId="35" xfId="0" applyNumberFormat="1" applyFont="1" applyBorder="1" applyAlignment="1">
      <alignment horizontal="center"/>
    </xf>
    <xf numFmtId="173" fontId="9" fillId="0" borderId="36" xfId="0" applyNumberFormat="1" applyFont="1" applyBorder="1" applyAlignment="1">
      <alignment horizontal="center"/>
    </xf>
    <xf numFmtId="173" fontId="9" fillId="0" borderId="37" xfId="0" applyNumberFormat="1" applyFont="1" applyBorder="1" applyAlignment="1">
      <alignment horizontal="center"/>
    </xf>
    <xf numFmtId="177" fontId="37" fillId="0" borderId="33" xfId="0" applyNumberFormat="1" applyFont="1" applyBorder="1" applyAlignment="1">
      <alignment horizontal="center"/>
    </xf>
    <xf numFmtId="177" fontId="31" fillId="0" borderId="35" xfId="0" applyNumberFormat="1" applyFont="1" applyBorder="1" applyAlignment="1">
      <alignment horizontal="center"/>
    </xf>
    <xf numFmtId="177" fontId="31" fillId="0" borderId="36" xfId="0" applyNumberFormat="1" applyFont="1" applyBorder="1" applyAlignment="1">
      <alignment horizontal="center"/>
    </xf>
    <xf numFmtId="177" fontId="37" fillId="0" borderId="36" xfId="0" applyNumberFormat="1" applyFont="1" applyBorder="1" applyAlignment="1">
      <alignment horizontal="center"/>
    </xf>
    <xf numFmtId="177" fontId="37" fillId="0" borderId="37" xfId="0" applyNumberFormat="1" applyFont="1" applyBorder="1" applyAlignment="1">
      <alignment horizontal="center"/>
    </xf>
    <xf numFmtId="177" fontId="39" fillId="0" borderId="30" xfId="0" applyNumberFormat="1" applyFont="1" applyBorder="1" applyAlignment="1">
      <alignment horizontal="center"/>
    </xf>
    <xf numFmtId="177" fontId="39" fillId="0" borderId="31" xfId="0" applyNumberFormat="1" applyFont="1" applyBorder="1" applyAlignment="1">
      <alignment horizontal="center"/>
    </xf>
    <xf numFmtId="176" fontId="39" fillId="0" borderId="0" xfId="3" applyNumberFormat="1" applyFont="1"/>
    <xf numFmtId="173" fontId="40" fillId="0" borderId="30" xfId="0" applyNumberFormat="1" applyFont="1" applyBorder="1" applyAlignment="1">
      <alignment horizontal="center"/>
    </xf>
    <xf numFmtId="173" fontId="0" fillId="0" borderId="28" xfId="0" applyNumberFormat="1" applyBorder="1" applyAlignment="1">
      <alignment horizontal="center"/>
    </xf>
    <xf numFmtId="2" fontId="41" fillId="0" borderId="27" xfId="0" applyNumberFormat="1" applyFont="1" applyBorder="1" applyAlignment="1">
      <alignment horizontal="center" vertical="center"/>
    </xf>
    <xf numFmtId="175" fontId="34" fillId="0" borderId="0" xfId="0" applyNumberFormat="1" applyFont="1" applyAlignment="1">
      <alignment horizontal="center"/>
    </xf>
    <xf numFmtId="2" fontId="39" fillId="0" borderId="30" xfId="2" applyNumberFormat="1" applyFont="1" applyFill="1" applyBorder="1" applyAlignment="1" applyProtection="1">
      <alignment horizontal="center"/>
    </xf>
    <xf numFmtId="2" fontId="31" fillId="0" borderId="31" xfId="2" applyNumberFormat="1" applyFont="1" applyFill="1" applyBorder="1" applyAlignment="1" applyProtection="1">
      <alignment horizontal="center"/>
    </xf>
    <xf numFmtId="2" fontId="36" fillId="0" borderId="33" xfId="2" applyNumberFormat="1" applyFont="1" applyFill="1" applyBorder="1" applyAlignment="1" applyProtection="1">
      <alignment horizontal="center"/>
    </xf>
    <xf numFmtId="2" fontId="36" fillId="0" borderId="0" xfId="2" applyNumberFormat="1" applyFont="1" applyFill="1" applyBorder="1" applyAlignment="1" applyProtection="1">
      <alignment horizontal="center"/>
    </xf>
    <xf numFmtId="2" fontId="36" fillId="0" borderId="34" xfId="2" applyNumberFormat="1" applyFont="1" applyFill="1" applyBorder="1" applyAlignment="1" applyProtection="1">
      <alignment horizontal="center"/>
    </xf>
    <xf numFmtId="2" fontId="36" fillId="0" borderId="35" xfId="2" applyNumberFormat="1" applyFont="1" applyFill="1" applyBorder="1" applyAlignment="1" applyProtection="1">
      <alignment horizontal="center"/>
    </xf>
    <xf numFmtId="2" fontId="36" fillId="0" borderId="36" xfId="2" applyNumberFormat="1" applyFont="1" applyFill="1" applyBorder="1" applyAlignment="1" applyProtection="1">
      <alignment horizontal="center"/>
    </xf>
    <xf numFmtId="2" fontId="36" fillId="0" borderId="37" xfId="2" applyNumberFormat="1" applyFont="1" applyFill="1" applyBorder="1" applyAlignment="1" applyProtection="1">
      <alignment horizontal="center"/>
    </xf>
    <xf numFmtId="2" fontId="24" fillId="0" borderId="27" xfId="0" applyNumberFormat="1" applyFont="1" applyBorder="1" applyAlignment="1">
      <alignment horizontal="center" vertical="center"/>
    </xf>
    <xf numFmtId="2" fontId="9" fillId="0" borderId="31" xfId="0" applyNumberFormat="1" applyFont="1" applyBorder="1" applyAlignment="1">
      <alignment horizontal="center"/>
    </xf>
    <xf numFmtId="2" fontId="9" fillId="0" borderId="32" xfId="0" applyNumberFormat="1" applyFont="1" applyBorder="1" applyAlignment="1">
      <alignment horizontal="center"/>
    </xf>
    <xf numFmtId="2" fontId="9" fillId="0" borderId="33" xfId="0" applyNumberFormat="1" applyFont="1" applyBorder="1" applyAlignment="1">
      <alignment horizontal="center"/>
    </xf>
    <xf numFmtId="2" fontId="9" fillId="0" borderId="0" xfId="0" applyNumberFormat="1" applyFont="1" applyAlignment="1">
      <alignment horizontal="center"/>
    </xf>
    <xf numFmtId="2" fontId="9" fillId="0" borderId="34" xfId="0" applyNumberFormat="1" applyFont="1" applyBorder="1" applyAlignment="1">
      <alignment horizontal="center"/>
    </xf>
    <xf numFmtId="2" fontId="9" fillId="0" borderId="35" xfId="0" applyNumberFormat="1" applyFont="1" applyBorder="1" applyAlignment="1">
      <alignment horizontal="center"/>
    </xf>
    <xf numFmtId="2" fontId="9" fillId="0" borderId="36" xfId="0" applyNumberFormat="1" applyFont="1" applyBorder="1" applyAlignment="1">
      <alignment horizontal="center"/>
    </xf>
    <xf numFmtId="2" fontId="9" fillId="0" borderId="37" xfId="0" applyNumberFormat="1" applyFont="1" applyBorder="1" applyAlignment="1">
      <alignment horizontal="center"/>
    </xf>
    <xf numFmtId="10" fontId="9" fillId="0" borderId="30" xfId="0" applyNumberFormat="1" applyFont="1" applyBorder="1" applyAlignment="1">
      <alignment horizontal="center"/>
    </xf>
    <xf numFmtId="10" fontId="9" fillId="0" borderId="31" xfId="0" applyNumberFormat="1" applyFont="1" applyBorder="1" applyAlignment="1">
      <alignment horizontal="center"/>
    </xf>
    <xf numFmtId="10" fontId="9" fillId="0" borderId="32" xfId="0" applyNumberFormat="1" applyFont="1" applyBorder="1" applyAlignment="1">
      <alignment horizontal="center"/>
    </xf>
    <xf numFmtId="10" fontId="9" fillId="0" borderId="33" xfId="0" applyNumberFormat="1" applyFont="1" applyBorder="1" applyAlignment="1">
      <alignment horizontal="center"/>
    </xf>
    <xf numFmtId="10" fontId="9" fillId="0" borderId="0" xfId="0" applyNumberFormat="1" applyFont="1" applyAlignment="1">
      <alignment horizontal="center"/>
    </xf>
    <xf numFmtId="10" fontId="9" fillId="0" borderId="34" xfId="0" applyNumberFormat="1" applyFont="1" applyBorder="1" applyAlignment="1">
      <alignment horizontal="center"/>
    </xf>
    <xf numFmtId="10" fontId="9" fillId="0" borderId="35" xfId="0" applyNumberFormat="1" applyFont="1" applyBorder="1" applyAlignment="1">
      <alignment horizontal="center"/>
    </xf>
    <xf numFmtId="10" fontId="9" fillId="0" borderId="36" xfId="0" applyNumberFormat="1" applyFont="1" applyBorder="1" applyAlignment="1">
      <alignment horizontal="center"/>
    </xf>
    <xf numFmtId="10" fontId="37" fillId="0" borderId="36" xfId="2" applyNumberFormat="1" applyFont="1" applyFill="1" applyBorder="1" applyAlignment="1" applyProtection="1">
      <alignment horizontal="center"/>
    </xf>
    <xf numFmtId="10" fontId="37" fillId="0" borderId="37" xfId="2" applyNumberFormat="1" applyFont="1" applyFill="1" applyBorder="1" applyAlignment="1" applyProtection="1">
      <alignment horizontal="center"/>
    </xf>
    <xf numFmtId="10" fontId="41" fillId="0" borderId="27" xfId="0" applyNumberFormat="1" applyFont="1" applyBorder="1" applyAlignment="1">
      <alignment horizontal="center" vertical="center"/>
    </xf>
    <xf numFmtId="10" fontId="9" fillId="0" borderId="37" xfId="0" applyNumberFormat="1" applyFont="1" applyBorder="1" applyAlignment="1">
      <alignment horizontal="center"/>
    </xf>
    <xf numFmtId="0" fontId="0" fillId="0" borderId="1" xfId="0" applyBorder="1" applyAlignment="1">
      <alignment horizontal="centerContinuous"/>
    </xf>
    <xf numFmtId="0" fontId="27" fillId="0" borderId="0" xfId="3" applyFont="1" applyAlignment="1">
      <alignment horizontal="left" vertical="center"/>
    </xf>
    <xf numFmtId="0" fontId="0" fillId="0" borderId="19" xfId="0" applyBorder="1"/>
    <xf numFmtId="0" fontId="43" fillId="0" borderId="0" xfId="0" applyFont="1" applyAlignment="1">
      <alignment horizontal="centerContinuous"/>
    </xf>
    <xf numFmtId="0" fontId="32" fillId="0" borderId="0" xfId="0" applyFont="1" applyAlignment="1">
      <alignment horizontal="centerContinuous"/>
    </xf>
    <xf numFmtId="0" fontId="12" fillId="0" borderId="0" xfId="4" quotePrefix="1" applyFont="1" applyAlignment="1">
      <alignment horizontal="right" vertical="center"/>
    </xf>
    <xf numFmtId="0" fontId="44" fillId="0" borderId="0" xfId="0" applyFont="1" applyAlignment="1">
      <alignment horizontal="centerContinuous"/>
    </xf>
    <xf numFmtId="0" fontId="45" fillId="0" borderId="0" xfId="0" applyFont="1" applyAlignment="1">
      <alignment horizontal="centerContinuous"/>
    </xf>
    <xf numFmtId="0" fontId="25" fillId="0" borderId="3" xfId="0" applyFont="1" applyBorder="1" applyAlignment="1">
      <alignment horizontal="centerContinuous"/>
    </xf>
    <xf numFmtId="0" fontId="44" fillId="0" borderId="3" xfId="0" applyFont="1" applyBorder="1" applyAlignment="1">
      <alignment horizontal="centerContinuous"/>
    </xf>
    <xf numFmtId="0" fontId="45" fillId="0" borderId="3" xfId="0" applyFont="1" applyBorder="1" applyAlignment="1">
      <alignment horizontal="centerContinuous"/>
    </xf>
    <xf numFmtId="0" fontId="32" fillId="0" borderId="0" xfId="0" applyFont="1"/>
    <xf numFmtId="0" fontId="12" fillId="0" borderId="0" xfId="0" applyFont="1" applyAlignment="1">
      <alignment horizontal="centerContinuous"/>
    </xf>
    <xf numFmtId="0" fontId="28" fillId="0" borderId="0" xfId="0" applyFont="1"/>
    <xf numFmtId="0" fontId="47" fillId="0" borderId="0" xfId="0" applyFont="1"/>
    <xf numFmtId="0" fontId="48" fillId="0" borderId="0" xfId="0" applyFont="1"/>
    <xf numFmtId="173" fontId="0" fillId="0" borderId="0" xfId="0" applyNumberFormat="1"/>
    <xf numFmtId="0" fontId="48" fillId="0" borderId="0" xfId="0" quotePrefix="1" applyFont="1" applyAlignment="1">
      <alignment horizontal="left"/>
    </xf>
    <xf numFmtId="179" fontId="49" fillId="0" borderId="0" xfId="2" applyNumberFormat="1" applyFont="1" applyFill="1" applyBorder="1" applyProtection="1"/>
    <xf numFmtId="179" fontId="49" fillId="0" borderId="0" xfId="2" applyNumberFormat="1" applyFont="1" applyFill="1" applyProtection="1"/>
    <xf numFmtId="173" fontId="50" fillId="0" borderId="0" xfId="0" applyNumberFormat="1" applyFont="1"/>
    <xf numFmtId="173" fontId="26" fillId="0" borderId="0" xfId="0" applyNumberFormat="1" applyFont="1"/>
    <xf numFmtId="179" fontId="19" fillId="0" borderId="0" xfId="2" applyNumberFormat="1" applyFont="1" applyFill="1" applyBorder="1" applyProtection="1"/>
    <xf numFmtId="0" fontId="51" fillId="0" borderId="0" xfId="0" quotePrefix="1" applyFont="1" applyAlignment="1">
      <alignment horizontal="left"/>
    </xf>
    <xf numFmtId="0" fontId="0" fillId="0" borderId="38" xfId="0" applyBorder="1"/>
    <xf numFmtId="0" fontId="12" fillId="0" borderId="38" xfId="0" quotePrefix="1" applyFont="1" applyBorder="1" applyAlignment="1">
      <alignment horizontal="left"/>
    </xf>
    <xf numFmtId="0" fontId="51" fillId="0" borderId="38" xfId="0" quotePrefix="1" applyFont="1" applyBorder="1" applyAlignment="1">
      <alignment horizontal="left"/>
    </xf>
    <xf numFmtId="180" fontId="52" fillId="0" borderId="38" xfId="2" applyNumberFormat="1" applyFont="1" applyFill="1" applyBorder="1" applyProtection="1"/>
    <xf numFmtId="180" fontId="12" fillId="0" borderId="38" xfId="2" applyNumberFormat="1" applyFont="1" applyFill="1" applyBorder="1" applyProtection="1"/>
    <xf numFmtId="180" fontId="52" fillId="0" borderId="0" xfId="2" applyNumberFormat="1" applyFont="1" applyFill="1" applyProtection="1"/>
    <xf numFmtId="180" fontId="12" fillId="0" borderId="0" xfId="2" applyNumberFormat="1" applyFont="1" applyFill="1" applyProtection="1"/>
    <xf numFmtId="0" fontId="51" fillId="0" borderId="0" xfId="0" applyFont="1"/>
    <xf numFmtId="179" fontId="53" fillId="0" borderId="0" xfId="2" applyNumberFormat="1" applyFont="1" applyFill="1" applyBorder="1" applyProtection="1"/>
    <xf numFmtId="181" fontId="0" fillId="0" borderId="0" xfId="2" applyNumberFormat="1" applyFont="1" applyFill="1" applyBorder="1" applyProtection="1"/>
    <xf numFmtId="182" fontId="12" fillId="0" borderId="0" xfId="2" applyNumberFormat="1" applyFont="1" applyFill="1" applyBorder="1" applyProtection="1"/>
    <xf numFmtId="0" fontId="23" fillId="0" borderId="0" xfId="0" applyFont="1" applyAlignment="1">
      <alignment horizontal="centerContinuous"/>
    </xf>
    <xf numFmtId="0" fontId="54" fillId="0" borderId="0" xfId="0" applyFont="1" applyAlignment="1">
      <alignment horizontal="centerContinuous"/>
    </xf>
    <xf numFmtId="178" fontId="55" fillId="3" borderId="0" xfId="0" quotePrefix="1" applyNumberFormat="1" applyFont="1" applyFill="1" applyAlignment="1">
      <alignment horizontal="right"/>
    </xf>
    <xf numFmtId="183" fontId="55" fillId="3" borderId="0" xfId="0" applyNumberFormat="1" applyFont="1" applyFill="1"/>
    <xf numFmtId="0" fontId="46" fillId="0" borderId="15" xfId="0" applyFont="1" applyBorder="1" applyAlignment="1">
      <alignment horizontal="centerContinuous"/>
    </xf>
    <xf numFmtId="0" fontId="0" fillId="0" borderId="15" xfId="0" applyBorder="1" applyAlignment="1">
      <alignment horizontal="centerContinuous"/>
    </xf>
    <xf numFmtId="0" fontId="0" fillId="0" borderId="12" xfId="0" applyBorder="1" applyAlignment="1">
      <alignment horizontal="centerContinuous"/>
    </xf>
    <xf numFmtId="179" fontId="56" fillId="0" borderId="0" xfId="2" applyNumberFormat="1" applyFont="1" applyFill="1" applyProtection="1"/>
    <xf numFmtId="179" fontId="15" fillId="0" borderId="0" xfId="2" applyNumberFormat="1" applyFont="1" applyFill="1" applyProtection="1"/>
    <xf numFmtId="184" fontId="56" fillId="0" borderId="0" xfId="0" applyNumberFormat="1" applyFont="1"/>
    <xf numFmtId="180" fontId="37" fillId="0" borderId="32" xfId="0" applyNumberFormat="1" applyFont="1" applyBorder="1" applyAlignment="1">
      <alignment horizontal="center"/>
    </xf>
    <xf numFmtId="180" fontId="37" fillId="0" borderId="34" xfId="0" applyNumberFormat="1" applyFont="1" applyBorder="1" applyAlignment="1">
      <alignment horizontal="center"/>
    </xf>
    <xf numFmtId="185" fontId="38" fillId="0" borderId="28" xfId="0" applyNumberFormat="1" applyFont="1" applyBorder="1" applyAlignment="1">
      <alignment horizontal="center"/>
    </xf>
    <xf numFmtId="179" fontId="57" fillId="0" borderId="0" xfId="2" applyNumberFormat="1" applyFont="1" applyFill="1" applyProtection="1"/>
    <xf numFmtId="184" fontId="57" fillId="0" borderId="0" xfId="0" applyNumberFormat="1" applyFont="1"/>
    <xf numFmtId="184" fontId="15" fillId="0" borderId="0" xfId="2" applyNumberFormat="1" applyFont="1" applyFill="1" applyBorder="1" applyProtection="1"/>
    <xf numFmtId="0" fontId="24" fillId="0" borderId="0" xfId="0" applyFont="1"/>
    <xf numFmtId="184" fontId="15" fillId="0" borderId="0" xfId="0" applyNumberFormat="1" applyFont="1"/>
    <xf numFmtId="184" fontId="0" fillId="0" borderId="0" xfId="0" applyNumberFormat="1"/>
    <xf numFmtId="173" fontId="56" fillId="0" borderId="0" xfId="2" applyNumberFormat="1" applyFont="1" applyFill="1" applyProtection="1"/>
    <xf numFmtId="167" fontId="9" fillId="0" borderId="8" xfId="0" applyNumberFormat="1" applyFont="1" applyBorder="1" applyAlignment="1">
      <alignment horizontal="right"/>
    </xf>
    <xf numFmtId="10" fontId="16" fillId="0" borderId="8" xfId="1" applyNumberFormat="1" applyFont="1" applyBorder="1" applyAlignment="1"/>
    <xf numFmtId="1" fontId="9" fillId="0" borderId="8" xfId="1" applyNumberFormat="1" applyFont="1" applyBorder="1" applyAlignment="1"/>
    <xf numFmtId="0" fontId="0" fillId="0" borderId="5" xfId="0" applyBorder="1" applyAlignment="1">
      <alignment horizontal="center"/>
    </xf>
    <xf numFmtId="0" fontId="0" fillId="0" borderId="5" xfId="0" applyBorder="1"/>
    <xf numFmtId="167" fontId="9" fillId="0" borderId="5" xfId="0" applyNumberFormat="1" applyFont="1" applyBorder="1"/>
    <xf numFmtId="167" fontId="18" fillId="0" borderId="5" xfId="0" applyNumberFormat="1" applyFont="1" applyBorder="1"/>
    <xf numFmtId="171" fontId="9" fillId="0" borderId="5" xfId="0" applyNumberFormat="1" applyFont="1" applyBorder="1" applyAlignment="1">
      <alignment horizontal="right"/>
    </xf>
    <xf numFmtId="171" fontId="9" fillId="0" borderId="0" xfId="0" applyNumberFormat="1" applyFont="1" applyAlignment="1">
      <alignment horizontal="right"/>
    </xf>
    <xf numFmtId="9" fontId="42" fillId="0" borderId="8" xfId="0" applyNumberFormat="1" applyFont="1" applyBorder="1" applyAlignment="1">
      <alignment horizontal="right"/>
    </xf>
    <xf numFmtId="184" fontId="58" fillId="0" borderId="0" xfId="0" applyNumberFormat="1" applyFont="1"/>
    <xf numFmtId="186" fontId="13" fillId="0" borderId="39" xfId="0" applyNumberFormat="1" applyFont="1" applyBorder="1"/>
    <xf numFmtId="43" fontId="0" fillId="0" borderId="0" xfId="0" applyNumberFormat="1"/>
    <xf numFmtId="164" fontId="2" fillId="0" borderId="39" xfId="0" applyNumberFormat="1" applyFont="1" applyBorder="1"/>
    <xf numFmtId="9" fontId="9" fillId="0" borderId="8" xfId="1" applyFont="1" applyBorder="1" applyAlignment="1"/>
    <xf numFmtId="9" fontId="19" fillId="0" borderId="26" xfId="0" applyNumberFormat="1" applyFont="1" applyBorder="1" applyAlignment="1">
      <alignment horizontal="right"/>
    </xf>
    <xf numFmtId="187" fontId="0" fillId="0" borderId="0" xfId="0" applyNumberFormat="1"/>
    <xf numFmtId="187" fontId="40" fillId="0" borderId="0" xfId="0" applyNumberFormat="1" applyFont="1"/>
    <xf numFmtId="187" fontId="59" fillId="0" borderId="0" xfId="0" applyNumberFormat="1" applyFont="1"/>
    <xf numFmtId="187" fontId="2" fillId="0" borderId="39" xfId="0" applyNumberFormat="1" applyFont="1" applyBorder="1"/>
    <xf numFmtId="43" fontId="2" fillId="0" borderId="13" xfId="0" applyNumberFormat="1" applyFont="1" applyBorder="1"/>
    <xf numFmtId="43" fontId="2" fillId="0" borderId="15" xfId="0" applyNumberFormat="1" applyFont="1" applyBorder="1"/>
    <xf numFmtId="173" fontId="57" fillId="0" borderId="0" xfId="2" applyNumberFormat="1" applyFont="1" applyFill="1" applyProtection="1"/>
    <xf numFmtId="184" fontId="57" fillId="0" borderId="0" xfId="2" applyNumberFormat="1" applyFont="1" applyFill="1" applyBorder="1" applyProtection="1"/>
    <xf numFmtId="43" fontId="40" fillId="0" borderId="0" xfId="0" applyNumberFormat="1" applyFont="1"/>
    <xf numFmtId="187" fontId="9" fillId="0" borderId="0" xfId="0" applyNumberFormat="1" applyFont="1"/>
    <xf numFmtId="0" fontId="12" fillId="0" borderId="12" xfId="4" quotePrefix="1" applyFont="1" applyBorder="1" applyAlignment="1">
      <alignment horizontal="right" vertical="center"/>
    </xf>
    <xf numFmtId="184" fontId="59" fillId="0" borderId="0" xfId="0" applyNumberFormat="1" applyFont="1"/>
    <xf numFmtId="10" fontId="40" fillId="0" borderId="0" xfId="0" applyNumberFormat="1" applyFont="1"/>
    <xf numFmtId="43" fontId="2" fillId="0" borderId="12" xfId="0" applyNumberFormat="1" applyFont="1" applyBorder="1"/>
    <xf numFmtId="186" fontId="13" fillId="0" borderId="0" xfId="0" applyNumberFormat="1" applyFont="1"/>
    <xf numFmtId="164" fontId="59" fillId="0" borderId="0" xfId="0" applyNumberFormat="1" applyFont="1"/>
    <xf numFmtId="0" fontId="60" fillId="0" borderId="7" xfId="0" applyFont="1" applyBorder="1"/>
    <xf numFmtId="9" fontId="42" fillId="0" borderId="8" xfId="0" applyNumberFormat="1" applyFont="1" applyBorder="1"/>
    <xf numFmtId="9" fontId="42" fillId="0" borderId="11" xfId="0" applyNumberFormat="1" applyFont="1" applyBorder="1"/>
    <xf numFmtId="9" fontId="42" fillId="0" borderId="11" xfId="0" applyNumberFormat="1" applyFont="1" applyBorder="1" applyAlignment="1">
      <alignment horizontal="right"/>
    </xf>
    <xf numFmtId="188" fontId="9" fillId="0" borderId="8" xfId="0" applyNumberFormat="1" applyFont="1" applyBorder="1"/>
    <xf numFmtId="188" fontId="40" fillId="0" borderId="8" xfId="0" applyNumberFormat="1" applyFont="1" applyBorder="1"/>
    <xf numFmtId="188" fontId="42" fillId="0" borderId="8" xfId="0" applyNumberFormat="1" applyFont="1" applyBorder="1"/>
    <xf numFmtId="184" fontId="40" fillId="0" borderId="0" xfId="0" applyNumberFormat="1" applyFont="1"/>
    <xf numFmtId="184" fontId="2" fillId="0" borderId="12" xfId="0" applyNumberFormat="1" applyFont="1" applyBorder="1"/>
    <xf numFmtId="184" fontId="2" fillId="0" borderId="13" xfId="0" applyNumberFormat="1" applyFont="1" applyBorder="1"/>
    <xf numFmtId="0" fontId="40" fillId="0" borderId="0" xfId="0" applyFont="1"/>
    <xf numFmtId="0" fontId="41" fillId="0" borderId="16" xfId="0" applyFont="1" applyBorder="1" applyAlignment="1">
      <alignment horizontal="left" vertical="center"/>
    </xf>
    <xf numFmtId="0" fontId="41" fillId="0" borderId="20" xfId="0" applyFont="1" applyBorder="1" applyAlignment="1">
      <alignment horizontal="left" vertical="center"/>
    </xf>
    <xf numFmtId="0" fontId="41" fillId="0" borderId="2" xfId="0" quotePrefix="1" applyFont="1" applyBorder="1" applyAlignment="1">
      <alignment horizontal="left" vertical="center"/>
    </xf>
    <xf numFmtId="0" fontId="41" fillId="0" borderId="2" xfId="0" applyFont="1" applyBorder="1" applyAlignment="1">
      <alignment vertical="center"/>
    </xf>
    <xf numFmtId="175" fontId="56" fillId="0" borderId="17" xfId="0" applyNumberFormat="1" applyFont="1" applyBorder="1" applyAlignment="1">
      <alignment vertical="center"/>
    </xf>
    <xf numFmtId="175" fontId="56" fillId="0" borderId="21" xfId="0" applyNumberFormat="1" applyFont="1" applyBorder="1" applyAlignment="1">
      <alignment vertical="center"/>
    </xf>
    <xf numFmtId="184" fontId="61" fillId="0" borderId="12" xfId="0" applyNumberFormat="1" applyFont="1" applyBorder="1"/>
    <xf numFmtId="0" fontId="0" fillId="6" borderId="0" xfId="0" applyFill="1"/>
    <xf numFmtId="166" fontId="0" fillId="0" borderId="0" xfId="0" applyNumberFormat="1" applyAlignment="1">
      <alignment horizontal="left"/>
    </xf>
    <xf numFmtId="184" fontId="18" fillId="0" borderId="0" xfId="0" applyNumberFormat="1" applyFont="1"/>
    <xf numFmtId="184" fontId="18" fillId="0" borderId="12" xfId="0" applyNumberFormat="1" applyFont="1" applyBorder="1"/>
    <xf numFmtId="184" fontId="62" fillId="0" borderId="12" xfId="0" applyNumberFormat="1" applyFont="1" applyBorder="1"/>
    <xf numFmtId="184" fontId="62" fillId="0" borderId="13" xfId="0" applyNumberFormat="1" applyFont="1" applyBorder="1"/>
    <xf numFmtId="1" fontId="9" fillId="0" borderId="8" xfId="0" applyNumberFormat="1" applyFont="1" applyBorder="1" applyAlignment="1">
      <alignment horizontal="right"/>
    </xf>
    <xf numFmtId="189" fontId="9" fillId="0" borderId="8" xfId="0" applyNumberFormat="1" applyFont="1" applyBorder="1"/>
    <xf numFmtId="189" fontId="9" fillId="0" borderId="11" xfId="0" applyNumberFormat="1" applyFont="1" applyBorder="1"/>
    <xf numFmtId="166" fontId="0" fillId="0" borderId="10" xfId="0" applyNumberFormat="1" applyBorder="1" applyAlignment="1">
      <alignment horizontal="centerContinuous" vertical="center"/>
    </xf>
    <xf numFmtId="1" fontId="9" fillId="0" borderId="11" xfId="1" applyNumberFormat="1" applyFont="1" applyBorder="1" applyAlignment="1"/>
    <xf numFmtId="173" fontId="9" fillId="0" borderId="8" xfId="1" applyNumberFormat="1" applyFont="1" applyBorder="1"/>
    <xf numFmtId="0" fontId="0" fillId="0" borderId="41" xfId="0" applyBorder="1"/>
    <xf numFmtId="0" fontId="0" fillId="0" borderId="15" xfId="0" applyBorder="1"/>
    <xf numFmtId="0" fontId="0" fillId="0" borderId="40" xfId="0" applyBorder="1"/>
    <xf numFmtId="1" fontId="0" fillId="0" borderId="0" xfId="0" applyNumberFormat="1"/>
    <xf numFmtId="1" fontId="40" fillId="0" borderId="0" xfId="0" applyNumberFormat="1" applyFont="1"/>
    <xf numFmtId="179" fontId="59" fillId="0" borderId="0" xfId="0" applyNumberFormat="1" applyFont="1"/>
    <xf numFmtId="179" fontId="0" fillId="0" borderId="0" xfId="0" applyNumberFormat="1"/>
    <xf numFmtId="179" fontId="40" fillId="0" borderId="0" xfId="0" applyNumberFormat="1" applyFont="1"/>
    <xf numFmtId="179" fontId="2" fillId="0" borderId="12" xfId="0" applyNumberFormat="1" applyFont="1" applyBorder="1"/>
    <xf numFmtId="179" fontId="2" fillId="0" borderId="13" xfId="0" applyNumberFormat="1" applyFont="1" applyBorder="1"/>
    <xf numFmtId="190" fontId="40" fillId="0" borderId="0" xfId="0" applyNumberFormat="1" applyFont="1"/>
    <xf numFmtId="190" fontId="0" fillId="0" borderId="0" xfId="0" applyNumberFormat="1"/>
    <xf numFmtId="190" fontId="2" fillId="0" borderId="12" xfId="0" applyNumberFormat="1" applyFont="1" applyBorder="1"/>
    <xf numFmtId="190" fontId="2" fillId="0" borderId="13" xfId="0" applyNumberFormat="1" applyFont="1" applyBorder="1"/>
    <xf numFmtId="190" fontId="2" fillId="0" borderId="0" xfId="0" applyNumberFormat="1" applyFont="1"/>
    <xf numFmtId="0" fontId="48" fillId="0" borderId="2" xfId="0" applyFont="1" applyBorder="1"/>
    <xf numFmtId="179" fontId="40" fillId="0" borderId="2" xfId="0" applyNumberFormat="1" applyFont="1" applyBorder="1"/>
    <xf numFmtId="179" fontId="0" fillId="0" borderId="2" xfId="0" applyNumberFormat="1" applyBorder="1"/>
    <xf numFmtId="0" fontId="48" fillId="0" borderId="1" xfId="0" applyFont="1" applyBorder="1"/>
    <xf numFmtId="179" fontId="40" fillId="0" borderId="1" xfId="0" applyNumberFormat="1" applyFont="1" applyBorder="1"/>
    <xf numFmtId="179" fontId="0" fillId="0" borderId="1" xfId="0" applyNumberFormat="1" applyBorder="1"/>
    <xf numFmtId="0" fontId="13" fillId="0" borderId="1" xfId="0" applyFont="1" applyBorder="1"/>
    <xf numFmtId="0" fontId="2" fillId="0" borderId="12" xfId="0" applyFont="1" applyBorder="1" applyAlignment="1">
      <alignment horizontal="right"/>
    </xf>
    <xf numFmtId="179" fontId="13" fillId="0" borderId="0" xfId="0" applyNumberFormat="1" applyFont="1"/>
    <xf numFmtId="179" fontId="2" fillId="0" borderId="0" xfId="0" applyNumberFormat="1" applyFont="1"/>
    <xf numFmtId="10" fontId="40" fillId="0" borderId="40" xfId="0" applyNumberFormat="1" applyFont="1" applyBorder="1"/>
    <xf numFmtId="184" fontId="2" fillId="0" borderId="0" xfId="0" applyNumberFormat="1" applyFont="1"/>
    <xf numFmtId="190" fontId="9" fillId="0" borderId="0" xfId="0" applyNumberFormat="1" applyFont="1"/>
    <xf numFmtId="190" fontId="10" fillId="0" borderId="0" xfId="0" applyNumberFormat="1" applyFont="1"/>
    <xf numFmtId="184" fontId="9" fillId="0" borderId="0" xfId="0" applyNumberFormat="1" applyFont="1"/>
    <xf numFmtId="0" fontId="63" fillId="0" borderId="0" xfId="0" applyFont="1"/>
    <xf numFmtId="0" fontId="64" fillId="0" borderId="0" xfId="0" applyFont="1"/>
    <xf numFmtId="0" fontId="65" fillId="0" borderId="0" xfId="0" applyFont="1"/>
    <xf numFmtId="10" fontId="64" fillId="0" borderId="0" xfId="0" applyNumberFormat="1" applyFont="1"/>
    <xf numFmtId="10" fontId="63" fillId="0" borderId="0" xfId="1" applyNumberFormat="1" applyFont="1"/>
    <xf numFmtId="10" fontId="63" fillId="0" borderId="0" xfId="0" applyNumberFormat="1" applyFont="1"/>
    <xf numFmtId="0" fontId="66" fillId="0" borderId="12" xfId="0" applyFont="1" applyBorder="1" applyAlignment="1">
      <alignment horizontal="centerContinuous"/>
    </xf>
    <xf numFmtId="191" fontId="2" fillId="0" borderId="0" xfId="0" applyNumberFormat="1" applyFont="1"/>
    <xf numFmtId="190" fontId="61" fillId="0" borderId="12" xfId="0" applyNumberFormat="1" applyFont="1" applyBorder="1"/>
    <xf numFmtId="190" fontId="61" fillId="0" borderId="0" xfId="0" applyNumberFormat="1" applyFont="1"/>
    <xf numFmtId="2" fontId="0" fillId="0" borderId="0" xfId="0" applyNumberFormat="1"/>
    <xf numFmtId="2" fontId="38" fillId="0" borderId="31" xfId="2" applyNumberFormat="1" applyFont="1" applyFill="1" applyBorder="1" applyAlignment="1" applyProtection="1">
      <alignment horizontal="center"/>
    </xf>
    <xf numFmtId="2" fontId="38" fillId="0" borderId="32" xfId="2" applyNumberFormat="1" applyFont="1" applyFill="1" applyBorder="1" applyAlignment="1" applyProtection="1">
      <alignment horizontal="center"/>
    </xf>
    <xf numFmtId="0" fontId="2" fillId="0" borderId="39" xfId="0" applyFont="1" applyBorder="1"/>
    <xf numFmtId="0" fontId="0" fillId="0" borderId="39" xfId="0" applyBorder="1"/>
    <xf numFmtId="192" fontId="13" fillId="0" borderId="0" xfId="0" applyNumberFormat="1" applyFont="1"/>
    <xf numFmtId="192" fontId="13" fillId="0" borderId="38" xfId="0" applyNumberFormat="1" applyFont="1" applyBorder="1"/>
    <xf numFmtId="0" fontId="68" fillId="0" borderId="39" xfId="0" applyFont="1" applyBorder="1"/>
    <xf numFmtId="193" fontId="0" fillId="0" borderId="0" xfId="0" applyNumberFormat="1"/>
    <xf numFmtId="193" fontId="0" fillId="0" borderId="38" xfId="0" applyNumberFormat="1" applyBorder="1"/>
    <xf numFmtId="194" fontId="0" fillId="0" borderId="0" xfId="0" applyNumberFormat="1"/>
    <xf numFmtId="194" fontId="0" fillId="0" borderId="38" xfId="0" applyNumberFormat="1" applyBorder="1"/>
    <xf numFmtId="192" fontId="13" fillId="0" borderId="39" xfId="0" applyNumberFormat="1" applyFont="1" applyBorder="1"/>
    <xf numFmtId="178" fontId="55" fillId="0" borderId="0" xfId="0" quotePrefix="1" applyNumberFormat="1" applyFont="1" applyAlignment="1">
      <alignment horizontal="right"/>
    </xf>
    <xf numFmtId="183" fontId="55" fillId="0" borderId="0" xfId="0" applyNumberFormat="1" applyFont="1"/>
    <xf numFmtId="183" fontId="55" fillId="3" borderId="0" xfId="0" applyNumberFormat="1" applyFont="1" applyFill="1" applyAlignment="1">
      <alignment horizontal="center"/>
    </xf>
    <xf numFmtId="0" fontId="8" fillId="0" borderId="0" xfId="0" applyFont="1" applyAlignment="1">
      <alignment horizontal="centerContinuous"/>
    </xf>
    <xf numFmtId="192" fontId="2" fillId="0" borderId="0" xfId="0" applyNumberFormat="1" applyFont="1"/>
    <xf numFmtId="193" fontId="2" fillId="0" borderId="0" xfId="0" applyNumberFormat="1" applyFont="1"/>
    <xf numFmtId="2" fontId="2" fillId="0" borderId="0" xfId="0" applyNumberFormat="1" applyFont="1"/>
    <xf numFmtId="194" fontId="2" fillId="0" borderId="0" xfId="0" applyNumberFormat="1" applyFont="1"/>
    <xf numFmtId="192" fontId="2" fillId="0" borderId="39" xfId="0" applyNumberFormat="1" applyFont="1" applyBorder="1"/>
    <xf numFmtId="192" fontId="2" fillId="0" borderId="38" xfId="0" applyNumberFormat="1" applyFont="1" applyBorder="1"/>
    <xf numFmtId="194" fontId="2" fillId="0" borderId="38" xfId="0" applyNumberFormat="1" applyFont="1" applyBorder="1"/>
    <xf numFmtId="193" fontId="2" fillId="0" borderId="38" xfId="0" applyNumberFormat="1" applyFont="1" applyBorder="1"/>
    <xf numFmtId="0" fontId="2" fillId="0" borderId="38" xfId="0" applyFont="1" applyBorder="1"/>
    <xf numFmtId="0" fontId="2" fillId="0" borderId="2" xfId="0" applyFont="1" applyBorder="1" applyAlignment="1">
      <alignment horizontal="right"/>
    </xf>
    <xf numFmtId="0" fontId="71" fillId="0" borderId="0" xfId="0" applyFont="1"/>
    <xf numFmtId="14" fontId="71" fillId="0" borderId="0" xfId="0" applyNumberFormat="1" applyFont="1"/>
    <xf numFmtId="0" fontId="70" fillId="0" borderId="0" xfId="0" applyFont="1"/>
    <xf numFmtId="10" fontId="0" fillId="0" borderId="0" xfId="0" applyNumberFormat="1"/>
    <xf numFmtId="10" fontId="70" fillId="0" borderId="0" xfId="0" applyNumberFormat="1" applyFont="1"/>
    <xf numFmtId="4" fontId="70" fillId="0" borderId="0" xfId="0" applyNumberFormat="1" applyFont="1"/>
    <xf numFmtId="186" fontId="0" fillId="0" borderId="0" xfId="0" applyNumberFormat="1"/>
    <xf numFmtId="0" fontId="0" fillId="0" borderId="3" xfId="0" applyBorder="1"/>
    <xf numFmtId="0" fontId="13" fillId="0" borderId="42" xfId="0" applyFont="1" applyBorder="1" applyAlignment="1">
      <alignment horizontal="center"/>
    </xf>
    <xf numFmtId="0" fontId="13" fillId="0" borderId="42" xfId="0" applyFont="1" applyBorder="1" applyAlignment="1">
      <alignment horizontal="centerContinuous"/>
    </xf>
    <xf numFmtId="0" fontId="71" fillId="0" borderId="0" xfId="0" applyFont="1" applyAlignment="1">
      <alignment horizontal="right"/>
    </xf>
    <xf numFmtId="0" fontId="72" fillId="0" borderId="2" xfId="0" applyFont="1" applyBorder="1" applyAlignment="1">
      <alignment horizontal="right"/>
    </xf>
    <xf numFmtId="4" fontId="70" fillId="0" borderId="5" xfId="0" applyNumberFormat="1" applyFont="1" applyBorder="1"/>
    <xf numFmtId="0" fontId="0" fillId="0" borderId="6" xfId="0" applyBorder="1"/>
    <xf numFmtId="0" fontId="13" fillId="0" borderId="47" xfId="0" applyFont="1" applyBorder="1" applyAlignment="1">
      <alignment horizontal="centerContinuous"/>
    </xf>
    <xf numFmtId="0" fontId="0" fillId="0" borderId="48" xfId="0" applyBorder="1"/>
    <xf numFmtId="0" fontId="13" fillId="0" borderId="47" xfId="0" applyFont="1" applyBorder="1" applyAlignment="1">
      <alignment horizontal="center"/>
    </xf>
    <xf numFmtId="0" fontId="13" fillId="0" borderId="49" xfId="0" applyFont="1" applyBorder="1" applyAlignment="1">
      <alignment horizontal="center"/>
    </xf>
    <xf numFmtId="0" fontId="1" fillId="3" borderId="4" xfId="0" applyFont="1" applyFill="1" applyBorder="1" applyAlignment="1">
      <alignment horizontal="centerContinuous"/>
    </xf>
    <xf numFmtId="0" fontId="1" fillId="3" borderId="6" xfId="0" applyFont="1" applyFill="1" applyBorder="1" applyAlignment="1">
      <alignment horizontal="centerContinuous"/>
    </xf>
    <xf numFmtId="0" fontId="0" fillId="0" borderId="50" xfId="0" applyBorder="1"/>
    <xf numFmtId="10" fontId="9" fillId="0" borderId="8" xfId="0" applyNumberFormat="1" applyFont="1" applyBorder="1"/>
    <xf numFmtId="2" fontId="9" fillId="0" borderId="8" xfId="0" applyNumberFormat="1" applyFont="1" applyBorder="1"/>
    <xf numFmtId="2" fontId="0" fillId="7" borderId="11" xfId="0" applyNumberFormat="1" applyFill="1" applyBorder="1"/>
    <xf numFmtId="0" fontId="71" fillId="0" borderId="52" xfId="0" applyFont="1" applyBorder="1" applyAlignment="1">
      <alignment horizontal="right"/>
    </xf>
    <xf numFmtId="0" fontId="71" fillId="0" borderId="53" xfId="0" applyFont="1" applyBorder="1" applyAlignment="1">
      <alignment horizontal="right"/>
    </xf>
    <xf numFmtId="4" fontId="70" fillId="0" borderId="7" xfId="0" applyNumberFormat="1" applyFont="1" applyBorder="1"/>
    <xf numFmtId="41" fontId="70" fillId="0" borderId="8" xfId="0" applyNumberFormat="1" applyFont="1" applyBorder="1"/>
    <xf numFmtId="10" fontId="70" fillId="0" borderId="8" xfId="1" applyNumberFormat="1" applyFont="1" applyBorder="1"/>
    <xf numFmtId="4" fontId="70" fillId="0" borderId="9" xfId="0" applyNumberFormat="1" applyFont="1" applyBorder="1"/>
    <xf numFmtId="10" fontId="70" fillId="0" borderId="11" xfId="1" applyNumberFormat="1" applyFont="1" applyBorder="1"/>
    <xf numFmtId="0" fontId="1" fillId="3" borderId="5" xfId="0" applyFont="1" applyFill="1" applyBorder="1" applyAlignment="1">
      <alignment horizontal="centerContinuous"/>
    </xf>
    <xf numFmtId="0" fontId="72" fillId="0" borderId="52" xfId="0" applyFont="1" applyBorder="1" applyAlignment="1">
      <alignment horizontal="right"/>
    </xf>
    <xf numFmtId="0" fontId="72" fillId="0" borderId="53" xfId="0" applyFont="1" applyBorder="1" applyAlignment="1">
      <alignment horizontal="right"/>
    </xf>
    <xf numFmtId="14" fontId="70" fillId="0" borderId="7" xfId="0" applyNumberFormat="1" applyFont="1" applyBorder="1"/>
    <xf numFmtId="14" fontId="70" fillId="0" borderId="9" xfId="0" applyNumberFormat="1" applyFont="1" applyBorder="1"/>
    <xf numFmtId="0" fontId="70" fillId="0" borderId="10" xfId="0" applyFont="1" applyBorder="1"/>
    <xf numFmtId="2" fontId="0" fillId="0" borderId="8" xfId="0" applyNumberFormat="1" applyBorder="1"/>
    <xf numFmtId="2" fontId="0" fillId="7" borderId="5" xfId="0" applyNumberFormat="1" applyFill="1" applyBorder="1"/>
    <xf numFmtId="0" fontId="2" fillId="0" borderId="54" xfId="0" applyFont="1" applyBorder="1"/>
    <xf numFmtId="2" fontId="0" fillId="7" borderId="55" xfId="0" applyNumberFormat="1" applyFill="1" applyBorder="1"/>
    <xf numFmtId="0" fontId="2" fillId="0" borderId="4" xfId="0" applyFont="1" applyBorder="1"/>
    <xf numFmtId="10" fontId="2" fillId="0" borderId="39" xfId="1" applyNumberFormat="1" applyFont="1" applyBorder="1"/>
    <xf numFmtId="10" fontId="2" fillId="0" borderId="38" xfId="1" applyNumberFormat="1" applyFont="1" applyBorder="1"/>
    <xf numFmtId="2" fontId="2" fillId="0" borderId="39" xfId="1" applyNumberFormat="1" applyFont="1" applyBorder="1"/>
    <xf numFmtId="2" fontId="2" fillId="0" borderId="38" xfId="1" applyNumberFormat="1" applyFont="1" applyBorder="1"/>
    <xf numFmtId="10" fontId="0" fillId="0" borderId="6" xfId="0" applyNumberFormat="1" applyBorder="1"/>
    <xf numFmtId="10" fontId="0" fillId="0" borderId="8" xfId="0" applyNumberFormat="1" applyBorder="1"/>
    <xf numFmtId="10" fontId="2" fillId="0" borderId="56" xfId="0" applyNumberFormat="1" applyFont="1" applyBorder="1"/>
    <xf numFmtId="0" fontId="0" fillId="0" borderId="43" xfId="0" applyBorder="1"/>
    <xf numFmtId="195" fontId="0" fillId="0" borderId="44" xfId="0" applyNumberFormat="1" applyBorder="1"/>
    <xf numFmtId="0" fontId="75" fillId="0" borderId="43" xfId="0" applyFont="1" applyBorder="1"/>
    <xf numFmtId="195" fontId="75" fillId="0" borderId="44" xfId="0" applyNumberFormat="1" applyFont="1" applyBorder="1"/>
    <xf numFmtId="0" fontId="75" fillId="0" borderId="45" xfId="0" applyFont="1" applyBorder="1"/>
    <xf numFmtId="195" fontId="75" fillId="0" borderId="46" xfId="0" applyNumberFormat="1" applyFont="1" applyBorder="1"/>
    <xf numFmtId="0" fontId="3" fillId="3" borderId="57" xfId="0" applyFont="1" applyFill="1" applyBorder="1" applyAlignment="1">
      <alignment horizontal="right"/>
    </xf>
    <xf numFmtId="0" fontId="3" fillId="3" borderId="58" xfId="0" applyFont="1" applyFill="1" applyBorder="1" applyAlignment="1">
      <alignment horizontal="right"/>
    </xf>
    <xf numFmtId="10" fontId="3" fillId="3" borderId="4" xfId="0" applyNumberFormat="1" applyFont="1" applyFill="1" applyBorder="1"/>
    <xf numFmtId="10" fontId="3" fillId="3" borderId="5" xfId="0" applyNumberFormat="1" applyFont="1" applyFill="1" applyBorder="1"/>
    <xf numFmtId="10" fontId="3" fillId="3" borderId="7" xfId="0" applyNumberFormat="1" applyFont="1" applyFill="1" applyBorder="1"/>
    <xf numFmtId="10" fontId="3" fillId="3" borderId="0" xfId="0" applyNumberFormat="1" applyFont="1" applyFill="1"/>
    <xf numFmtId="10" fontId="1" fillId="3" borderId="59" xfId="0" applyNumberFormat="1" applyFont="1" applyFill="1" applyBorder="1"/>
    <xf numFmtId="10" fontId="1" fillId="3" borderId="60" xfId="0" applyNumberFormat="1" applyFont="1" applyFill="1" applyBorder="1"/>
    <xf numFmtId="0" fontId="3" fillId="3" borderId="0" xfId="0" applyFont="1" applyFill="1"/>
    <xf numFmtId="10" fontId="9" fillId="0" borderId="0" xfId="0" applyNumberFormat="1" applyFont="1"/>
    <xf numFmtId="2" fontId="0" fillId="7" borderId="0" xfId="0" applyNumberFormat="1" applyFill="1"/>
    <xf numFmtId="179" fontId="9" fillId="0" borderId="0" xfId="0" applyNumberFormat="1" applyFont="1"/>
    <xf numFmtId="0" fontId="9" fillId="7" borderId="0" xfId="0" applyFont="1" applyFill="1"/>
    <xf numFmtId="10" fontId="40" fillId="0" borderId="8" xfId="0" applyNumberFormat="1" applyFont="1" applyBorder="1"/>
    <xf numFmtId="0" fontId="2" fillId="0" borderId="50" xfId="0" applyFont="1" applyBorder="1"/>
    <xf numFmtId="10" fontId="2" fillId="7" borderId="51" xfId="0" applyNumberFormat="1" applyFont="1" applyFill="1" applyBorder="1"/>
    <xf numFmtId="0" fontId="2" fillId="0" borderId="61" xfId="0" applyFont="1" applyBorder="1"/>
    <xf numFmtId="0" fontId="0" fillId="0" borderId="62" xfId="0" applyBorder="1"/>
    <xf numFmtId="10" fontId="2" fillId="7" borderId="63" xfId="1" applyNumberFormat="1" applyFont="1" applyFill="1" applyBorder="1"/>
    <xf numFmtId="0" fontId="1" fillId="3" borderId="5" xfId="0" applyFont="1" applyFill="1" applyBorder="1"/>
    <xf numFmtId="0" fontId="1" fillId="3" borderId="6" xfId="0" applyFont="1" applyFill="1" applyBorder="1"/>
    <xf numFmtId="0" fontId="2" fillId="0" borderId="53" xfId="0" applyFont="1" applyBorder="1" applyAlignment="1">
      <alignment horizontal="right"/>
    </xf>
    <xf numFmtId="2" fontId="40" fillId="0" borderId="8" xfId="5" applyNumberFormat="1" applyFont="1" applyBorder="1"/>
    <xf numFmtId="0" fontId="0" fillId="0" borderId="51" xfId="0" applyBorder="1"/>
    <xf numFmtId="2" fontId="0" fillId="7" borderId="10" xfId="0" applyNumberFormat="1" applyFill="1" applyBorder="1"/>
    <xf numFmtId="10" fontId="0" fillId="0" borderId="0" xfId="1" applyNumberFormat="1" applyFont="1" applyBorder="1"/>
    <xf numFmtId="2" fontId="2" fillId="0" borderId="51" xfId="0" applyNumberFormat="1" applyFont="1" applyBorder="1"/>
    <xf numFmtId="0" fontId="3" fillId="3" borderId="4" xfId="0" applyFont="1" applyFill="1" applyBorder="1"/>
    <xf numFmtId="0" fontId="3" fillId="3" borderId="7" xfId="0" applyFont="1" applyFill="1" applyBorder="1"/>
    <xf numFmtId="0" fontId="3" fillId="3" borderId="8" xfId="0" applyFont="1" applyFill="1" applyBorder="1"/>
    <xf numFmtId="2" fontId="2" fillId="0" borderId="51" xfId="1" applyNumberFormat="1" applyFont="1" applyBorder="1"/>
    <xf numFmtId="2" fontId="2" fillId="0" borderId="64" xfId="1" applyNumberFormat="1" applyFont="1" applyBorder="1"/>
    <xf numFmtId="0" fontId="2" fillId="7" borderId="61" xfId="0" applyFont="1" applyFill="1" applyBorder="1"/>
    <xf numFmtId="0" fontId="2" fillId="7" borderId="62" xfId="0" applyFont="1" applyFill="1" applyBorder="1"/>
    <xf numFmtId="0" fontId="8" fillId="8" borderId="14" xfId="0" applyFont="1" applyFill="1" applyBorder="1" applyAlignment="1">
      <alignment horizontal="centerContinuous"/>
    </xf>
    <xf numFmtId="0" fontId="0" fillId="8" borderId="14" xfId="0" applyFill="1" applyBorder="1" applyAlignment="1">
      <alignment horizontal="centerContinuous"/>
    </xf>
    <xf numFmtId="0" fontId="8" fillId="8" borderId="1" xfId="0" applyFont="1" applyFill="1" applyBorder="1" applyAlignment="1">
      <alignment horizontal="centerContinuous"/>
    </xf>
    <xf numFmtId="0" fontId="2" fillId="8" borderId="1" xfId="0" applyFont="1" applyFill="1" applyBorder="1" applyAlignment="1">
      <alignment horizontal="centerContinuous"/>
    </xf>
    <xf numFmtId="0" fontId="8" fillId="8" borderId="0" xfId="0" applyFont="1" applyFill="1" applyAlignment="1">
      <alignment horizontal="centerContinuous"/>
    </xf>
    <xf numFmtId="0" fontId="25" fillId="8" borderId="1" xfId="3" applyFont="1" applyFill="1" applyBorder="1" applyAlignment="1">
      <alignment horizontal="centerContinuous"/>
    </xf>
    <xf numFmtId="0" fontId="0" fillId="8" borderId="1" xfId="0" applyFill="1" applyBorder="1" applyAlignment="1">
      <alignment horizontal="centerContinuous"/>
    </xf>
    <xf numFmtId="0" fontId="25" fillId="8" borderId="0" xfId="0" applyFont="1" applyFill="1" applyAlignment="1">
      <alignment horizontal="centerContinuous"/>
    </xf>
    <xf numFmtId="0" fontId="44" fillId="8" borderId="0" xfId="0" applyFont="1" applyFill="1" applyAlignment="1">
      <alignment horizontal="centerContinuous"/>
    </xf>
    <xf numFmtId="0" fontId="45" fillId="8" borderId="0" xfId="0" applyFont="1" applyFill="1" applyAlignment="1">
      <alignment horizontal="centerContinuous"/>
    </xf>
    <xf numFmtId="0" fontId="0" fillId="8" borderId="0" xfId="0" applyFill="1" applyAlignment="1">
      <alignment horizontal="centerContinuous"/>
    </xf>
    <xf numFmtId="0" fontId="67" fillId="8" borderId="0" xfId="0" applyFont="1" applyFill="1" applyAlignment="1">
      <alignment horizontal="centerContinuous"/>
    </xf>
    <xf numFmtId="187" fontId="2" fillId="0" borderId="12" xfId="0" applyNumberFormat="1" applyFont="1" applyBorder="1"/>
    <xf numFmtId="10" fontId="0" fillId="0" borderId="0" xfId="1" applyNumberFormat="1" applyFont="1"/>
    <xf numFmtId="10" fontId="13" fillId="0" borderId="0" xfId="1" applyNumberFormat="1" applyFont="1"/>
    <xf numFmtId="10" fontId="13" fillId="0" borderId="13" xfId="1" applyNumberFormat="1" applyFont="1" applyBorder="1"/>
    <xf numFmtId="178" fontId="55" fillId="3" borderId="4" xfId="0" quotePrefix="1" applyNumberFormat="1" applyFont="1" applyFill="1" applyBorder="1" applyAlignment="1">
      <alignment horizontal="left"/>
    </xf>
    <xf numFmtId="178" fontId="55" fillId="3" borderId="5" xfId="0" quotePrefix="1" applyNumberFormat="1" applyFont="1" applyFill="1" applyBorder="1" applyAlignment="1">
      <alignment horizontal="right"/>
    </xf>
    <xf numFmtId="10" fontId="2" fillId="7" borderId="6" xfId="0" applyNumberFormat="1" applyFont="1" applyFill="1" applyBorder="1"/>
    <xf numFmtId="178" fontId="55" fillId="3" borderId="9" xfId="0" quotePrefix="1" applyNumberFormat="1" applyFont="1" applyFill="1" applyBorder="1" applyAlignment="1">
      <alignment horizontal="left"/>
    </xf>
    <xf numFmtId="178" fontId="55" fillId="3" borderId="10" xfId="0" quotePrefix="1" applyNumberFormat="1" applyFont="1" applyFill="1" applyBorder="1" applyAlignment="1">
      <alignment horizontal="right"/>
    </xf>
    <xf numFmtId="10" fontId="2" fillId="7" borderId="11" xfId="0" applyNumberFormat="1" applyFont="1" applyFill="1" applyBorder="1"/>
    <xf numFmtId="10" fontId="40" fillId="0" borderId="0" xfId="1" applyNumberFormat="1" applyFont="1"/>
    <xf numFmtId="0" fontId="8" fillId="0" borderId="1" xfId="0" applyFont="1" applyBorder="1" applyAlignment="1">
      <alignment horizontal="centerContinuous"/>
    </xf>
    <xf numFmtId="10" fontId="66" fillId="0" borderId="13" xfId="1" applyNumberFormat="1" applyFont="1" applyBorder="1"/>
    <xf numFmtId="10" fontId="66" fillId="0" borderId="0" xfId="1" applyNumberFormat="1" applyFont="1"/>
    <xf numFmtId="10" fontId="66" fillId="0" borderId="12" xfId="1" applyNumberFormat="1" applyFont="1" applyBorder="1"/>
    <xf numFmtId="0" fontId="8" fillId="0" borderId="12" xfId="0" applyFont="1" applyBorder="1" applyAlignment="1">
      <alignment horizontal="centerContinuous"/>
    </xf>
    <xf numFmtId="196" fontId="0" fillId="0" borderId="0" xfId="0" applyNumberFormat="1"/>
    <xf numFmtId="196" fontId="2" fillId="0" borderId="12" xfId="0" applyNumberFormat="1" applyFont="1" applyBorder="1"/>
    <xf numFmtId="196" fontId="0" fillId="7" borderId="0" xfId="0" applyNumberFormat="1" applyFill="1"/>
    <xf numFmtId="196" fontId="2" fillId="7" borderId="12" xfId="0" applyNumberFormat="1" applyFont="1" applyFill="1" applyBorder="1"/>
    <xf numFmtId="0" fontId="0" fillId="7" borderId="0" xfId="0" applyFill="1"/>
    <xf numFmtId="0" fontId="0" fillId="7" borderId="13" xfId="0" applyFill="1" applyBorder="1"/>
    <xf numFmtId="10" fontId="9" fillId="0" borderId="11" xfId="0" applyNumberFormat="1" applyFont="1" applyBorder="1"/>
    <xf numFmtId="0" fontId="0" fillId="0" borderId="4" xfId="0" applyBorder="1"/>
    <xf numFmtId="10" fontId="40" fillId="0" borderId="6" xfId="0" applyNumberFormat="1" applyFont="1" applyBorder="1"/>
    <xf numFmtId="10" fontId="40" fillId="0" borderId="11" xfId="0" applyNumberFormat="1" applyFont="1" applyBorder="1"/>
    <xf numFmtId="43" fontId="0" fillId="0" borderId="8" xfId="0" applyNumberFormat="1" applyBorder="1"/>
    <xf numFmtId="196" fontId="0" fillId="0" borderId="8" xfId="0" applyNumberFormat="1" applyBorder="1"/>
    <xf numFmtId="0" fontId="2" fillId="7" borderId="66" xfId="0" applyFont="1" applyFill="1" applyBorder="1"/>
    <xf numFmtId="0" fontId="2" fillId="7" borderId="12" xfId="0" applyFont="1" applyFill="1" applyBorder="1"/>
    <xf numFmtId="196" fontId="2" fillId="7" borderId="65" xfId="0" applyNumberFormat="1" applyFont="1" applyFill="1" applyBorder="1"/>
    <xf numFmtId="0" fontId="0" fillId="7" borderId="67" xfId="0" applyFill="1" applyBorder="1"/>
    <xf numFmtId="0" fontId="0" fillId="7" borderId="68" xfId="0" applyFill="1" applyBorder="1"/>
    <xf numFmtId="43" fontId="2" fillId="7" borderId="69" xfId="0" applyNumberFormat="1" applyFont="1" applyFill="1" applyBorder="1"/>
    <xf numFmtId="196" fontId="2" fillId="0" borderId="8" xfId="0" applyNumberFormat="1" applyFont="1" applyBorder="1"/>
    <xf numFmtId="170" fontId="9" fillId="0" borderId="8" xfId="0" applyNumberFormat="1" applyFont="1" applyBorder="1" applyAlignment="1">
      <alignment horizontal="right"/>
    </xf>
    <xf numFmtId="193" fontId="42" fillId="0" borderId="0" xfId="0" applyNumberFormat="1" applyFont="1"/>
    <xf numFmtId="0" fontId="3" fillId="3" borderId="0" xfId="0" applyFont="1" applyFill="1" applyAlignment="1">
      <alignment wrapText="1"/>
    </xf>
    <xf numFmtId="0" fontId="3" fillId="3" borderId="73" xfId="0" applyFont="1" applyFill="1" applyBorder="1" applyAlignment="1">
      <alignment horizontal="centerContinuous"/>
    </xf>
    <xf numFmtId="0" fontId="2" fillId="0" borderId="1" xfId="0" applyFont="1" applyBorder="1" applyAlignment="1">
      <alignment horizontal="centerContinuous"/>
    </xf>
    <xf numFmtId="43" fontId="77" fillId="0" borderId="0" xfId="0" applyNumberFormat="1" applyFont="1"/>
    <xf numFmtId="197" fontId="0" fillId="0" borderId="0" xfId="0" applyNumberFormat="1"/>
    <xf numFmtId="43" fontId="77" fillId="6" borderId="0" xfId="0" applyNumberFormat="1" applyFont="1" applyFill="1"/>
    <xf numFmtId="43" fontId="0" fillId="6" borderId="0" xfId="0" applyNumberFormat="1" applyFill="1"/>
    <xf numFmtId="197" fontId="0" fillId="6" borderId="0" xfId="0" applyNumberFormat="1" applyFill="1"/>
    <xf numFmtId="0" fontId="2" fillId="8" borderId="0" xfId="0" applyFont="1" applyFill="1" applyAlignment="1">
      <alignment horizontal="centerContinuous"/>
    </xf>
    <xf numFmtId="43" fontId="78" fillId="0" borderId="0" xfId="0" applyNumberFormat="1" applyFont="1"/>
    <xf numFmtId="0" fontId="0" fillId="7" borderId="74" xfId="0" applyFill="1" applyBorder="1"/>
    <xf numFmtId="197" fontId="0" fillId="7" borderId="74" xfId="0" applyNumberFormat="1" applyFill="1" applyBorder="1"/>
    <xf numFmtId="197" fontId="0" fillId="7" borderId="0" xfId="0" applyNumberFormat="1" applyFill="1"/>
    <xf numFmtId="0" fontId="2" fillId="7" borderId="0" xfId="0" applyFont="1" applyFill="1"/>
    <xf numFmtId="197" fontId="2" fillId="7" borderId="0" xfId="0" applyNumberFormat="1" applyFont="1" applyFill="1"/>
    <xf numFmtId="0" fontId="0" fillId="7" borderId="75" xfId="0" applyFill="1" applyBorder="1"/>
    <xf numFmtId="197" fontId="0" fillId="7" borderId="75" xfId="0" applyNumberFormat="1" applyFill="1" applyBorder="1"/>
    <xf numFmtId="0" fontId="2" fillId="7" borderId="76" xfId="0" applyFont="1" applyFill="1" applyBorder="1"/>
    <xf numFmtId="0" fontId="0" fillId="7" borderId="76" xfId="0" applyFill="1" applyBorder="1"/>
    <xf numFmtId="198" fontId="66" fillId="7" borderId="76" xfId="0" applyNumberFormat="1" applyFont="1" applyFill="1" applyBorder="1"/>
    <xf numFmtId="39" fontId="40" fillId="0" borderId="8" xfId="0" applyNumberFormat="1" applyFont="1" applyBorder="1"/>
    <xf numFmtId="196" fontId="40" fillId="0" borderId="8" xfId="0" applyNumberFormat="1" applyFont="1" applyBorder="1"/>
    <xf numFmtId="10" fontId="78" fillId="0" borderId="8" xfId="0" applyNumberFormat="1" applyFont="1" applyBorder="1"/>
    <xf numFmtId="0" fontId="66" fillId="7" borderId="70" xfId="0" applyFont="1" applyFill="1" applyBorder="1"/>
    <xf numFmtId="0" fontId="66" fillId="7" borderId="71" xfId="0" applyFont="1" applyFill="1" applyBorder="1"/>
    <xf numFmtId="199" fontId="66" fillId="7" borderId="72" xfId="0" applyNumberFormat="1" applyFont="1" applyFill="1" applyBorder="1"/>
    <xf numFmtId="10" fontId="10" fillId="0" borderId="0" xfId="0" applyNumberFormat="1" applyFont="1"/>
    <xf numFmtId="0" fontId="79" fillId="0" borderId="0" xfId="0" applyFont="1" applyAlignment="1">
      <alignment horizontal="centerContinuous"/>
    </xf>
    <xf numFmtId="0" fontId="0" fillId="0" borderId="8" xfId="0" applyBorder="1" applyAlignment="1">
      <alignment horizontal="centerContinuous"/>
    </xf>
    <xf numFmtId="200" fontId="0" fillId="0" borderId="0" xfId="0" applyNumberFormat="1"/>
    <xf numFmtId="200" fontId="0" fillId="0" borderId="8" xfId="0" applyNumberFormat="1" applyBorder="1"/>
    <xf numFmtId="200" fontId="0" fillId="6" borderId="0" xfId="0" applyNumberFormat="1" applyFill="1"/>
    <xf numFmtId="200" fontId="0" fillId="0" borderId="10" xfId="0" applyNumberFormat="1" applyBorder="1"/>
    <xf numFmtId="200" fontId="0" fillId="0" borderId="11" xfId="0" applyNumberFormat="1" applyBorder="1"/>
    <xf numFmtId="10" fontId="41" fillId="0" borderId="0" xfId="0" applyNumberFormat="1" applyFont="1" applyAlignment="1">
      <alignment horizontal="center" vertical="center"/>
    </xf>
    <xf numFmtId="10" fontId="37" fillId="0" borderId="0" xfId="2" applyNumberFormat="1" applyFont="1" applyFill="1" applyBorder="1" applyAlignment="1" applyProtection="1">
      <alignment horizontal="center"/>
    </xf>
    <xf numFmtId="10" fontId="2" fillId="0" borderId="0" xfId="0" applyNumberFormat="1" applyFont="1"/>
    <xf numFmtId="10" fontId="9" fillId="0" borderId="77" xfId="0" applyNumberFormat="1" applyFont="1" applyBorder="1" applyAlignment="1">
      <alignment horizontal="center"/>
    </xf>
    <xf numFmtId="0" fontId="79" fillId="0" borderId="7" xfId="0" applyFont="1" applyBorder="1" applyAlignment="1">
      <alignment vertical="center" textRotation="90"/>
    </xf>
    <xf numFmtId="0" fontId="79" fillId="0" borderId="0" xfId="0" applyFont="1" applyAlignment="1">
      <alignment vertical="center" textRotation="90"/>
    </xf>
    <xf numFmtId="0" fontId="2" fillId="0" borderId="8" xfId="0" applyFont="1" applyBorder="1" applyAlignment="1">
      <alignment horizontal="right"/>
    </xf>
    <xf numFmtId="0" fontId="66" fillId="0" borderId="7" xfId="0" applyFont="1" applyBorder="1"/>
    <xf numFmtId="10" fontId="40" fillId="0" borderId="31" xfId="0" applyNumberFormat="1" applyFont="1" applyBorder="1" applyAlignment="1">
      <alignment horizontal="center"/>
    </xf>
    <xf numFmtId="199" fontId="80" fillId="0" borderId="0" xfId="0" applyNumberFormat="1" applyFont="1"/>
    <xf numFmtId="10" fontId="81" fillId="0" borderId="0" xfId="0" applyNumberFormat="1" applyFont="1"/>
    <xf numFmtId="10" fontId="81" fillId="0" borderId="10" xfId="0" applyNumberFormat="1" applyFont="1" applyBorder="1"/>
    <xf numFmtId="10" fontId="81" fillId="0" borderId="8" xfId="0" applyNumberFormat="1" applyFont="1" applyBorder="1"/>
    <xf numFmtId="2" fontId="0" fillId="0" borderId="10" xfId="0" applyNumberFormat="1" applyBorder="1"/>
    <xf numFmtId="2" fontId="0" fillId="0" borderId="11" xfId="0" applyNumberFormat="1" applyBorder="1"/>
    <xf numFmtId="0" fontId="0" fillId="0" borderId="0" xfId="0" applyAlignment="1">
      <alignment horizontal="right"/>
    </xf>
    <xf numFmtId="0" fontId="0" fillId="0" borderId="8" xfId="0" applyBorder="1" applyAlignment="1">
      <alignment horizontal="right"/>
    </xf>
    <xf numFmtId="0" fontId="3" fillId="3" borderId="4" xfId="0" applyFont="1" applyFill="1" applyBorder="1" applyAlignment="1">
      <alignment horizontal="right"/>
    </xf>
    <xf numFmtId="0" fontId="3" fillId="3" borderId="5" xfId="0" applyFont="1" applyFill="1" applyBorder="1" applyAlignment="1">
      <alignment horizontal="left"/>
    </xf>
    <xf numFmtId="0" fontId="3" fillId="3" borderId="5" xfId="0" applyFont="1" applyFill="1" applyBorder="1" applyAlignment="1">
      <alignment horizontal="center"/>
    </xf>
    <xf numFmtId="0" fontId="3" fillId="3" borderId="6" xfId="0" applyFont="1" applyFill="1" applyBorder="1" applyAlignment="1">
      <alignment horizontal="center"/>
    </xf>
    <xf numFmtId="0" fontId="0" fillId="0" borderId="7" xfId="0" applyBorder="1" applyAlignment="1">
      <alignment horizontal="left"/>
    </xf>
    <xf numFmtId="187" fontId="9" fillId="0" borderId="8" xfId="0" applyNumberFormat="1" applyFont="1" applyBorder="1"/>
    <xf numFmtId="0" fontId="0" fillId="0" borderId="9" xfId="0" applyBorder="1" applyAlignment="1">
      <alignment horizontal="left"/>
    </xf>
    <xf numFmtId="187" fontId="9" fillId="0" borderId="10" xfId="0" applyNumberFormat="1" applyFont="1" applyBorder="1"/>
    <xf numFmtId="187" fontId="0" fillId="0" borderId="10" xfId="0" applyNumberFormat="1" applyBorder="1"/>
    <xf numFmtId="187" fontId="9" fillId="0" borderId="11" xfId="0" applyNumberFormat="1" applyFont="1" applyBorder="1"/>
    <xf numFmtId="0" fontId="70" fillId="0" borderId="7" xfId="0" applyFont="1" applyBorder="1"/>
    <xf numFmtId="0" fontId="0" fillId="0" borderId="78" xfId="0" applyBorder="1"/>
    <xf numFmtId="0" fontId="0" fillId="0" borderId="79" xfId="0" applyBorder="1"/>
    <xf numFmtId="0" fontId="0" fillId="0" borderId="80" xfId="0" applyBorder="1"/>
    <xf numFmtId="173" fontId="0" fillId="0" borderId="78" xfId="0" applyNumberFormat="1" applyBorder="1"/>
    <xf numFmtId="173" fontId="0" fillId="0" borderId="78" xfId="1" applyNumberFormat="1" applyFont="1" applyBorder="1"/>
    <xf numFmtId="200" fontId="0" fillId="0" borderId="78" xfId="0" applyNumberFormat="1" applyBorder="1"/>
    <xf numFmtId="173" fontId="0" fillId="0" borderId="79" xfId="0" applyNumberFormat="1" applyBorder="1"/>
    <xf numFmtId="173" fontId="0" fillId="0" borderId="79" xfId="1" applyNumberFormat="1" applyFont="1" applyBorder="1"/>
    <xf numFmtId="200" fontId="0" fillId="0" borderId="79" xfId="0" applyNumberFormat="1" applyBorder="1"/>
    <xf numFmtId="0" fontId="70" fillId="0" borderId="9" xfId="0" applyFont="1" applyBorder="1"/>
    <xf numFmtId="0" fontId="72" fillId="0" borderId="81" xfId="0" applyFont="1" applyBorder="1" applyAlignment="1">
      <alignment horizontal="left"/>
    </xf>
    <xf numFmtId="0" fontId="0" fillId="0" borderId="82" xfId="0" applyBorder="1"/>
    <xf numFmtId="0" fontId="0" fillId="0" borderId="83" xfId="0" applyBorder="1"/>
    <xf numFmtId="10" fontId="0" fillId="0" borderId="64" xfId="0" applyNumberFormat="1" applyBorder="1"/>
    <xf numFmtId="0" fontId="0" fillId="0" borderId="84" xfId="0" applyBorder="1"/>
    <xf numFmtId="10" fontId="0" fillId="0" borderId="85" xfId="0" applyNumberFormat="1" applyBorder="1"/>
    <xf numFmtId="0" fontId="0" fillId="0" borderId="86" xfId="0" applyBorder="1"/>
    <xf numFmtId="0" fontId="0" fillId="0" borderId="87" xfId="0" applyBorder="1"/>
    <xf numFmtId="0" fontId="2" fillId="0" borderId="81" xfId="0" applyFont="1" applyBorder="1"/>
    <xf numFmtId="9" fontId="9" fillId="0" borderId="84" xfId="0" applyNumberFormat="1" applyFont="1" applyBorder="1"/>
    <xf numFmtId="200" fontId="0" fillId="0" borderId="85" xfId="0" applyNumberFormat="1" applyBorder="1"/>
    <xf numFmtId="10" fontId="9" fillId="0" borderId="86" xfId="0" applyNumberFormat="1" applyFont="1" applyBorder="1"/>
    <xf numFmtId="200" fontId="0" fillId="0" borderId="87" xfId="0" applyNumberFormat="1" applyBorder="1"/>
    <xf numFmtId="10" fontId="9" fillId="0" borderId="61" xfId="0" applyNumberFormat="1" applyFont="1" applyBorder="1"/>
    <xf numFmtId="173" fontId="0" fillId="0" borderId="62" xfId="0" applyNumberFormat="1" applyBorder="1"/>
    <xf numFmtId="173" fontId="0" fillId="0" borderId="62" xfId="1" applyNumberFormat="1" applyFont="1" applyBorder="1"/>
    <xf numFmtId="200" fontId="0" fillId="0" borderId="62" xfId="0" applyNumberFormat="1" applyBorder="1"/>
    <xf numFmtId="200" fontId="0" fillId="0" borderId="63" xfId="0" applyNumberFormat="1" applyBorder="1"/>
    <xf numFmtId="9" fontId="9" fillId="0" borderId="83" xfId="0" applyNumberFormat="1" applyFont="1" applyBorder="1"/>
    <xf numFmtId="173" fontId="0" fillId="0" borderId="38" xfId="0" applyNumberFormat="1" applyBorder="1"/>
    <xf numFmtId="173" fontId="0" fillId="0" borderId="38" xfId="1" applyNumberFormat="1" applyFont="1" applyBorder="1"/>
    <xf numFmtId="200" fontId="0" fillId="0" borderId="38" xfId="0" applyNumberFormat="1" applyBorder="1"/>
    <xf numFmtId="200" fontId="0" fillId="0" borderId="64" xfId="0" applyNumberFormat="1" applyBorder="1"/>
    <xf numFmtId="0" fontId="2" fillId="0" borderId="88" xfId="0" applyFont="1" applyBorder="1" applyAlignment="1">
      <alignment horizontal="right"/>
    </xf>
    <xf numFmtId="0" fontId="2" fillId="0" borderId="89" xfId="0" applyFont="1" applyBorder="1" applyAlignment="1">
      <alignment horizontal="right"/>
    </xf>
    <xf numFmtId="0" fontId="2" fillId="0" borderId="90" xfId="0" applyFont="1" applyBorder="1" applyAlignment="1">
      <alignment horizontal="right"/>
    </xf>
    <xf numFmtId="0" fontId="82" fillId="0" borderId="0" xfId="0" applyFont="1" applyAlignment="1">
      <alignment horizontal="left"/>
    </xf>
    <xf numFmtId="9" fontId="23" fillId="0" borderId="0" xfId="1" applyFont="1" applyAlignment="1">
      <alignment horizontal="centerContinuous"/>
    </xf>
    <xf numFmtId="9" fontId="0" fillId="0" borderId="0" xfId="1" applyFont="1" applyAlignment="1">
      <alignment horizontal="centerContinuous"/>
    </xf>
    <xf numFmtId="9" fontId="32" fillId="0" borderId="0" xfId="1" applyFont="1" applyAlignment="1">
      <alignment horizontal="centerContinuous"/>
    </xf>
    <xf numFmtId="9" fontId="25" fillId="8" borderId="0" xfId="1" applyFont="1" applyFill="1" applyAlignment="1">
      <alignment horizontal="centerContinuous"/>
    </xf>
    <xf numFmtId="9" fontId="44" fillId="8" borderId="0" xfId="1" applyFont="1" applyFill="1" applyAlignment="1">
      <alignment horizontal="centerContinuous"/>
    </xf>
    <xf numFmtId="9" fontId="45" fillId="8" borderId="0" xfId="1" applyFont="1" applyFill="1" applyAlignment="1">
      <alignment horizontal="centerContinuous"/>
    </xf>
    <xf numFmtId="9" fontId="0" fillId="8" borderId="0" xfId="1" applyFont="1" applyFill="1" applyAlignment="1">
      <alignment horizontal="centerContinuous"/>
    </xf>
    <xf numFmtId="9" fontId="25" fillId="0" borderId="3" xfId="1" applyFont="1" applyBorder="1" applyAlignment="1">
      <alignment horizontal="centerContinuous"/>
    </xf>
    <xf numFmtId="9" fontId="44" fillId="0" borderId="3" xfId="1" applyFont="1" applyBorder="1" applyAlignment="1">
      <alignment horizontal="centerContinuous"/>
    </xf>
    <xf numFmtId="9" fontId="45" fillId="0" borderId="3" xfId="1" applyFont="1" applyBorder="1" applyAlignment="1">
      <alignment horizontal="centerContinuous"/>
    </xf>
    <xf numFmtId="0" fontId="6" fillId="0" borderId="0" xfId="0" applyFont="1" applyAlignment="1">
      <alignment horizontal="left" vertical="top" wrapText="1"/>
    </xf>
    <xf numFmtId="0" fontId="79" fillId="0" borderId="7" xfId="0" applyFont="1" applyBorder="1" applyAlignment="1">
      <alignment horizontal="center" vertical="center" textRotation="90" wrapText="1"/>
    </xf>
    <xf numFmtId="0" fontId="79" fillId="0" borderId="9" xfId="0" applyFont="1" applyBorder="1" applyAlignment="1">
      <alignment horizontal="center" vertical="center" textRotation="90" wrapText="1"/>
    </xf>
  </cellXfs>
  <cellStyles count="6">
    <cellStyle name="Comma" xfId="2" builtinId="3"/>
    <cellStyle name="Hyperlink" xfId="5" builtinId="8"/>
    <cellStyle name="Normal" xfId="0" builtinId="0"/>
    <cellStyle name="Normal_DrydenNewDCF3" xfId="4" xr:uid="{7A74BF19-358D-2249-B0E0-697E7B91CB13}"/>
    <cellStyle name="Normal_TrainingDCF1" xfId="3" xr:uid="{5FAAAB94-ECED-6041-88A4-AE087B3C2739}"/>
    <cellStyle name="Per cent" xfId="1" builtinId="5"/>
  </cellStyles>
  <dxfs count="0"/>
  <tableStyles count="0" defaultTableStyle="TableStyleMedium2" defaultPivotStyle="PivotStyleLight16"/>
  <colors>
    <mruColors>
      <color rgb="FF0432FF"/>
      <color rgb="FFFF2F92"/>
      <color rgb="FFBB3869"/>
      <color rgb="FF5C58A7"/>
      <color rgb="FF097CAA"/>
      <color rgb="FF943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GB" b="1">
                <a:solidFill>
                  <a:srgbClr val="002060"/>
                </a:solidFill>
              </a:rPr>
              <a:t>Football</a:t>
            </a:r>
            <a:r>
              <a:rPr lang="en-GB" b="1" baseline="0">
                <a:solidFill>
                  <a:srgbClr val="002060"/>
                </a:solidFill>
              </a:rPr>
              <a:t> Field Analysis - Valuation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lotArea>
      <c:layout/>
      <c:stockChart>
        <c:ser>
          <c:idx val="0"/>
          <c:order val="0"/>
          <c:spPr>
            <a:ln w="38100" cap="rnd">
              <a:noFill/>
              <a:round/>
            </a:ln>
            <a:effectLst/>
          </c:spPr>
          <c:marker>
            <c:symbol val="none"/>
          </c:marker>
          <c:cat>
            <c:strRef>
              <c:f>'Football Field'!$I$7:$I$11</c:f>
              <c:strCache>
                <c:ptCount val="5"/>
                <c:pt idx="0">
                  <c:v>Comps</c:v>
                </c:pt>
                <c:pt idx="1">
                  <c:v>DCF Worst Case</c:v>
                </c:pt>
                <c:pt idx="2">
                  <c:v>DCF Base Case</c:v>
                </c:pt>
                <c:pt idx="3">
                  <c:v>DCF Best Case</c:v>
                </c:pt>
                <c:pt idx="4">
                  <c:v>52Weeks H/L</c:v>
                </c:pt>
              </c:strCache>
            </c:strRef>
          </c:cat>
          <c:val>
            <c:numRef>
              <c:f>'Football Field'!$K$7:$K$11</c:f>
              <c:numCache>
                <c:formatCode>0.00</c:formatCode>
                <c:ptCount val="5"/>
                <c:pt idx="0">
                  <c:v>54.800548580863648</c:v>
                </c:pt>
                <c:pt idx="1">
                  <c:v>181.36418302463369</c:v>
                </c:pt>
                <c:pt idx="2">
                  <c:v>382.06338392497622</c:v>
                </c:pt>
                <c:pt idx="3">
                  <c:v>611.72044940892238</c:v>
                </c:pt>
                <c:pt idx="4">
                  <c:v>128.1</c:v>
                </c:pt>
              </c:numCache>
            </c:numRef>
          </c:val>
          <c:smooth val="0"/>
          <c:extLst>
            <c:ext xmlns:c16="http://schemas.microsoft.com/office/drawing/2014/chart" uri="{C3380CC4-5D6E-409C-BE32-E72D297353CC}">
              <c16:uniqueId val="{00000000-98A3-1B44-9B12-014BCA4C8587}"/>
            </c:ext>
          </c:extLst>
        </c:ser>
        <c:ser>
          <c:idx val="1"/>
          <c:order val="1"/>
          <c:spPr>
            <a:ln w="38100" cap="rnd">
              <a:noFill/>
              <a:round/>
            </a:ln>
            <a:effectLst/>
          </c:spPr>
          <c:marker>
            <c:symbol val="none"/>
          </c:marker>
          <c:dLbls>
            <c:dLbl>
              <c:idx val="0"/>
              <c:layout>
                <c:manualLayout>
                  <c:x val="-4.7171647334780527E-2"/>
                  <c:y val="2.79571630038782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A3-1B44-9B12-014BCA4C8587}"/>
                </c:ext>
              </c:extLst>
            </c:dLbl>
            <c:numFmt formatCode="&quot;₹&quot;#,##0.00_);[Red]\(&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Field'!$I$7:$I$11</c:f>
              <c:strCache>
                <c:ptCount val="5"/>
                <c:pt idx="0">
                  <c:v>Comps</c:v>
                </c:pt>
                <c:pt idx="1">
                  <c:v>DCF Worst Case</c:v>
                </c:pt>
                <c:pt idx="2">
                  <c:v>DCF Base Case</c:v>
                </c:pt>
                <c:pt idx="3">
                  <c:v>DCF Best Case</c:v>
                </c:pt>
                <c:pt idx="4">
                  <c:v>52Weeks H/L</c:v>
                </c:pt>
              </c:strCache>
            </c:strRef>
          </c:cat>
          <c:val>
            <c:numRef>
              <c:f>'Football Field'!$L$7:$L$11</c:f>
              <c:numCache>
                <c:formatCode>0.00</c:formatCode>
                <c:ptCount val="5"/>
                <c:pt idx="0">
                  <c:v>54.800548580863648</c:v>
                </c:pt>
                <c:pt idx="1">
                  <c:v>181.36418302463369</c:v>
                </c:pt>
                <c:pt idx="2">
                  <c:v>382.06338392497622</c:v>
                </c:pt>
                <c:pt idx="3">
                  <c:v>611.72044940892238</c:v>
                </c:pt>
                <c:pt idx="4">
                  <c:v>128.1</c:v>
                </c:pt>
              </c:numCache>
            </c:numRef>
          </c:val>
          <c:smooth val="0"/>
          <c:extLst>
            <c:ext xmlns:c16="http://schemas.microsoft.com/office/drawing/2014/chart" uri="{C3380CC4-5D6E-409C-BE32-E72D297353CC}">
              <c16:uniqueId val="{00000001-98A3-1B44-9B12-014BCA4C8587}"/>
            </c:ext>
          </c:extLst>
        </c:ser>
        <c:ser>
          <c:idx val="2"/>
          <c:order val="2"/>
          <c:spPr>
            <a:ln w="38100" cap="rnd">
              <a:noFill/>
              <a:round/>
            </a:ln>
            <a:effectLst/>
          </c:spPr>
          <c:marker>
            <c:symbol val="none"/>
          </c:marker>
          <c:cat>
            <c:strRef>
              <c:f>'Football Field'!$I$7:$I$11</c:f>
              <c:strCache>
                <c:ptCount val="5"/>
                <c:pt idx="0">
                  <c:v>Comps</c:v>
                </c:pt>
                <c:pt idx="1">
                  <c:v>DCF Worst Case</c:v>
                </c:pt>
                <c:pt idx="2">
                  <c:v>DCF Base Case</c:v>
                </c:pt>
                <c:pt idx="3">
                  <c:v>DCF Best Case</c:v>
                </c:pt>
                <c:pt idx="4">
                  <c:v>52Weeks H/L</c:v>
                </c:pt>
              </c:strCache>
            </c:strRef>
          </c:cat>
          <c:val>
            <c:numRef>
              <c:f>'Football Field'!$M$7:$M$11</c:f>
              <c:numCache>
                <c:formatCode>0.00</c:formatCode>
                <c:ptCount val="5"/>
                <c:pt idx="0">
                  <c:v>182.31043125268769</c:v>
                </c:pt>
                <c:pt idx="1">
                  <c:v>245.18773521665318</c:v>
                </c:pt>
                <c:pt idx="2">
                  <c:v>594.67445279724939</c:v>
                </c:pt>
                <c:pt idx="3">
                  <c:v>1243.5243877585531</c:v>
                </c:pt>
                <c:pt idx="4">
                  <c:v>254.2</c:v>
                </c:pt>
              </c:numCache>
            </c:numRef>
          </c:val>
          <c:smooth val="0"/>
          <c:extLst>
            <c:ext xmlns:c16="http://schemas.microsoft.com/office/drawing/2014/chart" uri="{C3380CC4-5D6E-409C-BE32-E72D297353CC}">
              <c16:uniqueId val="{00000002-98A3-1B44-9B12-014BCA4C8587}"/>
            </c:ext>
          </c:extLst>
        </c:ser>
        <c:ser>
          <c:idx val="3"/>
          <c:order val="3"/>
          <c:spPr>
            <a:ln w="38100" cap="rnd">
              <a:noFill/>
              <a:round/>
            </a:ln>
            <a:effectLst/>
          </c:spPr>
          <c:marker>
            <c:symbol val="none"/>
          </c:marker>
          <c:dLbls>
            <c:numFmt formatCode="&quot;₹&quot;#,##0.0_);[Red]\(&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Field'!$I$7:$I$11</c:f>
              <c:strCache>
                <c:ptCount val="5"/>
                <c:pt idx="0">
                  <c:v>Comps</c:v>
                </c:pt>
                <c:pt idx="1">
                  <c:v>DCF Worst Case</c:v>
                </c:pt>
                <c:pt idx="2">
                  <c:v>DCF Base Case</c:v>
                </c:pt>
                <c:pt idx="3">
                  <c:v>DCF Best Case</c:v>
                </c:pt>
                <c:pt idx="4">
                  <c:v>52Weeks H/L</c:v>
                </c:pt>
              </c:strCache>
            </c:strRef>
          </c:cat>
          <c:val>
            <c:numRef>
              <c:f>'Football Field'!$N$7:$N$11</c:f>
              <c:numCache>
                <c:formatCode>0.00</c:formatCode>
                <c:ptCount val="5"/>
                <c:pt idx="0">
                  <c:v>182.31043125268769</c:v>
                </c:pt>
                <c:pt idx="1">
                  <c:v>245.18773521665318</c:v>
                </c:pt>
                <c:pt idx="2">
                  <c:v>594.67445279724939</c:v>
                </c:pt>
                <c:pt idx="3">
                  <c:v>1243.5243877585531</c:v>
                </c:pt>
                <c:pt idx="4">
                  <c:v>254.2</c:v>
                </c:pt>
              </c:numCache>
            </c:numRef>
          </c:val>
          <c:smooth val="0"/>
          <c:extLst>
            <c:ext xmlns:c16="http://schemas.microsoft.com/office/drawing/2014/chart" uri="{C3380CC4-5D6E-409C-BE32-E72D297353CC}">
              <c16:uniqueId val="{00000003-98A3-1B44-9B12-014BCA4C8587}"/>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57404352"/>
        <c:axId val="13251712"/>
      </c:stockChart>
      <c:catAx>
        <c:axId val="574043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712"/>
        <c:crosses val="autoZero"/>
        <c:auto val="1"/>
        <c:lblAlgn val="ctr"/>
        <c:lblOffset val="100"/>
        <c:noMultiLvlLbl val="0"/>
      </c:catAx>
      <c:valAx>
        <c:axId val="13251712"/>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 Distribution</cx:v>
        </cx:txData>
      </cx:tx>
      <cx:txPr>
        <a:bodyPr spcFirstLastPara="1" vertOverflow="ellipsis" horzOverflow="overflow" wrap="square" lIns="0" tIns="0" rIns="0" bIns="0" anchor="ctr" anchorCtr="1"/>
        <a:lstStyle/>
        <a:p>
          <a:pPr algn="ctr" rtl="0">
            <a:defRPr/>
          </a:pPr>
          <a:r>
            <a:rPr lang="en-GB" sz="1100" b="1" i="0" u="none" strike="noStrike" baseline="0">
              <a:solidFill>
                <a:srgbClr val="002060"/>
              </a:solidFill>
              <a:latin typeface="Aptos Narrow" panose="02110004020202020204"/>
            </a:rPr>
            <a:t>Daily Return Distribution</a:t>
          </a:r>
        </a:p>
      </cx:txPr>
    </cx:title>
    <cx:plotArea>
      <cx:plotAreaRegion>
        <cx:series layoutId="clusteredColumn" uniqueId="{99A1726A-3A18-EA43-9B56-4517B8738274}">
          <cx:spPr>
            <a:solidFill>
              <a:srgbClr val="002060"/>
            </a:solidFill>
          </cx:spPr>
          <cx:dataId val="0"/>
          <cx:layoutPr>
            <cx:binning intervalClosed="r"/>
          </cx:layoutPr>
        </cx:series>
      </cx:plotAreaRegion>
      <cx:axis id="0">
        <cx:catScaling gapWidth="0"/>
        <cx:tickLabels/>
        <cx:numFmt formatCode="#,##0.0%;(-#,##0.0%)" sourceLinked="0"/>
      </cx:axis>
      <cx:axis id="1">
        <cx:valScaling/>
        <cx:majorGridlines/>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Drop" dropStyle="combo" dx="15" fmlaLink="$D$5" fmlaRange="$C$13:$C$15" sel="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xdr:col>
      <xdr:colOff>8466</xdr:colOff>
      <xdr:row>1</xdr:row>
      <xdr:rowOff>143935</xdr:rowOff>
    </xdr:from>
    <xdr:to>
      <xdr:col>5</xdr:col>
      <xdr:colOff>573831</xdr:colOff>
      <xdr:row>5</xdr:row>
      <xdr:rowOff>114300</xdr:rowOff>
    </xdr:to>
    <xdr:pic>
      <xdr:nvPicPr>
        <xdr:cNvPr id="5" name="Picture 4" descr="Adani Power">
          <a:extLst>
            <a:ext uri="{FF2B5EF4-FFF2-40B4-BE49-F238E27FC236}">
              <a16:creationId xmlns:a16="http://schemas.microsoft.com/office/drawing/2014/main" id="{2EA1D655-7362-6D89-06ED-81E36A720F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799" y="541868"/>
          <a:ext cx="3884299" cy="757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12700</xdr:colOff>
          <xdr:row>3</xdr:row>
          <xdr:rowOff>177800</xdr:rowOff>
        </xdr:from>
        <xdr:to>
          <xdr:col>4</xdr:col>
          <xdr:colOff>304800</xdr:colOff>
          <xdr:row>5</xdr:row>
          <xdr:rowOff>38100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16934</xdr:colOff>
      <xdr:row>3</xdr:row>
      <xdr:rowOff>152400</xdr:rowOff>
    </xdr:from>
    <xdr:to>
      <xdr:col>7</xdr:col>
      <xdr:colOff>711200</xdr:colOff>
      <xdr:row>21</xdr:row>
      <xdr:rowOff>42333</xdr:rowOff>
    </xdr:to>
    <xdr:graphicFrame macro="">
      <xdr:nvGraphicFramePr>
        <xdr:cNvPr id="2" name="Chart 1">
          <a:extLst>
            <a:ext uri="{FF2B5EF4-FFF2-40B4-BE49-F238E27FC236}">
              <a16:creationId xmlns:a16="http://schemas.microsoft.com/office/drawing/2014/main" id="{3E003E5D-B97D-CF17-E26C-09FC09B77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607391</xdr:colOff>
      <xdr:row>17</xdr:row>
      <xdr:rowOff>131141</xdr:rowOff>
    </xdr:from>
    <xdr:to>
      <xdr:col>7</xdr:col>
      <xdr:colOff>427934</xdr:colOff>
      <xdr:row>17</xdr:row>
      <xdr:rowOff>131141</xdr:rowOff>
    </xdr:to>
    <xdr:cxnSp macro="">
      <xdr:nvCxnSpPr>
        <xdr:cNvPr id="4" name="Straight Connector 3">
          <a:extLst>
            <a:ext uri="{FF2B5EF4-FFF2-40B4-BE49-F238E27FC236}">
              <a16:creationId xmlns:a16="http://schemas.microsoft.com/office/drawing/2014/main" id="{3F8CC5D8-9A3F-6C53-5BDF-FC8C463B552C}"/>
            </a:ext>
          </a:extLst>
        </xdr:cNvPr>
        <xdr:cNvCxnSpPr/>
      </xdr:nvCxnSpPr>
      <xdr:spPr>
        <a:xfrm>
          <a:off x="897282" y="3395869"/>
          <a:ext cx="4790109" cy="0"/>
        </a:xfrm>
        <a:prstGeom prst="line">
          <a:avLst/>
        </a:prstGeom>
        <a:ln w="12700">
          <a:solidFill>
            <a:schemeClr val="accent2">
              <a:lumMod val="75000"/>
            </a:schemeClr>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36</xdr:row>
      <xdr:rowOff>96520</xdr:rowOff>
    </xdr:from>
    <xdr:to>
      <xdr:col>13</xdr:col>
      <xdr:colOff>10160</xdr:colOff>
      <xdr:row>49</xdr:row>
      <xdr:rowOff>10160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0C219D7-5C45-BF57-A592-0D50E9515B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49900" y="6497320"/>
              <a:ext cx="4137660" cy="23901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7A71-2142-3C4E-A87E-0A26186FF9FF}">
  <sheetPr>
    <pageSetUpPr fitToPage="1"/>
  </sheetPr>
  <dimension ref="B1:I18"/>
  <sheetViews>
    <sheetView showGridLines="0" zoomScale="163" zoomScaleNormal="163" zoomScaleSheetLayoutView="200" workbookViewId="0">
      <selection activeCell="L9" sqref="L9"/>
    </sheetView>
  </sheetViews>
  <sheetFormatPr baseColWidth="10" defaultRowHeight="15" x14ac:dyDescent="0.2"/>
  <cols>
    <col min="1" max="1" width="3.83203125" customWidth="1"/>
  </cols>
  <sheetData>
    <row r="1" spans="2:9" ht="16" thickBot="1" x14ac:dyDescent="0.25">
      <c r="B1" s="1"/>
      <c r="C1" s="1"/>
      <c r="D1" s="1"/>
      <c r="E1" s="1"/>
      <c r="F1" s="1"/>
      <c r="G1" s="1"/>
      <c r="H1" s="1"/>
      <c r="I1" s="1"/>
    </row>
    <row r="2" spans="2:9" ht="16" thickTop="1" x14ac:dyDescent="0.2"/>
    <row r="7" spans="2:9" ht="21" x14ac:dyDescent="0.25">
      <c r="B7" s="3" t="s">
        <v>0</v>
      </c>
    </row>
    <row r="11" spans="2:9" ht="45" customHeight="1" x14ac:dyDescent="0.45">
      <c r="B11" s="628" t="s">
        <v>1</v>
      </c>
    </row>
    <row r="12" spans="2:9" ht="16" x14ac:dyDescent="0.2">
      <c r="B12" s="4" t="s">
        <v>610</v>
      </c>
    </row>
    <row r="13" spans="2:9" ht="16" x14ac:dyDescent="0.2">
      <c r="B13" s="4"/>
    </row>
    <row r="14" spans="2:9" ht="16" x14ac:dyDescent="0.2">
      <c r="B14" s="4"/>
    </row>
    <row r="16" spans="2:9" ht="35" customHeight="1" x14ac:dyDescent="0.2">
      <c r="B16" s="639" t="s">
        <v>629</v>
      </c>
      <c r="C16" s="639"/>
      <c r="D16" s="639"/>
      <c r="E16" s="639"/>
      <c r="F16" s="639"/>
      <c r="G16" s="639"/>
      <c r="H16" s="639"/>
      <c r="I16" s="639"/>
    </row>
    <row r="17" spans="2:9" ht="16" thickBot="1" x14ac:dyDescent="0.25">
      <c r="B17" s="1"/>
      <c r="C17" s="1"/>
      <c r="D17" s="1"/>
      <c r="E17" s="1"/>
      <c r="F17" s="1"/>
      <c r="G17" s="1"/>
      <c r="H17" s="1"/>
      <c r="I17" s="1"/>
    </row>
    <row r="18" spans="2:9" ht="16" thickTop="1" x14ac:dyDescent="0.2"/>
  </sheetData>
  <mergeCells count="1">
    <mergeCell ref="B16:I16"/>
  </mergeCells>
  <printOptions horizontalCentered="1" verticalCentered="1"/>
  <pageMargins left="0.25" right="0.25" top="0.25" bottom="0.25" header="0" footer="0"/>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1E8BA-51CC-7D44-BCB4-802F17F4CEB2}">
  <sheetPr>
    <tabColor theme="5"/>
  </sheetPr>
  <dimension ref="A1"/>
  <sheetViews>
    <sheetView workbookViewId="0">
      <selection activeCell="G166" sqref="G166"/>
    </sheetView>
  </sheetViews>
  <sheetFormatPr baseColWidth="10" defaultRowHeight="15" x14ac:dyDescent="0.2"/>
  <sheetData/>
  <printOptions horizontalCentered="1" verticalCentered="1"/>
  <pageMargins left="0.7" right="0.7" top="0.75" bottom="0.75" header="0.3" footer="0.3"/>
  <pageSetup paperSize="9" scale="36"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1E81E-1307-1641-BFDB-DCF373642450}">
  <dimension ref="A1:S153"/>
  <sheetViews>
    <sheetView showGridLines="0" topLeftCell="A33" zoomScale="125" zoomScaleNormal="100" zoomScaleSheetLayoutView="84" workbookViewId="0">
      <selection activeCell="G166" sqref="G166"/>
    </sheetView>
  </sheetViews>
  <sheetFormatPr baseColWidth="10" defaultRowHeight="15" x14ac:dyDescent="0.2"/>
  <cols>
    <col min="1" max="1" width="3.83203125" customWidth="1"/>
    <col min="2" max="3" width="2.83203125" customWidth="1"/>
  </cols>
  <sheetData>
    <row r="1" spans="1:17" ht="33" x14ac:dyDescent="0.4">
      <c r="B1" s="6" t="str">
        <f>Cover!B11</f>
        <v>Adani Power</v>
      </c>
      <c r="C1" s="5"/>
      <c r="D1" s="5"/>
      <c r="E1" s="5"/>
      <c r="F1" s="5"/>
      <c r="G1" s="5"/>
      <c r="H1" s="5"/>
      <c r="I1" s="5"/>
      <c r="J1" s="5"/>
      <c r="K1" s="5"/>
      <c r="L1" s="5"/>
      <c r="M1" s="5"/>
      <c r="N1" s="5"/>
      <c r="O1" s="5"/>
      <c r="P1" s="5"/>
      <c r="Q1" s="5"/>
    </row>
    <row r="2" spans="1:17" ht="22" thickBot="1" x14ac:dyDescent="0.3">
      <c r="A2" t="s">
        <v>107</v>
      </c>
      <c r="B2" s="481" t="s">
        <v>6</v>
      </c>
      <c r="C2" s="482"/>
      <c r="D2" s="482"/>
      <c r="E2" s="482"/>
      <c r="F2" s="482"/>
      <c r="G2" s="482"/>
      <c r="H2" s="482"/>
      <c r="I2" s="482"/>
      <c r="J2" s="482"/>
      <c r="K2" s="482"/>
      <c r="L2" s="482"/>
      <c r="M2" s="482"/>
      <c r="N2" s="482"/>
      <c r="O2" s="482"/>
      <c r="P2" s="482"/>
      <c r="Q2" s="482"/>
    </row>
    <row r="3" spans="1:17" x14ac:dyDescent="0.2">
      <c r="B3" s="35" t="s">
        <v>7</v>
      </c>
    </row>
    <row r="5" spans="1:17" x14ac:dyDescent="0.2">
      <c r="H5" s="33">
        <v>2017</v>
      </c>
      <c r="I5" s="33">
        <f>H5+1</f>
        <v>2018</v>
      </c>
      <c r="J5" s="33">
        <f t="shared" ref="J5:Q5" si="0">I5+1</f>
        <v>2019</v>
      </c>
      <c r="K5" s="33">
        <f t="shared" si="0"/>
        <v>2020</v>
      </c>
      <c r="L5" s="33">
        <f t="shared" si="0"/>
        <v>2021</v>
      </c>
      <c r="M5" s="33">
        <f t="shared" si="0"/>
        <v>2022</v>
      </c>
      <c r="N5" s="33">
        <f t="shared" si="0"/>
        <v>2023</v>
      </c>
      <c r="O5" s="33">
        <f t="shared" si="0"/>
        <v>2024</v>
      </c>
      <c r="P5" s="33">
        <f t="shared" si="0"/>
        <v>2025</v>
      </c>
      <c r="Q5" s="33">
        <f t="shared" si="0"/>
        <v>2026</v>
      </c>
    </row>
    <row r="7" spans="1:17" x14ac:dyDescent="0.2">
      <c r="B7" s="2" t="s">
        <v>8</v>
      </c>
    </row>
    <row r="8" spans="1:17" x14ac:dyDescent="0.2">
      <c r="C8" t="s">
        <v>9</v>
      </c>
      <c r="H8" s="30">
        <v>22615.51</v>
      </c>
      <c r="I8" s="30">
        <v>20304.28</v>
      </c>
      <c r="J8" s="30">
        <v>23884.18</v>
      </c>
      <c r="K8" s="30">
        <v>26467.72</v>
      </c>
      <c r="L8" s="30">
        <v>26221.48</v>
      </c>
      <c r="M8" s="30">
        <v>27711.18</v>
      </c>
      <c r="N8" s="30">
        <v>38773.300000000003</v>
      </c>
      <c r="O8" s="30">
        <v>50351.25</v>
      </c>
      <c r="P8" s="30">
        <v>56203.09</v>
      </c>
      <c r="Q8" s="30">
        <v>54240.52</v>
      </c>
    </row>
    <row r="10" spans="1:17" x14ac:dyDescent="0.2">
      <c r="B10" s="2" t="s">
        <v>12</v>
      </c>
    </row>
    <row r="11" spans="1:17" x14ac:dyDescent="0.2">
      <c r="C11" t="s">
        <v>10</v>
      </c>
      <c r="H11" s="30">
        <v>14630.49</v>
      </c>
      <c r="I11" s="30">
        <v>12535.25</v>
      </c>
      <c r="J11" s="30">
        <v>15952.45</v>
      </c>
      <c r="K11" s="30">
        <v>17580.39</v>
      </c>
      <c r="L11" s="30">
        <v>14781.15</v>
      </c>
      <c r="M11" s="30">
        <v>14762.21</v>
      </c>
      <c r="N11" s="30">
        <v>25480.85</v>
      </c>
      <c r="O11" s="30">
        <v>28452.639999999999</v>
      </c>
      <c r="P11" s="30">
        <v>30273.25</v>
      </c>
      <c r="Q11" s="30">
        <v>29168.02</v>
      </c>
    </row>
    <row r="12" spans="1:17" x14ac:dyDescent="0.2">
      <c r="C12" t="s">
        <v>11</v>
      </c>
      <c r="H12" s="30">
        <v>1260.02</v>
      </c>
      <c r="I12" s="30">
        <v>1551.86</v>
      </c>
      <c r="J12" s="30">
        <v>1680.59</v>
      </c>
      <c r="K12" s="30">
        <v>1864.95</v>
      </c>
      <c r="L12" s="30">
        <v>1838.18</v>
      </c>
      <c r="M12" s="30">
        <v>2066.6799999999998</v>
      </c>
      <c r="N12" s="30">
        <v>1718.27</v>
      </c>
      <c r="O12" s="30">
        <v>1856.84</v>
      </c>
      <c r="P12" s="30">
        <v>2231.0500000000002</v>
      </c>
      <c r="Q12" s="30">
        <v>2565.39</v>
      </c>
    </row>
    <row r="13" spans="1:17" x14ac:dyDescent="0.2">
      <c r="C13" s="2" t="s">
        <v>13</v>
      </c>
      <c r="H13" s="29">
        <f>H8-SUM(H11:H12)</f>
        <v>6724.9999999999982</v>
      </c>
      <c r="I13" s="29">
        <f t="shared" ref="I13:Q13" si="1">I8-SUM(I11:I12)</f>
        <v>6217.1699999999983</v>
      </c>
      <c r="J13" s="29">
        <f t="shared" si="1"/>
        <v>6251.1399999999994</v>
      </c>
      <c r="K13" s="29">
        <f t="shared" si="1"/>
        <v>7022.380000000001</v>
      </c>
      <c r="L13" s="29">
        <f t="shared" si="1"/>
        <v>9602.1500000000015</v>
      </c>
      <c r="M13" s="29">
        <f t="shared" si="1"/>
        <v>10882.29</v>
      </c>
      <c r="N13" s="29">
        <f t="shared" si="1"/>
        <v>11574.180000000004</v>
      </c>
      <c r="O13" s="29">
        <f t="shared" si="1"/>
        <v>20041.77</v>
      </c>
      <c r="P13" s="29">
        <f t="shared" si="1"/>
        <v>23698.789999999997</v>
      </c>
      <c r="Q13" s="29">
        <f t="shared" si="1"/>
        <v>22507.109999999997</v>
      </c>
    </row>
    <row r="15" spans="1:17" x14ac:dyDescent="0.2">
      <c r="B15" s="2" t="s">
        <v>14</v>
      </c>
    </row>
    <row r="16" spans="1:17" x14ac:dyDescent="0.2">
      <c r="C16" t="s">
        <v>15</v>
      </c>
      <c r="H16" s="30">
        <v>361.01</v>
      </c>
      <c r="I16" s="30">
        <v>353.9</v>
      </c>
      <c r="J16" s="30">
        <v>363.47</v>
      </c>
      <c r="K16" s="30">
        <v>427.04</v>
      </c>
      <c r="L16" s="30">
        <v>431.89</v>
      </c>
      <c r="M16" s="30">
        <v>470.72</v>
      </c>
      <c r="N16" s="30">
        <v>570.46</v>
      </c>
      <c r="O16" s="30">
        <v>644.16999999999996</v>
      </c>
      <c r="P16" s="30">
        <v>786.63</v>
      </c>
      <c r="Q16" s="30">
        <v>857.81</v>
      </c>
    </row>
    <row r="17" spans="2:19" x14ac:dyDescent="0.2">
      <c r="C17" t="s">
        <v>16</v>
      </c>
      <c r="H17" s="30">
        <v>307.25</v>
      </c>
      <c r="I17" s="30">
        <v>225.3</v>
      </c>
      <c r="J17" s="30">
        <v>222.73</v>
      </c>
      <c r="K17" s="30">
        <v>454.63</v>
      </c>
      <c r="L17" s="30">
        <v>281.14</v>
      </c>
      <c r="M17" s="30">
        <v>233.67</v>
      </c>
      <c r="N17" s="30">
        <v>443.65</v>
      </c>
      <c r="O17" s="30">
        <v>454.82</v>
      </c>
      <c r="P17" s="30">
        <v>543.57000000000005</v>
      </c>
      <c r="Q17" s="30">
        <v>581.01</v>
      </c>
    </row>
    <row r="18" spans="2:19" x14ac:dyDescent="0.2">
      <c r="C18" t="s">
        <v>17</v>
      </c>
      <c r="H18" s="30">
        <v>76.7</v>
      </c>
      <c r="I18" s="30">
        <v>202.04</v>
      </c>
      <c r="J18" s="30">
        <v>681.53</v>
      </c>
      <c r="K18" s="30">
        <v>407.07</v>
      </c>
      <c r="L18" s="30">
        <v>200.96</v>
      </c>
      <c r="M18" s="30">
        <v>296.49</v>
      </c>
      <c r="N18" s="30">
        <v>463.73</v>
      </c>
      <c r="O18" s="30">
        <v>715.16</v>
      </c>
      <c r="P18" s="30">
        <v>950.26</v>
      </c>
      <c r="Q18" s="30">
        <v>1262.18</v>
      </c>
    </row>
    <row r="19" spans="2:19" x14ac:dyDescent="0.2">
      <c r="C19" t="s">
        <v>18</v>
      </c>
      <c r="H19" s="30">
        <v>-3666.12</v>
      </c>
      <c r="I19" s="30">
        <v>754.1</v>
      </c>
      <c r="J19" s="30">
        <v>2447.87</v>
      </c>
      <c r="K19" s="30">
        <v>322.76</v>
      </c>
      <c r="L19" s="30">
        <v>1908.56</v>
      </c>
      <c r="M19" s="30">
        <v>3908.04</v>
      </c>
      <c r="N19" s="30">
        <v>4215.54</v>
      </c>
      <c r="O19" s="30">
        <v>9883.31</v>
      </c>
      <c r="P19" s="30">
        <v>2589.85</v>
      </c>
      <c r="Q19" s="30">
        <v>3624.76</v>
      </c>
    </row>
    <row r="20" spans="2:19" x14ac:dyDescent="0.2">
      <c r="C20" s="2" t="s">
        <v>19</v>
      </c>
      <c r="H20" s="29">
        <f>H13-SUM(H16:H18)+H19</f>
        <v>2313.9199999999983</v>
      </c>
      <c r="I20" s="29">
        <f t="shared" ref="I20:Q20" si="2">I13-SUM(I16:I18)+I19</f>
        <v>6190.0299999999988</v>
      </c>
      <c r="J20" s="29">
        <f t="shared" si="2"/>
        <v>7431.28</v>
      </c>
      <c r="K20" s="29">
        <f t="shared" si="2"/>
        <v>6056.4000000000015</v>
      </c>
      <c r="L20" s="29">
        <f t="shared" si="2"/>
        <v>10596.720000000001</v>
      </c>
      <c r="M20" s="29">
        <f t="shared" si="2"/>
        <v>13789.45</v>
      </c>
      <c r="N20" s="29">
        <f t="shared" si="2"/>
        <v>14311.880000000005</v>
      </c>
      <c r="O20" s="29">
        <f t="shared" si="2"/>
        <v>28110.93</v>
      </c>
      <c r="P20" s="29">
        <f t="shared" si="2"/>
        <v>24008.179999999997</v>
      </c>
      <c r="Q20" s="29">
        <f t="shared" si="2"/>
        <v>23430.869999999995</v>
      </c>
    </row>
    <row r="22" spans="2:19" x14ac:dyDescent="0.2">
      <c r="C22" s="2" t="s">
        <v>20</v>
      </c>
      <c r="H22" s="30">
        <v>2672.36</v>
      </c>
      <c r="I22" s="30">
        <v>2698.72</v>
      </c>
      <c r="J22" s="30">
        <v>2750.62</v>
      </c>
      <c r="K22" s="30">
        <v>3006.5</v>
      </c>
      <c r="L22" s="30">
        <v>3201.65</v>
      </c>
      <c r="M22" s="30">
        <v>3117.54</v>
      </c>
      <c r="N22" s="30">
        <v>3303.68</v>
      </c>
      <c r="O22" s="30">
        <v>3931.33</v>
      </c>
      <c r="P22" s="30">
        <v>4308.88</v>
      </c>
      <c r="Q22" s="30">
        <v>4564.53</v>
      </c>
    </row>
    <row r="23" spans="2:19" x14ac:dyDescent="0.2">
      <c r="C23" s="2" t="s">
        <v>21</v>
      </c>
      <c r="H23" s="29">
        <f>H20-H22</f>
        <v>-358.44000000000187</v>
      </c>
      <c r="I23" s="29">
        <f t="shared" ref="I23:Q23" si="3">I20-I22</f>
        <v>3491.309999999999</v>
      </c>
      <c r="J23" s="29">
        <f t="shared" si="3"/>
        <v>4680.66</v>
      </c>
      <c r="K23" s="29">
        <f t="shared" si="3"/>
        <v>3049.9000000000015</v>
      </c>
      <c r="L23" s="29">
        <f t="shared" si="3"/>
        <v>7395.0700000000015</v>
      </c>
      <c r="M23" s="29">
        <f t="shared" si="3"/>
        <v>10671.91</v>
      </c>
      <c r="N23" s="29">
        <f t="shared" si="3"/>
        <v>11008.200000000004</v>
      </c>
      <c r="O23" s="29">
        <f t="shared" si="3"/>
        <v>24179.599999999999</v>
      </c>
      <c r="P23" s="29">
        <f t="shared" si="3"/>
        <v>19699.299999999996</v>
      </c>
      <c r="Q23" s="29">
        <f t="shared" si="3"/>
        <v>18866.339999999997</v>
      </c>
    </row>
    <row r="25" spans="2:19" x14ac:dyDescent="0.2">
      <c r="C25" s="2" t="s">
        <v>22</v>
      </c>
      <c r="H25" s="30">
        <v>5901.73</v>
      </c>
      <c r="I25" s="30">
        <v>5570.23</v>
      </c>
      <c r="J25" s="30">
        <v>5656.52</v>
      </c>
      <c r="K25" s="30">
        <v>5314.82</v>
      </c>
      <c r="L25" s="30">
        <v>5106.33</v>
      </c>
      <c r="M25" s="30">
        <v>4094.78</v>
      </c>
      <c r="N25" s="30">
        <v>3333.5</v>
      </c>
      <c r="O25" s="30">
        <v>3388.09</v>
      </c>
      <c r="P25" s="30">
        <v>3339.79</v>
      </c>
      <c r="Q25" s="30">
        <v>3366.83</v>
      </c>
    </row>
    <row r="26" spans="2:19" x14ac:dyDescent="0.2">
      <c r="C26" s="2" t="s">
        <v>23</v>
      </c>
      <c r="H26" s="29">
        <f>H23-H25</f>
        <v>-6260.1700000000019</v>
      </c>
      <c r="I26" s="29">
        <f t="shared" ref="I26:Q26" si="4">I23-I25</f>
        <v>-2078.9200000000005</v>
      </c>
      <c r="J26" s="29">
        <f t="shared" si="4"/>
        <v>-975.86000000000058</v>
      </c>
      <c r="K26" s="29">
        <f t="shared" si="4"/>
        <v>-2264.9199999999983</v>
      </c>
      <c r="L26" s="29">
        <f t="shared" si="4"/>
        <v>2288.7400000000016</v>
      </c>
      <c r="M26" s="29">
        <f t="shared" si="4"/>
        <v>6577.1299999999992</v>
      </c>
      <c r="N26" s="29">
        <f t="shared" si="4"/>
        <v>7674.7000000000044</v>
      </c>
      <c r="O26" s="29">
        <f t="shared" si="4"/>
        <v>20791.509999999998</v>
      </c>
      <c r="P26" s="29">
        <f t="shared" si="4"/>
        <v>16359.509999999995</v>
      </c>
      <c r="Q26" s="29">
        <f t="shared" si="4"/>
        <v>15499.509999999997</v>
      </c>
    </row>
    <row r="28" spans="2:19" x14ac:dyDescent="0.2">
      <c r="C28" s="2" t="s">
        <v>24</v>
      </c>
      <c r="H28" s="30">
        <v>-86.07</v>
      </c>
      <c r="I28" s="30">
        <v>-5.15</v>
      </c>
      <c r="J28" s="30">
        <v>8.5399999999999991</v>
      </c>
      <c r="K28" s="30">
        <v>9.85</v>
      </c>
      <c r="L28" s="30">
        <v>1018.76</v>
      </c>
      <c r="M28" s="30">
        <v>1665.55</v>
      </c>
      <c r="N28" s="30">
        <v>-3051.94</v>
      </c>
      <c r="O28" s="30">
        <v>-37.28</v>
      </c>
      <c r="P28" s="30">
        <v>3609.9</v>
      </c>
      <c r="Q28" s="30">
        <v>2528.4299999999998</v>
      </c>
    </row>
    <row r="30" spans="2:19" ht="16" thickBot="1" x14ac:dyDescent="0.25">
      <c r="C30" s="2" t="s">
        <v>25</v>
      </c>
      <c r="H30" s="32">
        <f>H26-H28</f>
        <v>-6174.1000000000022</v>
      </c>
      <c r="I30" s="32">
        <f t="shared" ref="I30:Q30" si="5">I26-I28</f>
        <v>-2073.7700000000004</v>
      </c>
      <c r="J30" s="32">
        <f t="shared" si="5"/>
        <v>-984.40000000000055</v>
      </c>
      <c r="K30" s="32">
        <f t="shared" si="5"/>
        <v>-2274.7699999999982</v>
      </c>
      <c r="L30" s="32">
        <f t="shared" si="5"/>
        <v>1269.9800000000016</v>
      </c>
      <c r="M30" s="32">
        <f t="shared" si="5"/>
        <v>4911.579999999999</v>
      </c>
      <c r="N30" s="32">
        <f t="shared" si="5"/>
        <v>10726.640000000005</v>
      </c>
      <c r="O30" s="32">
        <f t="shared" si="5"/>
        <v>20828.789999999997</v>
      </c>
      <c r="P30" s="32">
        <f t="shared" si="5"/>
        <v>12749.609999999995</v>
      </c>
      <c r="Q30" s="32">
        <f t="shared" si="5"/>
        <v>12971.079999999996</v>
      </c>
      <c r="S30" s="45"/>
    </row>
    <row r="31" spans="2:19" ht="16" thickTop="1" x14ac:dyDescent="0.2"/>
    <row r="32" spans="2:19" x14ac:dyDescent="0.2">
      <c r="B32" s="34"/>
      <c r="C32" s="34"/>
      <c r="D32" s="34"/>
      <c r="E32" s="34"/>
      <c r="F32" s="34"/>
      <c r="G32" s="34"/>
      <c r="H32" s="34"/>
      <c r="I32" s="34"/>
      <c r="J32" s="34"/>
      <c r="K32" s="34"/>
      <c r="L32" s="34"/>
      <c r="M32" s="34"/>
      <c r="N32" s="34"/>
      <c r="O32" s="34"/>
      <c r="P32" s="34"/>
      <c r="Q32" s="34"/>
    </row>
    <row r="34" spans="1:17" ht="33" x14ac:dyDescent="0.4">
      <c r="B34" s="6" t="str">
        <f>B1</f>
        <v>Adani Power</v>
      </c>
      <c r="C34" s="5"/>
      <c r="D34" s="5"/>
      <c r="E34" s="5"/>
      <c r="F34" s="5"/>
      <c r="G34" s="5"/>
      <c r="H34" s="5"/>
      <c r="I34" s="5"/>
      <c r="J34" s="5"/>
      <c r="K34" s="5"/>
      <c r="L34" s="5"/>
      <c r="M34" s="5"/>
      <c r="N34" s="5"/>
      <c r="O34" s="5"/>
      <c r="P34" s="5"/>
      <c r="Q34" s="5"/>
    </row>
    <row r="35" spans="1:17" ht="22" thickBot="1" x14ac:dyDescent="0.3">
      <c r="A35" t="str">
        <f>A2</f>
        <v>#</v>
      </c>
      <c r="B35" s="481" t="s">
        <v>26</v>
      </c>
      <c r="C35" s="482"/>
      <c r="D35" s="482"/>
      <c r="E35" s="482"/>
      <c r="F35" s="482"/>
      <c r="G35" s="482"/>
      <c r="H35" s="482"/>
      <c r="I35" s="482"/>
      <c r="J35" s="482"/>
      <c r="K35" s="482"/>
      <c r="L35" s="482"/>
      <c r="M35" s="482"/>
      <c r="N35" s="482"/>
      <c r="O35" s="482"/>
      <c r="P35" s="482"/>
      <c r="Q35" s="482"/>
    </row>
    <row r="36" spans="1:17" x14ac:dyDescent="0.2">
      <c r="B36" t="str">
        <f>B3</f>
        <v>(₹ Crore)</v>
      </c>
    </row>
    <row r="37" spans="1:17" x14ac:dyDescent="0.2">
      <c r="H37" s="33">
        <f>H5</f>
        <v>2017</v>
      </c>
      <c r="I37" s="33">
        <f t="shared" ref="I37:Q37" si="6">I5</f>
        <v>2018</v>
      </c>
      <c r="J37" s="33">
        <f t="shared" si="6"/>
        <v>2019</v>
      </c>
      <c r="K37" s="33">
        <f t="shared" si="6"/>
        <v>2020</v>
      </c>
      <c r="L37" s="33">
        <f t="shared" si="6"/>
        <v>2021</v>
      </c>
      <c r="M37" s="33">
        <f t="shared" si="6"/>
        <v>2022</v>
      </c>
      <c r="N37" s="33">
        <f t="shared" si="6"/>
        <v>2023</v>
      </c>
      <c r="O37" s="33">
        <f t="shared" si="6"/>
        <v>2024</v>
      </c>
      <c r="P37" s="33">
        <f t="shared" si="6"/>
        <v>2025</v>
      </c>
      <c r="Q37" s="33">
        <f t="shared" si="6"/>
        <v>2026</v>
      </c>
    </row>
    <row r="39" spans="1:17" x14ac:dyDescent="0.2">
      <c r="B39" s="2" t="s">
        <v>53</v>
      </c>
    </row>
    <row r="40" spans="1:17" x14ac:dyDescent="0.2">
      <c r="B40" s="2"/>
      <c r="C40" t="s">
        <v>33</v>
      </c>
      <c r="H40" s="30">
        <v>1760.41</v>
      </c>
      <c r="I40" s="30">
        <v>873.98</v>
      </c>
      <c r="J40" s="30">
        <v>1224.08</v>
      </c>
      <c r="K40" s="30">
        <v>2522.77</v>
      </c>
      <c r="L40" s="30">
        <v>2025.11</v>
      </c>
      <c r="M40" s="30">
        <v>2258.27</v>
      </c>
      <c r="N40" s="30">
        <v>3075.2</v>
      </c>
      <c r="O40" s="30">
        <v>4142.1000000000004</v>
      </c>
      <c r="P40" s="30">
        <v>3317.28</v>
      </c>
      <c r="Q40" s="30">
        <v>3623.48</v>
      </c>
    </row>
    <row r="41" spans="1:17" x14ac:dyDescent="0.2">
      <c r="B41" s="2"/>
    </row>
    <row r="42" spans="1:17" x14ac:dyDescent="0.2">
      <c r="C42" t="s">
        <v>28</v>
      </c>
      <c r="H42" s="30">
        <v>0</v>
      </c>
      <c r="I42" s="30">
        <v>0</v>
      </c>
      <c r="J42" s="30">
        <v>0</v>
      </c>
      <c r="K42" s="30">
        <v>0</v>
      </c>
      <c r="L42" s="30">
        <v>0</v>
      </c>
      <c r="M42" s="30">
        <v>0</v>
      </c>
      <c r="N42" s="30">
        <v>0</v>
      </c>
      <c r="O42" s="30">
        <v>5644</v>
      </c>
      <c r="P42" s="30">
        <v>6551</v>
      </c>
      <c r="Q42" s="30">
        <v>4617</v>
      </c>
    </row>
    <row r="43" spans="1:17" x14ac:dyDescent="0.2">
      <c r="C43" t="s">
        <v>29</v>
      </c>
      <c r="H43" s="30">
        <v>7704</v>
      </c>
      <c r="I43" s="30">
        <v>6070</v>
      </c>
      <c r="J43" s="30">
        <v>8551</v>
      </c>
      <c r="K43" s="30">
        <v>8366</v>
      </c>
      <c r="L43" s="30">
        <v>11438</v>
      </c>
      <c r="M43" s="30">
        <v>9561</v>
      </c>
      <c r="N43" s="30">
        <v>11529</v>
      </c>
      <c r="O43" s="30">
        <v>6033</v>
      </c>
      <c r="P43" s="30">
        <v>6471</v>
      </c>
      <c r="Q43" s="30">
        <v>7175</v>
      </c>
    </row>
    <row r="44" spans="1:17" x14ac:dyDescent="0.2">
      <c r="C44" t="s">
        <v>30</v>
      </c>
      <c r="H44" s="30">
        <v>0</v>
      </c>
      <c r="I44" s="30">
        <v>0</v>
      </c>
      <c r="J44" s="30">
        <v>0</v>
      </c>
      <c r="K44" s="30">
        <v>0</v>
      </c>
      <c r="L44" s="30">
        <v>0</v>
      </c>
      <c r="M44" s="30">
        <v>0</v>
      </c>
      <c r="N44" s="30">
        <v>0</v>
      </c>
      <c r="O44" s="30">
        <v>0</v>
      </c>
      <c r="P44" s="30">
        <v>0</v>
      </c>
      <c r="Q44" s="30">
        <v>0</v>
      </c>
    </row>
    <row r="45" spans="1:17" x14ac:dyDescent="0.2">
      <c r="C45" s="2" t="s">
        <v>27</v>
      </c>
      <c r="H45" s="29">
        <f>SUM(H42:H44)</f>
        <v>7704</v>
      </c>
      <c r="I45" s="29">
        <f t="shared" ref="I45:Q45" si="7">SUM(I42:I44)</f>
        <v>6070</v>
      </c>
      <c r="J45" s="29">
        <f t="shared" si="7"/>
        <v>8551</v>
      </c>
      <c r="K45" s="29">
        <f t="shared" si="7"/>
        <v>8366</v>
      </c>
      <c r="L45" s="29">
        <f t="shared" si="7"/>
        <v>11438</v>
      </c>
      <c r="M45" s="29">
        <f t="shared" si="7"/>
        <v>9561</v>
      </c>
      <c r="N45" s="29">
        <f t="shared" si="7"/>
        <v>11529</v>
      </c>
      <c r="O45" s="29">
        <f t="shared" si="7"/>
        <v>11677</v>
      </c>
      <c r="P45" s="29">
        <f t="shared" si="7"/>
        <v>13022</v>
      </c>
      <c r="Q45" s="29">
        <f t="shared" si="7"/>
        <v>11792</v>
      </c>
    </row>
    <row r="47" spans="1:17" x14ac:dyDescent="0.2">
      <c r="C47" t="s">
        <v>31</v>
      </c>
      <c r="H47" s="30">
        <v>604.16999999999996</v>
      </c>
      <c r="I47" s="30">
        <v>856.61</v>
      </c>
      <c r="J47" s="30">
        <v>915.88</v>
      </c>
      <c r="K47" s="30">
        <v>1979.31</v>
      </c>
      <c r="L47" s="30">
        <v>1607.32</v>
      </c>
      <c r="M47" s="30">
        <v>2364.6799999999998</v>
      </c>
      <c r="N47" s="30">
        <v>1873.65</v>
      </c>
      <c r="O47" s="30">
        <v>7211.76</v>
      </c>
      <c r="P47" s="30">
        <v>6119.88</v>
      </c>
      <c r="Q47" s="30">
        <v>6926.32</v>
      </c>
    </row>
    <row r="48" spans="1:17" x14ac:dyDescent="0.2">
      <c r="C48" t="s">
        <v>32</v>
      </c>
      <c r="H48" s="30">
        <v>771</v>
      </c>
      <c r="I48" s="30">
        <v>752</v>
      </c>
      <c r="J48" s="30">
        <v>659</v>
      </c>
      <c r="K48" s="30">
        <v>880</v>
      </c>
      <c r="L48" s="30">
        <v>909</v>
      </c>
      <c r="M48" s="30">
        <v>1474</v>
      </c>
      <c r="N48" s="30">
        <v>1802</v>
      </c>
      <c r="O48" s="30">
        <v>1242</v>
      </c>
      <c r="P48" s="30">
        <v>1057</v>
      </c>
      <c r="Q48" s="30">
        <v>1479</v>
      </c>
    </row>
    <row r="49" spans="3:17" x14ac:dyDescent="0.2">
      <c r="C49" t="s">
        <v>34</v>
      </c>
      <c r="H49" s="30">
        <v>5991</v>
      </c>
      <c r="I49" s="30">
        <v>8719</v>
      </c>
      <c r="J49" s="30">
        <v>5863</v>
      </c>
      <c r="K49" s="30">
        <v>3081</v>
      </c>
      <c r="L49" s="30">
        <v>3245</v>
      </c>
      <c r="M49" s="30">
        <v>2596</v>
      </c>
      <c r="N49" s="30">
        <v>2556</v>
      </c>
      <c r="O49" s="30">
        <v>3421</v>
      </c>
      <c r="P49" s="30">
        <v>6902</v>
      </c>
      <c r="Q49" s="30">
        <v>11677</v>
      </c>
    </row>
    <row r="51" spans="3:17" x14ac:dyDescent="0.2">
      <c r="C51" s="2" t="s">
        <v>35</v>
      </c>
      <c r="H51" s="37">
        <f>H40+H45+SUM(H47:H49)</f>
        <v>16830.580000000002</v>
      </c>
      <c r="I51" s="37">
        <f t="shared" ref="I51:Q51" si="8">I40+I45+SUM(I47:I49)</f>
        <v>17271.59</v>
      </c>
      <c r="J51" s="37">
        <f t="shared" si="8"/>
        <v>17212.96</v>
      </c>
      <c r="K51" s="37">
        <f t="shared" si="8"/>
        <v>16829.080000000002</v>
      </c>
      <c r="L51" s="37">
        <f t="shared" si="8"/>
        <v>19224.43</v>
      </c>
      <c r="M51" s="37">
        <f t="shared" si="8"/>
        <v>18253.95</v>
      </c>
      <c r="N51" s="37">
        <f t="shared" si="8"/>
        <v>20835.849999999999</v>
      </c>
      <c r="O51" s="37">
        <f t="shared" si="8"/>
        <v>27693.86</v>
      </c>
      <c r="P51" s="37">
        <f t="shared" si="8"/>
        <v>30418.160000000003</v>
      </c>
      <c r="Q51" s="37">
        <f t="shared" si="8"/>
        <v>35497.800000000003</v>
      </c>
    </row>
    <row r="53" spans="3:17" x14ac:dyDescent="0.2">
      <c r="C53" t="s">
        <v>36</v>
      </c>
      <c r="H53" s="30">
        <v>228</v>
      </c>
      <c r="I53" s="30">
        <v>275</v>
      </c>
      <c r="J53" s="30">
        <v>821</v>
      </c>
      <c r="K53" s="30">
        <v>797</v>
      </c>
      <c r="L53" s="30">
        <v>874</v>
      </c>
      <c r="M53" s="30">
        <v>1017</v>
      </c>
      <c r="N53" s="30">
        <v>1085</v>
      </c>
      <c r="O53" s="30">
        <v>2076</v>
      </c>
      <c r="P53" s="30">
        <v>4103</v>
      </c>
      <c r="Q53" s="30">
        <v>4214</v>
      </c>
    </row>
    <row r="54" spans="3:17" x14ac:dyDescent="0.2">
      <c r="C54" t="s">
        <v>37</v>
      </c>
      <c r="H54" s="30">
        <v>1409</v>
      </c>
      <c r="I54" s="30">
        <v>1476</v>
      </c>
      <c r="J54" s="30">
        <v>1497</v>
      </c>
      <c r="K54" s="30">
        <v>2415</v>
      </c>
      <c r="L54" s="30">
        <v>1725</v>
      </c>
      <c r="M54" s="30">
        <v>1633</v>
      </c>
      <c r="N54" s="30">
        <v>1900</v>
      </c>
      <c r="O54" s="30">
        <v>2158</v>
      </c>
      <c r="P54" s="30">
        <v>2978</v>
      </c>
      <c r="Q54" s="30">
        <v>3200</v>
      </c>
    </row>
    <row r="55" spans="3:17" x14ac:dyDescent="0.2">
      <c r="C55" t="s">
        <v>38</v>
      </c>
      <c r="H55" s="30">
        <v>58202</v>
      </c>
      <c r="I55" s="30">
        <v>58515</v>
      </c>
      <c r="J55" s="30">
        <v>58967</v>
      </c>
      <c r="K55" s="30">
        <v>65724</v>
      </c>
      <c r="L55" s="30">
        <v>66252</v>
      </c>
      <c r="M55" s="30">
        <v>69592</v>
      </c>
      <c r="N55" s="30">
        <v>69793</v>
      </c>
      <c r="O55" s="30">
        <v>85315</v>
      </c>
      <c r="P55" s="30">
        <v>92737</v>
      </c>
      <c r="Q55" s="30">
        <v>96779</v>
      </c>
    </row>
    <row r="56" spans="3:17" x14ac:dyDescent="0.2">
      <c r="C56" t="s">
        <v>39</v>
      </c>
      <c r="H56" s="30">
        <v>45</v>
      </c>
      <c r="I56" s="30">
        <v>45</v>
      </c>
      <c r="J56" s="30">
        <v>45</v>
      </c>
      <c r="K56" s="30">
        <v>49</v>
      </c>
      <c r="L56" s="30">
        <v>56</v>
      </c>
      <c r="M56" s="30">
        <v>69</v>
      </c>
      <c r="N56" s="30">
        <v>86</v>
      </c>
      <c r="O56" s="30">
        <v>104</v>
      </c>
      <c r="P56" s="30">
        <v>124</v>
      </c>
      <c r="Q56" s="30">
        <v>151</v>
      </c>
    </row>
    <row r="57" spans="3:17" x14ac:dyDescent="0.2">
      <c r="C57" t="s">
        <v>40</v>
      </c>
      <c r="H57" s="30">
        <v>23</v>
      </c>
      <c r="I57" s="30">
        <v>27</v>
      </c>
      <c r="J57" s="30">
        <v>28</v>
      </c>
      <c r="K57" s="30">
        <v>33</v>
      </c>
      <c r="L57" s="30">
        <v>39</v>
      </c>
      <c r="M57" s="30">
        <v>45</v>
      </c>
      <c r="N57" s="30">
        <v>59</v>
      </c>
      <c r="O57" s="30">
        <v>79</v>
      </c>
      <c r="P57" s="30">
        <v>97</v>
      </c>
      <c r="Q57" s="30">
        <v>123</v>
      </c>
    </row>
    <row r="58" spans="3:17" x14ac:dyDescent="0.2">
      <c r="C58" t="s">
        <v>41</v>
      </c>
      <c r="H58" s="30">
        <v>23</v>
      </c>
      <c r="I58" s="30">
        <v>24</v>
      </c>
      <c r="J58" s="30">
        <v>26</v>
      </c>
      <c r="K58" s="30">
        <v>32</v>
      </c>
      <c r="L58" s="30">
        <v>34</v>
      </c>
      <c r="M58" s="30">
        <v>36</v>
      </c>
      <c r="N58" s="30">
        <v>35</v>
      </c>
      <c r="O58" s="30">
        <v>40</v>
      </c>
      <c r="P58" s="30">
        <v>45</v>
      </c>
      <c r="Q58" s="30">
        <v>48</v>
      </c>
    </row>
    <row r="59" spans="3:17" x14ac:dyDescent="0.2">
      <c r="C59" t="s">
        <v>42</v>
      </c>
      <c r="H59" s="30">
        <v>255</v>
      </c>
      <c r="I59" s="30">
        <v>255</v>
      </c>
      <c r="J59" s="30">
        <v>255</v>
      </c>
      <c r="K59" s="30">
        <v>255</v>
      </c>
      <c r="L59" s="30">
        <v>474</v>
      </c>
      <c r="M59" s="30">
        <v>479</v>
      </c>
      <c r="N59" s="30">
        <v>480</v>
      </c>
      <c r="O59" s="30">
        <v>675</v>
      </c>
      <c r="P59" s="30">
        <v>682</v>
      </c>
      <c r="Q59" s="30">
        <v>796</v>
      </c>
    </row>
    <row r="60" spans="3:17" x14ac:dyDescent="0.2">
      <c r="C60" t="s">
        <v>43</v>
      </c>
      <c r="H60" s="30">
        <v>13</v>
      </c>
      <c r="I60" s="30">
        <v>13</v>
      </c>
      <c r="J60" s="30">
        <v>17</v>
      </c>
      <c r="K60" s="30">
        <v>18</v>
      </c>
      <c r="L60" s="30">
        <v>23</v>
      </c>
      <c r="M60" s="30">
        <v>25</v>
      </c>
      <c r="N60" s="30">
        <v>32</v>
      </c>
      <c r="O60" s="30">
        <v>34</v>
      </c>
      <c r="P60" s="30">
        <v>43</v>
      </c>
      <c r="Q60" s="30">
        <v>48</v>
      </c>
    </row>
    <row r="61" spans="3:17" x14ac:dyDescent="0.2">
      <c r="C61" t="s">
        <v>44</v>
      </c>
      <c r="H61" s="30">
        <v>191</v>
      </c>
      <c r="I61" s="30">
        <v>191</v>
      </c>
      <c r="J61" s="30">
        <v>191</v>
      </c>
      <c r="K61" s="30">
        <v>191</v>
      </c>
      <c r="L61" s="30">
        <v>191</v>
      </c>
      <c r="M61" s="30">
        <v>191</v>
      </c>
      <c r="N61" s="30">
        <v>191</v>
      </c>
      <c r="O61" s="30">
        <v>191</v>
      </c>
      <c r="P61" s="30">
        <v>205</v>
      </c>
      <c r="Q61" s="30">
        <v>208</v>
      </c>
    </row>
    <row r="62" spans="3:17" x14ac:dyDescent="0.2">
      <c r="C62" t="s">
        <v>45</v>
      </c>
      <c r="H62" s="30">
        <v>13</v>
      </c>
      <c r="I62" s="30">
        <v>14</v>
      </c>
      <c r="J62" s="30">
        <v>15</v>
      </c>
      <c r="K62" s="30">
        <v>763</v>
      </c>
      <c r="L62" s="30">
        <v>797</v>
      </c>
      <c r="M62" s="30">
        <v>857</v>
      </c>
      <c r="N62" s="30">
        <v>1668</v>
      </c>
      <c r="O62" s="30">
        <v>38</v>
      </c>
      <c r="P62" s="30">
        <v>98</v>
      </c>
      <c r="Q62" s="30">
        <v>152</v>
      </c>
    </row>
    <row r="63" spans="3:17" x14ac:dyDescent="0.2">
      <c r="C63" s="2" t="s">
        <v>46</v>
      </c>
      <c r="H63" s="29">
        <f>SUM(H53:H62)</f>
        <v>60402</v>
      </c>
      <c r="I63" s="29">
        <f t="shared" ref="I63:Q63" si="9">SUM(I53:I62)</f>
        <v>60835</v>
      </c>
      <c r="J63" s="29">
        <f t="shared" si="9"/>
        <v>61862</v>
      </c>
      <c r="K63" s="29">
        <f t="shared" si="9"/>
        <v>70277</v>
      </c>
      <c r="L63" s="29">
        <f t="shared" si="9"/>
        <v>70465</v>
      </c>
      <c r="M63" s="29">
        <f t="shared" si="9"/>
        <v>73944</v>
      </c>
      <c r="N63" s="29">
        <f t="shared" si="9"/>
        <v>75329</v>
      </c>
      <c r="O63" s="29">
        <f t="shared" si="9"/>
        <v>90710</v>
      </c>
      <c r="P63" s="29">
        <f t="shared" si="9"/>
        <v>101112</v>
      </c>
      <c r="Q63" s="29">
        <f t="shared" si="9"/>
        <v>105719</v>
      </c>
    </row>
    <row r="65" spans="2:17" x14ac:dyDescent="0.2">
      <c r="C65" t="s">
        <v>47</v>
      </c>
      <c r="H65" s="36">
        <f>H63-H66</f>
        <v>6011.07</v>
      </c>
      <c r="I65" s="36">
        <f t="shared" ref="I65:O65" si="10">I63-I66</f>
        <v>8697.86</v>
      </c>
      <c r="J65" s="36">
        <f t="shared" si="10"/>
        <v>11443.239999999998</v>
      </c>
      <c r="K65" s="36">
        <f t="shared" si="10"/>
        <v>14431.190000000002</v>
      </c>
      <c r="L65" s="36">
        <f t="shared" si="10"/>
        <v>17613.699999999997</v>
      </c>
      <c r="M65" s="36">
        <f t="shared" si="10"/>
        <v>20669.79</v>
      </c>
      <c r="N65" s="36">
        <f t="shared" si="10"/>
        <v>23877.620000000003</v>
      </c>
      <c r="O65" s="36">
        <f t="shared" si="10"/>
        <v>27694.15</v>
      </c>
      <c r="P65" s="36">
        <f>P63-P66</f>
        <v>31814.550000000003</v>
      </c>
      <c r="Q65" s="36">
        <f>Q63-Q66</f>
        <v>36317.539999999994</v>
      </c>
    </row>
    <row r="66" spans="2:17" x14ac:dyDescent="0.2">
      <c r="C66" s="2" t="s">
        <v>48</v>
      </c>
      <c r="H66" s="31">
        <v>54390.93</v>
      </c>
      <c r="I66" s="31">
        <v>52137.14</v>
      </c>
      <c r="J66" s="31">
        <v>50418.76</v>
      </c>
      <c r="K66" s="31">
        <v>55845.81</v>
      </c>
      <c r="L66" s="31">
        <v>52851.3</v>
      </c>
      <c r="M66" s="31">
        <v>53274.21</v>
      </c>
      <c r="N66" s="31">
        <v>51451.38</v>
      </c>
      <c r="O66" s="31">
        <v>63015.85</v>
      </c>
      <c r="P66" s="31">
        <v>69297.45</v>
      </c>
      <c r="Q66" s="31">
        <v>69401.460000000006</v>
      </c>
    </row>
    <row r="68" spans="2:17" x14ac:dyDescent="0.2">
      <c r="C68" t="s">
        <v>49</v>
      </c>
      <c r="H68" s="30">
        <v>124.61</v>
      </c>
      <c r="I68" s="30">
        <v>119.86</v>
      </c>
      <c r="J68" s="30">
        <v>350.08</v>
      </c>
      <c r="K68" s="30">
        <v>2346.77</v>
      </c>
      <c r="L68" s="30">
        <v>6439.42</v>
      </c>
      <c r="M68" s="30">
        <v>10269.74</v>
      </c>
      <c r="N68" s="30">
        <v>12879.54</v>
      </c>
      <c r="O68" s="30">
        <v>925.12</v>
      </c>
      <c r="P68" s="30">
        <v>12104.42</v>
      </c>
      <c r="Q68" s="30">
        <v>35053.46</v>
      </c>
    </row>
    <row r="69" spans="2:17" x14ac:dyDescent="0.2">
      <c r="C69" t="s">
        <v>50</v>
      </c>
      <c r="H69" s="30">
        <v>164.33</v>
      </c>
      <c r="I69" s="30">
        <v>0.01</v>
      </c>
      <c r="J69" s="30">
        <v>2.72</v>
      </c>
      <c r="K69" s="30">
        <v>2.8</v>
      </c>
      <c r="L69" s="30">
        <v>20.100000000000001</v>
      </c>
      <c r="M69" s="30">
        <v>183.25</v>
      </c>
      <c r="N69" s="30">
        <v>654.04999999999995</v>
      </c>
      <c r="O69" s="30">
        <v>373.51</v>
      </c>
      <c r="P69" s="30">
        <v>1097.21</v>
      </c>
      <c r="Q69" s="30">
        <v>1515.99</v>
      </c>
    </row>
    <row r="71" spans="2:17" x14ac:dyDescent="0.2">
      <c r="C71" s="2" t="s">
        <v>51</v>
      </c>
      <c r="H71" s="37">
        <f>H66+H68+H69</f>
        <v>54679.87</v>
      </c>
      <c r="I71" s="37">
        <f t="shared" ref="I71:Q71" si="11">I66+I68+I69</f>
        <v>52257.01</v>
      </c>
      <c r="J71" s="37">
        <f t="shared" si="11"/>
        <v>50771.560000000005</v>
      </c>
      <c r="K71" s="37">
        <f t="shared" si="11"/>
        <v>58195.38</v>
      </c>
      <c r="L71" s="37">
        <f t="shared" si="11"/>
        <v>59310.82</v>
      </c>
      <c r="M71" s="37">
        <f t="shared" si="11"/>
        <v>63727.199999999997</v>
      </c>
      <c r="N71" s="37">
        <f t="shared" si="11"/>
        <v>64984.97</v>
      </c>
      <c r="O71" s="37">
        <f t="shared" si="11"/>
        <v>64314.48</v>
      </c>
      <c r="P71" s="37">
        <f t="shared" si="11"/>
        <v>82499.08</v>
      </c>
      <c r="Q71" s="37">
        <f t="shared" si="11"/>
        <v>105970.91000000002</v>
      </c>
    </row>
    <row r="73" spans="2:17" ht="16" thickBot="1" x14ac:dyDescent="0.25">
      <c r="C73" s="2" t="s">
        <v>52</v>
      </c>
      <c r="H73" s="32">
        <f>H51+H71</f>
        <v>71510.450000000012</v>
      </c>
      <c r="I73" s="32">
        <f t="shared" ref="I73:Q73" si="12">I51+I71</f>
        <v>69528.600000000006</v>
      </c>
      <c r="J73" s="32">
        <f t="shared" si="12"/>
        <v>67984.52</v>
      </c>
      <c r="K73" s="32">
        <f t="shared" si="12"/>
        <v>75024.459999999992</v>
      </c>
      <c r="L73" s="32">
        <f t="shared" si="12"/>
        <v>78535.25</v>
      </c>
      <c r="M73" s="32">
        <f t="shared" si="12"/>
        <v>81981.149999999994</v>
      </c>
      <c r="N73" s="32">
        <f t="shared" si="12"/>
        <v>85820.82</v>
      </c>
      <c r="O73" s="32">
        <f t="shared" si="12"/>
        <v>92008.34</v>
      </c>
      <c r="P73" s="32">
        <f t="shared" si="12"/>
        <v>112917.24</v>
      </c>
      <c r="Q73" s="32">
        <f t="shared" si="12"/>
        <v>141468.71000000002</v>
      </c>
    </row>
    <row r="74" spans="2:17" ht="16" thickTop="1" x14ac:dyDescent="0.2"/>
    <row r="76" spans="2:17" x14ac:dyDescent="0.2">
      <c r="B76" s="2" t="s">
        <v>54</v>
      </c>
    </row>
    <row r="77" spans="2:17" x14ac:dyDescent="0.2">
      <c r="C77" t="s">
        <v>57</v>
      </c>
      <c r="H77" s="30">
        <v>12580</v>
      </c>
      <c r="I77" s="30">
        <v>14560</v>
      </c>
      <c r="J77" s="30">
        <v>7074</v>
      </c>
      <c r="K77" s="30">
        <v>7802</v>
      </c>
      <c r="L77" s="30">
        <v>9683</v>
      </c>
      <c r="M77" s="30">
        <v>10924</v>
      </c>
      <c r="N77" s="30">
        <v>8549</v>
      </c>
      <c r="O77" s="30">
        <v>7862</v>
      </c>
      <c r="P77" s="30">
        <v>10688</v>
      </c>
      <c r="Q77" s="30">
        <v>10726</v>
      </c>
    </row>
    <row r="78" spans="2:17" x14ac:dyDescent="0.2">
      <c r="C78" t="s">
        <v>58</v>
      </c>
      <c r="H78" s="30">
        <v>7400</v>
      </c>
      <c r="I78" s="30">
        <v>7626</v>
      </c>
      <c r="J78" s="30">
        <v>6362</v>
      </c>
      <c r="K78" s="30">
        <v>5596</v>
      </c>
      <c r="L78" s="30">
        <v>3803</v>
      </c>
      <c r="M78" s="30">
        <v>3508</v>
      </c>
      <c r="N78" s="30">
        <v>3079</v>
      </c>
      <c r="O78" s="30">
        <v>3609</v>
      </c>
      <c r="P78" s="30">
        <v>2978</v>
      </c>
      <c r="Q78" s="30">
        <v>2841</v>
      </c>
    </row>
    <row r="79" spans="2:17" x14ac:dyDescent="0.2">
      <c r="C79" t="s">
        <v>59</v>
      </c>
      <c r="H79" s="30">
        <v>709</v>
      </c>
      <c r="I79" s="30">
        <v>130</v>
      </c>
      <c r="J79" s="30">
        <v>72</v>
      </c>
      <c r="K79" s="30">
        <v>38</v>
      </c>
      <c r="L79" s="30">
        <v>753</v>
      </c>
      <c r="M79" s="30">
        <v>53</v>
      </c>
      <c r="N79" s="30">
        <v>33</v>
      </c>
      <c r="O79" s="30">
        <v>5</v>
      </c>
      <c r="P79" s="30">
        <v>21</v>
      </c>
      <c r="Q79" s="30">
        <v>116</v>
      </c>
    </row>
    <row r="80" spans="2:17" x14ac:dyDescent="0.2">
      <c r="C80" s="2" t="s">
        <v>66</v>
      </c>
      <c r="H80" s="29">
        <f>SUM(H77:H79)</f>
        <v>20689</v>
      </c>
      <c r="I80" s="29">
        <f t="shared" ref="I80:Q80" si="13">SUM(I77:I79)</f>
        <v>22316</v>
      </c>
      <c r="J80" s="29">
        <f t="shared" si="13"/>
        <v>13508</v>
      </c>
      <c r="K80" s="29">
        <f t="shared" si="13"/>
        <v>13436</v>
      </c>
      <c r="L80" s="29">
        <f t="shared" si="13"/>
        <v>14239</v>
      </c>
      <c r="M80" s="29">
        <f t="shared" si="13"/>
        <v>14485</v>
      </c>
      <c r="N80" s="29">
        <f t="shared" si="13"/>
        <v>11661</v>
      </c>
      <c r="O80" s="29">
        <f t="shared" si="13"/>
        <v>11476</v>
      </c>
      <c r="P80" s="29">
        <f t="shared" si="13"/>
        <v>13687</v>
      </c>
      <c r="Q80" s="29">
        <f t="shared" si="13"/>
        <v>13683</v>
      </c>
    </row>
    <row r="82" spans="3:17" x14ac:dyDescent="0.2">
      <c r="C82" t="s">
        <v>60</v>
      </c>
      <c r="H82" s="30">
        <v>36651</v>
      </c>
      <c r="I82" s="30">
        <v>34560</v>
      </c>
      <c r="J82" s="30">
        <v>36410</v>
      </c>
      <c r="K82" s="30">
        <v>44566</v>
      </c>
      <c r="L82" s="30">
        <v>39957</v>
      </c>
      <c r="M82" s="30">
        <v>37871</v>
      </c>
      <c r="N82" s="30">
        <v>33703</v>
      </c>
      <c r="O82" s="30">
        <v>26595</v>
      </c>
      <c r="P82" s="30">
        <v>27647</v>
      </c>
      <c r="Q82" s="30">
        <v>42830</v>
      </c>
    </row>
    <row r="83" spans="3:17" x14ac:dyDescent="0.2">
      <c r="C83" t="s">
        <v>61</v>
      </c>
      <c r="H83" s="30">
        <v>0</v>
      </c>
      <c r="I83" s="30">
        <v>0</v>
      </c>
      <c r="J83" s="30">
        <v>0</v>
      </c>
      <c r="K83" s="30">
        <v>76</v>
      </c>
      <c r="L83" s="30">
        <v>88</v>
      </c>
      <c r="M83" s="30">
        <v>401</v>
      </c>
      <c r="N83" s="30">
        <v>416</v>
      </c>
      <c r="O83" s="30">
        <v>431</v>
      </c>
      <c r="P83" s="30">
        <v>139</v>
      </c>
      <c r="Q83" s="30">
        <v>152</v>
      </c>
    </row>
    <row r="84" spans="3:17" x14ac:dyDescent="0.2">
      <c r="C84" t="s">
        <v>62</v>
      </c>
      <c r="H84" s="30">
        <v>0</v>
      </c>
      <c r="I84" s="30">
        <v>0</v>
      </c>
      <c r="J84" s="30">
        <v>0</v>
      </c>
      <c r="K84" s="30">
        <v>0</v>
      </c>
      <c r="L84" s="30">
        <v>0</v>
      </c>
      <c r="M84" s="30">
        <v>103</v>
      </c>
      <c r="N84" s="30">
        <v>97</v>
      </c>
      <c r="O84" s="30">
        <v>159</v>
      </c>
      <c r="P84" s="30">
        <v>1160</v>
      </c>
      <c r="Q84" s="30">
        <v>1115</v>
      </c>
    </row>
    <row r="85" spans="3:17" x14ac:dyDescent="0.2">
      <c r="C85" t="s">
        <v>63</v>
      </c>
      <c r="H85" s="30">
        <v>3254</v>
      </c>
      <c r="I85" s="30">
        <v>3715</v>
      </c>
      <c r="J85" s="30">
        <v>3496</v>
      </c>
      <c r="K85" s="30">
        <v>2754</v>
      </c>
      <c r="L85" s="30">
        <v>2683</v>
      </c>
      <c r="M85" s="30">
        <v>-154</v>
      </c>
      <c r="N85" s="30">
        <v>-169</v>
      </c>
      <c r="O85" s="30">
        <v>-184</v>
      </c>
      <c r="P85" s="30">
        <v>-139</v>
      </c>
      <c r="Q85" s="30">
        <v>-152</v>
      </c>
    </row>
    <row r="86" spans="3:17" x14ac:dyDescent="0.2">
      <c r="C86" t="s">
        <v>64</v>
      </c>
      <c r="H86" s="30">
        <v>7918</v>
      </c>
      <c r="I86" s="30">
        <v>8047</v>
      </c>
      <c r="J86" s="30">
        <v>6859</v>
      </c>
      <c r="K86" s="30">
        <v>7712</v>
      </c>
      <c r="L86" s="30">
        <v>8456</v>
      </c>
      <c r="M86" s="30">
        <v>10818</v>
      </c>
      <c r="N86" s="30">
        <v>10484</v>
      </c>
      <c r="O86" s="30">
        <v>10635</v>
      </c>
      <c r="P86" s="30">
        <v>12750</v>
      </c>
      <c r="Q86" s="30">
        <v>17439</v>
      </c>
    </row>
    <row r="87" spans="3:17" x14ac:dyDescent="0.2">
      <c r="C87" s="2" t="s">
        <v>67</v>
      </c>
      <c r="H87" s="29">
        <f>SUM(H82:H86)</f>
        <v>47823</v>
      </c>
      <c r="I87" s="29">
        <f t="shared" ref="I87:Q87" si="14">SUM(I82:I86)</f>
        <v>46322</v>
      </c>
      <c r="J87" s="29">
        <f t="shared" si="14"/>
        <v>46765</v>
      </c>
      <c r="K87" s="29">
        <f t="shared" si="14"/>
        <v>55108</v>
      </c>
      <c r="L87" s="29">
        <f t="shared" si="14"/>
        <v>51184</v>
      </c>
      <c r="M87" s="29">
        <f t="shared" si="14"/>
        <v>49039</v>
      </c>
      <c r="N87" s="29">
        <f t="shared" si="14"/>
        <v>44531</v>
      </c>
      <c r="O87" s="29">
        <f t="shared" si="14"/>
        <v>37636</v>
      </c>
      <c r="P87" s="29">
        <f t="shared" si="14"/>
        <v>41557</v>
      </c>
      <c r="Q87" s="29">
        <f t="shared" si="14"/>
        <v>61384</v>
      </c>
    </row>
    <row r="89" spans="3:17" x14ac:dyDescent="0.2">
      <c r="C89" t="s">
        <v>55</v>
      </c>
      <c r="H89" s="30">
        <v>3856.94</v>
      </c>
      <c r="I89" s="30">
        <v>3856.94</v>
      </c>
      <c r="J89" s="30">
        <v>3856.94</v>
      </c>
      <c r="K89" s="30">
        <v>3856.94</v>
      </c>
      <c r="L89" s="30">
        <v>3856.94</v>
      </c>
      <c r="M89" s="30">
        <v>3856.94</v>
      </c>
      <c r="N89" s="30">
        <v>3856.94</v>
      </c>
      <c r="O89" s="30">
        <v>3856.94</v>
      </c>
      <c r="P89" s="30">
        <v>3856.94</v>
      </c>
      <c r="Q89" s="30">
        <v>3856.94</v>
      </c>
    </row>
    <row r="90" spans="3:17" x14ac:dyDescent="0.2">
      <c r="C90" t="s">
        <v>56</v>
      </c>
      <c r="H90" s="30">
        <v>-857.38</v>
      </c>
      <c r="I90" s="30">
        <v>-2967.61</v>
      </c>
      <c r="J90" s="30">
        <v>3855.35</v>
      </c>
      <c r="K90" s="30">
        <v>2623.5</v>
      </c>
      <c r="L90" s="30">
        <v>9255.65</v>
      </c>
      <c r="M90" s="30">
        <v>14599.95</v>
      </c>
      <c r="N90" s="30">
        <v>25772.17</v>
      </c>
      <c r="O90" s="30">
        <v>39041.54</v>
      </c>
      <c r="P90" s="30">
        <v>52490.15</v>
      </c>
      <c r="Q90" s="30">
        <v>61079.94</v>
      </c>
    </row>
    <row r="91" spans="3:17" x14ac:dyDescent="0.2">
      <c r="C91" s="38" t="s">
        <v>68</v>
      </c>
      <c r="H91" s="29">
        <f>SUM(H89:H90)</f>
        <v>2999.56</v>
      </c>
      <c r="I91" s="29">
        <f t="shared" ref="I91:Q91" si="15">SUM(I89:I90)</f>
        <v>889.32999999999993</v>
      </c>
      <c r="J91" s="29">
        <f t="shared" si="15"/>
        <v>7712.29</v>
      </c>
      <c r="K91" s="29">
        <f t="shared" si="15"/>
        <v>6480.4400000000005</v>
      </c>
      <c r="L91" s="29">
        <f t="shared" si="15"/>
        <v>13112.59</v>
      </c>
      <c r="M91" s="29">
        <f t="shared" si="15"/>
        <v>18456.89</v>
      </c>
      <c r="N91" s="29">
        <f t="shared" si="15"/>
        <v>29629.109999999997</v>
      </c>
      <c r="O91" s="29">
        <f t="shared" si="15"/>
        <v>42898.48</v>
      </c>
      <c r="P91" s="29">
        <f t="shared" si="15"/>
        <v>56347.090000000004</v>
      </c>
      <c r="Q91" s="29">
        <f t="shared" si="15"/>
        <v>64936.880000000005</v>
      </c>
    </row>
    <row r="92" spans="3:17" x14ac:dyDescent="0.2">
      <c r="C92" s="38"/>
    </row>
    <row r="93" spans="3:17" x14ac:dyDescent="0.2">
      <c r="C93" t="s">
        <v>65</v>
      </c>
      <c r="H93" s="30">
        <v>0</v>
      </c>
      <c r="I93" s="30">
        <v>0</v>
      </c>
      <c r="J93" s="30">
        <v>0</v>
      </c>
      <c r="K93" s="30">
        <v>0</v>
      </c>
      <c r="L93" s="30">
        <v>0</v>
      </c>
      <c r="M93" s="30">
        <v>0</v>
      </c>
      <c r="N93" s="30">
        <v>0</v>
      </c>
      <c r="O93" s="30">
        <v>0</v>
      </c>
      <c r="P93" s="30">
        <v>1326</v>
      </c>
      <c r="Q93" s="30">
        <v>1465</v>
      </c>
    </row>
    <row r="95" spans="3:17" ht="16" thickBot="1" x14ac:dyDescent="0.25">
      <c r="C95" s="38" t="s">
        <v>69</v>
      </c>
      <c r="H95" s="32">
        <f>H80+H87+H91+H93</f>
        <v>71511.56</v>
      </c>
      <c r="I95" s="32">
        <f t="shared" ref="I95:Q95" si="16">I80+I87+I91+I93</f>
        <v>69527.33</v>
      </c>
      <c r="J95" s="32">
        <f t="shared" si="16"/>
        <v>67985.289999999994</v>
      </c>
      <c r="K95" s="32">
        <f t="shared" si="16"/>
        <v>75024.44</v>
      </c>
      <c r="L95" s="32">
        <f t="shared" si="16"/>
        <v>78535.59</v>
      </c>
      <c r="M95" s="32">
        <f t="shared" si="16"/>
        <v>81980.89</v>
      </c>
      <c r="N95" s="32">
        <f t="shared" si="16"/>
        <v>85821.11</v>
      </c>
      <c r="O95" s="32">
        <f t="shared" si="16"/>
        <v>92010.48000000001</v>
      </c>
      <c r="P95" s="32">
        <f t="shared" si="16"/>
        <v>112917.09</v>
      </c>
      <c r="Q95" s="32">
        <f t="shared" si="16"/>
        <v>141468.88</v>
      </c>
    </row>
    <row r="96" spans="3:17" ht="16" thickTop="1" x14ac:dyDescent="0.2"/>
    <row r="97" spans="1:17" x14ac:dyDescent="0.2">
      <c r="C97" s="39" t="s">
        <v>70</v>
      </c>
      <c r="H97" s="40">
        <f>ROUND(H73-H95, 2)</f>
        <v>-1.1100000000000001</v>
      </c>
      <c r="I97" s="40">
        <f t="shared" ref="I97:Q97" si="17">ROUND(I73-I95, 2)</f>
        <v>1.27</v>
      </c>
      <c r="J97" s="40">
        <f t="shared" si="17"/>
        <v>-0.77</v>
      </c>
      <c r="K97" s="40">
        <f t="shared" si="17"/>
        <v>0.02</v>
      </c>
      <c r="L97" s="40">
        <f t="shared" si="17"/>
        <v>-0.34</v>
      </c>
      <c r="M97" s="40">
        <f t="shared" si="17"/>
        <v>0.26</v>
      </c>
      <c r="N97" s="40">
        <f t="shared" si="17"/>
        <v>-0.28999999999999998</v>
      </c>
      <c r="O97" s="40">
        <f t="shared" si="17"/>
        <v>-2.14</v>
      </c>
      <c r="P97" s="40">
        <f t="shared" si="17"/>
        <v>0.15</v>
      </c>
      <c r="Q97" s="40">
        <f t="shared" si="17"/>
        <v>-0.17</v>
      </c>
    </row>
    <row r="98" spans="1:17" x14ac:dyDescent="0.2">
      <c r="C98" s="39"/>
      <c r="H98" s="40"/>
      <c r="I98" s="40"/>
      <c r="J98" s="40"/>
      <c r="K98" s="40"/>
      <c r="L98" s="40"/>
      <c r="M98" s="40"/>
      <c r="N98" s="40"/>
      <c r="O98" s="40"/>
      <c r="P98" s="40"/>
      <c r="Q98" s="40"/>
    </row>
    <row r="99" spans="1:17" x14ac:dyDescent="0.2">
      <c r="C99" s="2" t="s">
        <v>410</v>
      </c>
      <c r="D99" s="2"/>
      <c r="E99" s="2"/>
      <c r="F99" s="2"/>
      <c r="G99" s="2"/>
      <c r="H99" s="45">
        <v>385.69389410000002</v>
      </c>
      <c r="I99" s="45">
        <v>385.69389410000002</v>
      </c>
      <c r="J99" s="45">
        <v>385.69389410000002</v>
      </c>
      <c r="K99" s="45">
        <v>385.69389410000002</v>
      </c>
      <c r="L99" s="45">
        <v>385.69389410000002</v>
      </c>
      <c r="M99" s="45">
        <v>385.69389410000002</v>
      </c>
      <c r="N99" s="45">
        <v>385.69389410000002</v>
      </c>
      <c r="O99" s="45">
        <v>385.69389410000002</v>
      </c>
      <c r="P99" s="45">
        <v>385.69389410000002</v>
      </c>
      <c r="Q99" s="45">
        <v>1928.4694704999999</v>
      </c>
    </row>
    <row r="100" spans="1:17" x14ac:dyDescent="0.2">
      <c r="C100" t="s">
        <v>113</v>
      </c>
      <c r="H100" s="40">
        <v>10</v>
      </c>
      <c r="I100" s="40">
        <v>10</v>
      </c>
      <c r="J100" s="40">
        <v>10</v>
      </c>
      <c r="K100" s="40">
        <v>10</v>
      </c>
      <c r="L100" s="40">
        <v>10</v>
      </c>
      <c r="M100" s="40">
        <v>10</v>
      </c>
      <c r="N100" s="40">
        <v>10</v>
      </c>
      <c r="O100" s="40">
        <v>10</v>
      </c>
      <c r="P100" s="40">
        <v>10</v>
      </c>
      <c r="Q100" s="40">
        <v>2</v>
      </c>
    </row>
    <row r="101" spans="1:17" x14ac:dyDescent="0.2">
      <c r="H101" s="40"/>
      <c r="I101" s="40"/>
      <c r="J101" s="40"/>
      <c r="K101" s="40"/>
      <c r="L101" s="40"/>
      <c r="M101" s="40"/>
      <c r="N101" s="40"/>
      <c r="O101" s="40"/>
      <c r="P101" s="40"/>
      <c r="Q101" s="40"/>
    </row>
    <row r="102" spans="1:17" x14ac:dyDescent="0.2">
      <c r="C102" s="2" t="s">
        <v>411</v>
      </c>
      <c r="H102" s="29">
        <f>H99*($H$100/$Q$100)</f>
        <v>1928.4694705000002</v>
      </c>
      <c r="I102" s="29">
        <f t="shared" ref="I102:P102" si="18">I99*($H$100/$Q$100)</f>
        <v>1928.4694705000002</v>
      </c>
      <c r="J102" s="29">
        <f t="shared" si="18"/>
        <v>1928.4694705000002</v>
      </c>
      <c r="K102" s="29">
        <f t="shared" si="18"/>
        <v>1928.4694705000002</v>
      </c>
      <c r="L102" s="29">
        <f t="shared" si="18"/>
        <v>1928.4694705000002</v>
      </c>
      <c r="M102" s="29">
        <f t="shared" si="18"/>
        <v>1928.4694705000002</v>
      </c>
      <c r="N102" s="29">
        <f t="shared" si="18"/>
        <v>1928.4694705000002</v>
      </c>
      <c r="O102" s="29">
        <f t="shared" si="18"/>
        <v>1928.4694705000002</v>
      </c>
      <c r="P102" s="29">
        <f t="shared" si="18"/>
        <v>1928.4694705000002</v>
      </c>
      <c r="Q102" s="29">
        <f>Q99</f>
        <v>1928.4694704999999</v>
      </c>
    </row>
    <row r="103" spans="1:17" x14ac:dyDescent="0.2">
      <c r="H103" s="40"/>
      <c r="I103" s="40"/>
      <c r="J103" s="40"/>
      <c r="K103" s="40"/>
      <c r="L103" s="40"/>
      <c r="M103" s="40"/>
      <c r="N103" s="40"/>
      <c r="O103" s="40"/>
      <c r="P103" s="40"/>
      <c r="Q103" s="40"/>
    </row>
    <row r="104" spans="1:17" x14ac:dyDescent="0.2">
      <c r="B104" s="34"/>
      <c r="C104" s="34"/>
      <c r="D104" s="34"/>
      <c r="E104" s="34"/>
      <c r="F104" s="34"/>
      <c r="G104" s="34"/>
      <c r="H104" s="34"/>
      <c r="I104" s="34"/>
      <c r="J104" s="34"/>
      <c r="K104" s="34"/>
      <c r="L104" s="34"/>
      <c r="M104" s="34"/>
      <c r="N104" s="34"/>
      <c r="O104" s="34"/>
      <c r="P104" s="34"/>
      <c r="Q104" s="34"/>
    </row>
    <row r="106" spans="1:17" ht="33" x14ac:dyDescent="0.4">
      <c r="B106" s="6" t="str">
        <f>B1</f>
        <v>Adani Power</v>
      </c>
      <c r="C106" s="41"/>
      <c r="D106" s="41"/>
      <c r="E106" s="41"/>
      <c r="F106" s="41"/>
      <c r="G106" s="41"/>
      <c r="H106" s="41"/>
      <c r="I106" s="41"/>
      <c r="J106" s="41"/>
      <c r="K106" s="41"/>
      <c r="L106" s="41"/>
      <c r="M106" s="41"/>
      <c r="N106" s="41"/>
      <c r="O106" s="41"/>
      <c r="P106" s="41"/>
      <c r="Q106" s="41"/>
    </row>
    <row r="107" spans="1:17" ht="22" thickBot="1" x14ac:dyDescent="0.3">
      <c r="A107" t="str">
        <f>A2</f>
        <v>#</v>
      </c>
      <c r="B107" s="481" t="s">
        <v>71</v>
      </c>
      <c r="C107" s="482"/>
      <c r="D107" s="482"/>
      <c r="E107" s="482"/>
      <c r="F107" s="482"/>
      <c r="G107" s="482"/>
      <c r="H107" s="482"/>
      <c r="I107" s="482"/>
      <c r="J107" s="482"/>
      <c r="K107" s="482"/>
      <c r="L107" s="482"/>
      <c r="M107" s="482"/>
      <c r="N107" s="482"/>
      <c r="O107" s="482"/>
      <c r="P107" s="482"/>
      <c r="Q107" s="482"/>
    </row>
    <row r="108" spans="1:17" x14ac:dyDescent="0.2">
      <c r="B108" t="str">
        <f>B3</f>
        <v>(₹ Crore)</v>
      </c>
    </row>
    <row r="109" spans="1:17" x14ac:dyDescent="0.2">
      <c r="H109" s="33">
        <f>H37</f>
        <v>2017</v>
      </c>
      <c r="I109" s="33">
        <f t="shared" ref="I109:Q109" si="19">I37</f>
        <v>2018</v>
      </c>
      <c r="J109" s="33">
        <f t="shared" si="19"/>
        <v>2019</v>
      </c>
      <c r="K109" s="33">
        <f t="shared" si="19"/>
        <v>2020</v>
      </c>
      <c r="L109" s="33">
        <f t="shared" si="19"/>
        <v>2021</v>
      </c>
      <c r="M109" s="33">
        <f t="shared" si="19"/>
        <v>2022</v>
      </c>
      <c r="N109" s="33">
        <f t="shared" si="19"/>
        <v>2023</v>
      </c>
      <c r="O109" s="33">
        <f t="shared" si="19"/>
        <v>2024</v>
      </c>
      <c r="P109" s="33">
        <f t="shared" si="19"/>
        <v>2025</v>
      </c>
      <c r="Q109" s="33">
        <f t="shared" si="19"/>
        <v>2026</v>
      </c>
    </row>
    <row r="110" spans="1:17" x14ac:dyDescent="0.2">
      <c r="B110" s="42" t="s">
        <v>72</v>
      </c>
    </row>
    <row r="111" spans="1:17" x14ac:dyDescent="0.2">
      <c r="C111" t="s">
        <v>73</v>
      </c>
      <c r="H111" s="294">
        <f>H26</f>
        <v>-6260.1700000000019</v>
      </c>
      <c r="I111" s="294">
        <f t="shared" ref="I111:Q111" si="20">I26</f>
        <v>-2078.9200000000005</v>
      </c>
      <c r="J111" s="294">
        <f t="shared" si="20"/>
        <v>-975.86000000000058</v>
      </c>
      <c r="K111" s="294">
        <f t="shared" si="20"/>
        <v>-2264.9199999999983</v>
      </c>
      <c r="L111" s="294">
        <f t="shared" si="20"/>
        <v>2288.7400000000016</v>
      </c>
      <c r="M111" s="294">
        <f t="shared" si="20"/>
        <v>6577.1299999999992</v>
      </c>
      <c r="N111" s="294">
        <f t="shared" si="20"/>
        <v>7674.7000000000044</v>
      </c>
      <c r="O111" s="294">
        <f t="shared" si="20"/>
        <v>20791.509999999998</v>
      </c>
      <c r="P111" s="294">
        <f t="shared" si="20"/>
        <v>16359.509999999995</v>
      </c>
      <c r="Q111" s="294">
        <f t="shared" si="20"/>
        <v>15499.509999999997</v>
      </c>
    </row>
    <row r="112" spans="1:17" x14ac:dyDescent="0.2">
      <c r="C112" t="s">
        <v>74</v>
      </c>
      <c r="H112" s="294">
        <f>H22</f>
        <v>2672.36</v>
      </c>
      <c r="I112" s="294">
        <f t="shared" ref="I112:Q112" si="21">I22</f>
        <v>2698.72</v>
      </c>
      <c r="J112" s="294">
        <f t="shared" si="21"/>
        <v>2750.62</v>
      </c>
      <c r="K112" s="294">
        <f t="shared" si="21"/>
        <v>3006.5</v>
      </c>
      <c r="L112" s="294">
        <f t="shared" si="21"/>
        <v>3201.65</v>
      </c>
      <c r="M112" s="294">
        <f t="shared" si="21"/>
        <v>3117.54</v>
      </c>
      <c r="N112" s="294">
        <f t="shared" si="21"/>
        <v>3303.68</v>
      </c>
      <c r="O112" s="294">
        <f t="shared" si="21"/>
        <v>3931.33</v>
      </c>
      <c r="P112" s="294">
        <f t="shared" si="21"/>
        <v>4308.88</v>
      </c>
      <c r="Q112" s="294">
        <f t="shared" si="21"/>
        <v>4564.53</v>
      </c>
    </row>
    <row r="113" spans="2:17" x14ac:dyDescent="0.2">
      <c r="C113" t="s">
        <v>82</v>
      </c>
      <c r="H113" s="294">
        <f>H25</f>
        <v>5901.73</v>
      </c>
      <c r="I113" s="294">
        <f t="shared" ref="I113:Q113" si="22">I25</f>
        <v>5570.23</v>
      </c>
      <c r="J113" s="294">
        <f t="shared" si="22"/>
        <v>5656.52</v>
      </c>
      <c r="K113" s="294">
        <f t="shared" si="22"/>
        <v>5314.82</v>
      </c>
      <c r="L113" s="294">
        <f t="shared" si="22"/>
        <v>5106.33</v>
      </c>
      <c r="M113" s="294">
        <f t="shared" si="22"/>
        <v>4094.78</v>
      </c>
      <c r="N113" s="294">
        <f t="shared" si="22"/>
        <v>3333.5</v>
      </c>
      <c r="O113" s="294">
        <f t="shared" si="22"/>
        <v>3388.09</v>
      </c>
      <c r="P113" s="294">
        <f t="shared" si="22"/>
        <v>3339.79</v>
      </c>
      <c r="Q113" s="294">
        <f t="shared" si="22"/>
        <v>3366.83</v>
      </c>
    </row>
    <row r="114" spans="2:17" x14ac:dyDescent="0.2">
      <c r="C114" t="s">
        <v>83</v>
      </c>
      <c r="H114" s="30">
        <v>8.39</v>
      </c>
      <c r="I114" s="30">
        <v>35.049999999999997</v>
      </c>
      <c r="J114" s="30">
        <v>29.58</v>
      </c>
      <c r="K114" s="30">
        <v>48.34</v>
      </c>
      <c r="L114" s="30">
        <v>19.64</v>
      </c>
      <c r="M114" s="30">
        <v>67.25</v>
      </c>
      <c r="N114" s="30">
        <v>85.65</v>
      </c>
      <c r="O114" s="30">
        <v>78.349999999999994</v>
      </c>
      <c r="P114" s="30">
        <v>112.89</v>
      </c>
      <c r="Q114" s="30">
        <v>0</v>
      </c>
    </row>
    <row r="115" spans="2:17" x14ac:dyDescent="0.2">
      <c r="C115" t="s">
        <v>84</v>
      </c>
      <c r="H115" s="30">
        <v>-2.19</v>
      </c>
      <c r="I115" s="30">
        <v>-36.46</v>
      </c>
      <c r="J115" s="30">
        <v>-1.6</v>
      </c>
      <c r="K115" s="30">
        <v>-4.09</v>
      </c>
      <c r="L115" s="30">
        <v>-0.02</v>
      </c>
      <c r="M115" s="30">
        <v>-0.83</v>
      </c>
      <c r="N115" s="30">
        <v>-707.55</v>
      </c>
      <c r="O115" s="30">
        <v>-275.82</v>
      </c>
      <c r="P115" s="30">
        <v>0</v>
      </c>
      <c r="Q115" s="30">
        <v>-23.45</v>
      </c>
    </row>
    <row r="116" spans="2:17" x14ac:dyDescent="0.2">
      <c r="C116" t="s">
        <v>85</v>
      </c>
      <c r="H116" s="30">
        <v>-235.48</v>
      </c>
      <c r="I116" s="30">
        <v>-393.56</v>
      </c>
      <c r="J116" s="30">
        <v>-1993.62</v>
      </c>
      <c r="K116" s="30">
        <v>-959.63</v>
      </c>
      <c r="L116" s="30">
        <v>-1045.45</v>
      </c>
      <c r="M116" s="30">
        <v>-3558.27</v>
      </c>
      <c r="N116" s="30">
        <v>-3607.19</v>
      </c>
      <c r="O116" s="30">
        <v>-8921.11</v>
      </c>
      <c r="P116" s="30">
        <v>-1443.96</v>
      </c>
      <c r="Q116" s="30">
        <v>-1953.05</v>
      </c>
    </row>
    <row r="117" spans="2:17" x14ac:dyDescent="0.2">
      <c r="C117" t="s">
        <v>86</v>
      </c>
      <c r="H117" s="30">
        <v>-398.42</v>
      </c>
      <c r="I117" s="30">
        <v>-46.9</v>
      </c>
      <c r="J117" s="30">
        <v>261.66000000000003</v>
      </c>
      <c r="K117" s="30">
        <v>84.1</v>
      </c>
      <c r="L117" s="30">
        <v>-336.75</v>
      </c>
      <c r="M117" s="30">
        <v>61.55</v>
      </c>
      <c r="N117" s="30">
        <v>101.61</v>
      </c>
      <c r="O117" s="30">
        <v>-2.4900000000000002</v>
      </c>
      <c r="P117" s="30">
        <v>-91.13</v>
      </c>
      <c r="Q117" s="30">
        <v>-109.91</v>
      </c>
    </row>
    <row r="118" spans="2:17" x14ac:dyDescent="0.2">
      <c r="C118" t="s">
        <v>87</v>
      </c>
      <c r="H118" s="30">
        <v>-299.83999999999997</v>
      </c>
      <c r="I118" s="30">
        <v>-308.20999999999998</v>
      </c>
      <c r="J118" s="30">
        <v>-311.88</v>
      </c>
      <c r="K118" s="30">
        <v>-346.5</v>
      </c>
      <c r="L118" s="30">
        <v>-611.87</v>
      </c>
      <c r="M118" s="30">
        <v>-246.55</v>
      </c>
      <c r="N118" s="30">
        <v>-333.3</v>
      </c>
      <c r="O118" s="30">
        <v>-484.27</v>
      </c>
      <c r="P118" s="30">
        <v>-593.69000000000005</v>
      </c>
      <c r="Q118" s="30">
        <v>-509.05</v>
      </c>
    </row>
    <row r="119" spans="2:17" x14ac:dyDescent="0.2">
      <c r="C119" t="s">
        <v>88</v>
      </c>
      <c r="H119" s="30">
        <v>0</v>
      </c>
      <c r="I119" s="30">
        <v>0</v>
      </c>
      <c r="J119" s="30">
        <v>0</v>
      </c>
      <c r="K119" s="30">
        <v>0</v>
      </c>
      <c r="L119" s="30">
        <v>0</v>
      </c>
      <c r="M119" s="30">
        <v>0</v>
      </c>
      <c r="N119" s="30">
        <v>0</v>
      </c>
      <c r="O119" s="30">
        <v>0</v>
      </c>
      <c r="P119" s="30">
        <v>-97.24</v>
      </c>
      <c r="Q119" s="30">
        <v>-48.06</v>
      </c>
    </row>
    <row r="120" spans="2:17" x14ac:dyDescent="0.2">
      <c r="C120" t="s">
        <v>89</v>
      </c>
      <c r="H120" s="30">
        <v>0</v>
      </c>
      <c r="I120" s="30">
        <v>1.43</v>
      </c>
      <c r="J120" s="30">
        <v>124.17</v>
      </c>
      <c r="K120" s="30">
        <v>216.84</v>
      </c>
      <c r="L120" s="30">
        <v>43.05</v>
      </c>
      <c r="M120" s="30">
        <v>0.42</v>
      </c>
      <c r="N120" s="30">
        <v>8.68</v>
      </c>
      <c r="O120" s="30">
        <v>7.53</v>
      </c>
      <c r="P120" s="30">
        <v>36.770000000000003</v>
      </c>
      <c r="Q120" s="30">
        <v>71.150000000000006</v>
      </c>
    </row>
    <row r="121" spans="2:17" x14ac:dyDescent="0.2">
      <c r="C121" t="s">
        <v>90</v>
      </c>
      <c r="H121" s="30">
        <v>0</v>
      </c>
      <c r="I121" s="30">
        <v>0</v>
      </c>
      <c r="J121" s="30">
        <v>0</v>
      </c>
      <c r="K121" s="30">
        <v>0</v>
      </c>
      <c r="L121" s="30">
        <v>0</v>
      </c>
      <c r="M121" s="30">
        <v>0</v>
      </c>
      <c r="N121" s="30">
        <v>0</v>
      </c>
      <c r="O121" s="30">
        <v>164.53</v>
      </c>
      <c r="P121" s="30">
        <v>17.73</v>
      </c>
      <c r="Q121" s="30">
        <v>0</v>
      </c>
    </row>
    <row r="122" spans="2:17" x14ac:dyDescent="0.2">
      <c r="B122" s="43"/>
      <c r="C122" t="s">
        <v>91</v>
      </c>
      <c r="H122" s="30">
        <v>4076.69</v>
      </c>
      <c r="I122" s="30">
        <v>0</v>
      </c>
      <c r="J122" s="30">
        <v>0</v>
      </c>
      <c r="K122" s="30">
        <v>1002.99</v>
      </c>
      <c r="L122" s="30">
        <v>0</v>
      </c>
      <c r="M122" s="30">
        <v>39.44</v>
      </c>
      <c r="N122" s="30">
        <v>0</v>
      </c>
      <c r="O122" s="30">
        <v>0</v>
      </c>
      <c r="P122" s="30">
        <v>0</v>
      </c>
      <c r="Q122" s="30">
        <v>0</v>
      </c>
    </row>
    <row r="123" spans="2:17" x14ac:dyDescent="0.2">
      <c r="B123" s="43"/>
      <c r="C123" t="s">
        <v>92</v>
      </c>
      <c r="H123" s="30">
        <v>-734.33</v>
      </c>
      <c r="I123" s="30">
        <v>-327.02999999999997</v>
      </c>
      <c r="J123" s="30">
        <v>79.55</v>
      </c>
      <c r="K123" s="30">
        <v>-443.08</v>
      </c>
      <c r="L123" s="30">
        <v>-1645.42</v>
      </c>
      <c r="M123" s="30">
        <v>304.61</v>
      </c>
      <c r="N123" s="30">
        <v>-1350.6</v>
      </c>
      <c r="O123" s="30">
        <v>-4450.08</v>
      </c>
      <c r="P123" s="30">
        <v>-440.1</v>
      </c>
      <c r="Q123" s="30">
        <v>-447.11</v>
      </c>
    </row>
    <row r="124" spans="2:17" x14ac:dyDescent="0.2">
      <c r="B124" s="43"/>
      <c r="C124" t="s">
        <v>103</v>
      </c>
      <c r="H124" s="30">
        <v>-3.54</v>
      </c>
      <c r="I124" s="30">
        <v>-13.2</v>
      </c>
      <c r="J124" s="30">
        <v>-8.76</v>
      </c>
      <c r="K124" s="30">
        <v>-57.82</v>
      </c>
      <c r="L124" s="30">
        <v>-5.55</v>
      </c>
      <c r="M124" s="30">
        <v>-224.34</v>
      </c>
      <c r="N124" s="30">
        <v>-78.650000000000006</v>
      </c>
      <c r="O124" s="30">
        <v>-57.42</v>
      </c>
      <c r="P124" s="30">
        <v>-8.34</v>
      </c>
      <c r="Q124" s="30">
        <v>102.26</v>
      </c>
    </row>
    <row r="125" spans="2:17" x14ac:dyDescent="0.2">
      <c r="B125" s="43"/>
      <c r="C125" s="38" t="s">
        <v>75</v>
      </c>
      <c r="H125" s="29">
        <f>H111+SUM(H112:H124)</f>
        <v>4725.1999999999971</v>
      </c>
      <c r="I125" s="29">
        <f t="shared" ref="I125:Q125" si="23">I111+SUM(I112:I124)</f>
        <v>5101.1499999999996</v>
      </c>
      <c r="J125" s="29">
        <f t="shared" si="23"/>
        <v>5610.3799999999983</v>
      </c>
      <c r="K125" s="29">
        <f t="shared" si="23"/>
        <v>5597.5500000000029</v>
      </c>
      <c r="L125" s="29">
        <f t="shared" si="23"/>
        <v>7014.35</v>
      </c>
      <c r="M125" s="29">
        <f t="shared" si="23"/>
        <v>10232.73</v>
      </c>
      <c r="N125" s="29">
        <f t="shared" si="23"/>
        <v>8430.5300000000043</v>
      </c>
      <c r="O125" s="29">
        <f t="shared" si="23"/>
        <v>14170.149999999998</v>
      </c>
      <c r="P125" s="29">
        <f t="shared" si="23"/>
        <v>21501.109999999993</v>
      </c>
      <c r="Q125" s="29">
        <f t="shared" si="23"/>
        <v>20513.649999999994</v>
      </c>
    </row>
    <row r="126" spans="2:17" x14ac:dyDescent="0.2">
      <c r="B126" s="43"/>
      <c r="H126" s="30"/>
      <c r="I126" s="30"/>
      <c r="J126" s="30"/>
      <c r="K126" s="30"/>
      <c r="L126" s="30"/>
      <c r="M126" s="30"/>
      <c r="N126" s="30"/>
      <c r="O126" s="30"/>
      <c r="P126" s="30"/>
      <c r="Q126" s="30"/>
    </row>
    <row r="127" spans="2:17" x14ac:dyDescent="0.2">
      <c r="B127" s="43"/>
    </row>
    <row r="128" spans="2:17" x14ac:dyDescent="0.2">
      <c r="B128" s="42" t="s">
        <v>76</v>
      </c>
    </row>
    <row r="129" spans="2:17" x14ac:dyDescent="0.2">
      <c r="B129" s="42"/>
      <c r="C129" t="s">
        <v>93</v>
      </c>
      <c r="H129" s="30">
        <v>-854.29</v>
      </c>
      <c r="I129" s="30">
        <v>-942.57</v>
      </c>
      <c r="J129" s="30">
        <v>-1211.53</v>
      </c>
      <c r="K129" s="30">
        <v>-2226.56</v>
      </c>
      <c r="L129" s="30">
        <v>-3617.61</v>
      </c>
      <c r="M129" s="30">
        <v>-3434.55</v>
      </c>
      <c r="N129" s="30">
        <v>-3243.68</v>
      </c>
      <c r="O129" s="30">
        <v>-2602.4499999999998</v>
      </c>
      <c r="P129" s="30">
        <v>-11559.04</v>
      </c>
      <c r="Q129" s="30">
        <v>-23350.09</v>
      </c>
    </row>
    <row r="130" spans="2:17" x14ac:dyDescent="0.2">
      <c r="B130" s="42"/>
      <c r="C130" t="s">
        <v>94</v>
      </c>
      <c r="H130" s="30">
        <v>10.17</v>
      </c>
      <c r="I130" s="30">
        <v>15.46</v>
      </c>
      <c r="J130" s="30">
        <v>252.55</v>
      </c>
      <c r="K130" s="30">
        <v>6.72</v>
      </c>
      <c r="L130" s="30">
        <v>9.9600000000000009</v>
      </c>
      <c r="M130" s="30">
        <v>1.24</v>
      </c>
      <c r="N130" s="30">
        <v>0.83</v>
      </c>
      <c r="O130" s="30">
        <v>0.56000000000000005</v>
      </c>
      <c r="P130" s="30">
        <v>15.16</v>
      </c>
      <c r="Q130" s="30">
        <v>19.399999999999999</v>
      </c>
    </row>
    <row r="131" spans="2:17" x14ac:dyDescent="0.2">
      <c r="C131" t="s">
        <v>95</v>
      </c>
      <c r="H131" s="29">
        <f>H129+H130</f>
        <v>-844.12</v>
      </c>
      <c r="I131" s="29">
        <f t="shared" ref="I131:Q131" si="24">I129+I130</f>
        <v>-927.11</v>
      </c>
      <c r="J131" s="29">
        <f t="shared" si="24"/>
        <v>-958.98</v>
      </c>
      <c r="K131" s="29">
        <f t="shared" si="24"/>
        <v>-2219.84</v>
      </c>
      <c r="L131" s="29">
        <f t="shared" si="24"/>
        <v>-3607.65</v>
      </c>
      <c r="M131" s="29">
        <f t="shared" si="24"/>
        <v>-3433.3100000000004</v>
      </c>
      <c r="N131" s="29">
        <f t="shared" si="24"/>
        <v>-3242.85</v>
      </c>
      <c r="O131" s="29">
        <f t="shared" si="24"/>
        <v>-2601.89</v>
      </c>
      <c r="P131" s="29">
        <f t="shared" si="24"/>
        <v>-11543.880000000001</v>
      </c>
      <c r="Q131" s="29">
        <f t="shared" si="24"/>
        <v>-23330.69</v>
      </c>
    </row>
    <row r="132" spans="2:17" x14ac:dyDescent="0.2">
      <c r="H132" s="45"/>
      <c r="I132" s="45"/>
      <c r="J132" s="45"/>
      <c r="K132" s="45"/>
      <c r="L132" s="45"/>
      <c r="M132" s="45"/>
      <c r="N132" s="45"/>
      <c r="O132" s="45"/>
      <c r="P132" s="45"/>
      <c r="Q132" s="45"/>
    </row>
    <row r="133" spans="2:17" x14ac:dyDescent="0.2">
      <c r="C133" t="s">
        <v>77</v>
      </c>
      <c r="H133" s="30">
        <v>-367.91999999999996</v>
      </c>
      <c r="I133" s="30">
        <v>406.68</v>
      </c>
      <c r="J133" s="30">
        <v>-25.260000000000019</v>
      </c>
      <c r="K133" s="30">
        <v>-108.27000000000001</v>
      </c>
      <c r="L133" s="30">
        <v>1420.0800000000002</v>
      </c>
      <c r="M133" s="30">
        <v>4005.42</v>
      </c>
      <c r="N133" s="30">
        <v>4787.28</v>
      </c>
      <c r="O133" s="30">
        <v>6084.2100000000009</v>
      </c>
      <c r="P133" s="30">
        <v>-5598.170000000001</v>
      </c>
      <c r="Q133" s="30">
        <v>-3129.8700000000003</v>
      </c>
    </row>
    <row r="134" spans="2:17" x14ac:dyDescent="0.2">
      <c r="C134" s="42" t="s">
        <v>78</v>
      </c>
      <c r="H134" s="29">
        <f>H131+H133</f>
        <v>-1212.04</v>
      </c>
      <c r="I134" s="29">
        <f t="shared" ref="I134:Q134" si="25">I131+I133</f>
        <v>-520.43000000000006</v>
      </c>
      <c r="J134" s="29">
        <f t="shared" si="25"/>
        <v>-984.24</v>
      </c>
      <c r="K134" s="29">
        <f t="shared" si="25"/>
        <v>-2328.11</v>
      </c>
      <c r="L134" s="29">
        <f t="shared" si="25"/>
        <v>-2187.5699999999997</v>
      </c>
      <c r="M134" s="29">
        <f t="shared" si="25"/>
        <v>572.10999999999967</v>
      </c>
      <c r="N134" s="29">
        <f t="shared" si="25"/>
        <v>1544.4299999999998</v>
      </c>
      <c r="O134" s="29">
        <f t="shared" si="25"/>
        <v>3482.3200000000011</v>
      </c>
      <c r="P134" s="29">
        <f t="shared" si="25"/>
        <v>-17142.050000000003</v>
      </c>
      <c r="Q134" s="29">
        <f t="shared" si="25"/>
        <v>-26460.559999999998</v>
      </c>
    </row>
    <row r="135" spans="2:17" x14ac:dyDescent="0.2">
      <c r="B135" s="44"/>
    </row>
    <row r="136" spans="2:17" x14ac:dyDescent="0.2">
      <c r="B136" s="44"/>
    </row>
    <row r="137" spans="2:17" x14ac:dyDescent="0.2">
      <c r="B137" s="44" t="s">
        <v>79</v>
      </c>
    </row>
    <row r="138" spans="2:17" x14ac:dyDescent="0.2">
      <c r="B138" s="44"/>
      <c r="C138" t="s">
        <v>96</v>
      </c>
      <c r="H138" s="30">
        <v>5079.6899999999996</v>
      </c>
      <c r="I138" s="30">
        <v>5626.08</v>
      </c>
      <c r="J138" s="30">
        <v>30079.56</v>
      </c>
      <c r="K138" s="30">
        <v>21416.649999999998</v>
      </c>
      <c r="L138" s="30">
        <v>23662.94</v>
      </c>
      <c r="M138" s="30">
        <v>12100.58</v>
      </c>
      <c r="N138" s="30">
        <v>20571.850000000002</v>
      </c>
      <c r="O138" s="30">
        <v>24697.18</v>
      </c>
      <c r="P138" s="30">
        <v>6455.93</v>
      </c>
      <c r="Q138" s="30">
        <v>20071.48</v>
      </c>
    </row>
    <row r="139" spans="2:17" x14ac:dyDescent="0.2">
      <c r="B139" s="44"/>
      <c r="C139" t="s">
        <v>97</v>
      </c>
      <c r="H139" s="30">
        <v>-5146.03</v>
      </c>
      <c r="I139" s="30">
        <v>-5177.92</v>
      </c>
      <c r="J139" s="30">
        <v>-28891.22</v>
      </c>
      <c r="K139" s="30">
        <v>-18306.79</v>
      </c>
      <c r="L139" s="30">
        <v>-25512.9</v>
      </c>
      <c r="M139" s="30">
        <v>-17896.16</v>
      </c>
      <c r="N139" s="30">
        <v>-26948.43</v>
      </c>
      <c r="O139" s="30">
        <v>-36497.949999999997</v>
      </c>
      <c r="P139" s="30">
        <v>-7110.37</v>
      </c>
      <c r="Q139" s="30">
        <v>-8028.18</v>
      </c>
    </row>
    <row r="140" spans="2:17" x14ac:dyDescent="0.2">
      <c r="B140" s="44"/>
      <c r="C140" t="s">
        <v>98</v>
      </c>
      <c r="H140" s="30">
        <v>1701.83</v>
      </c>
      <c r="I140" s="30">
        <v>0</v>
      </c>
      <c r="J140" s="30">
        <v>0</v>
      </c>
      <c r="K140" s="30">
        <v>0</v>
      </c>
      <c r="L140" s="30">
        <v>0</v>
      </c>
      <c r="M140" s="30">
        <v>0</v>
      </c>
      <c r="N140" s="30">
        <v>0</v>
      </c>
      <c r="O140" s="30">
        <v>0</v>
      </c>
      <c r="P140" s="30">
        <v>250</v>
      </c>
      <c r="Q140" s="30">
        <v>0</v>
      </c>
    </row>
    <row r="141" spans="2:17" x14ac:dyDescent="0.2">
      <c r="B141" s="44"/>
      <c r="C141" t="s">
        <v>99</v>
      </c>
      <c r="H141" s="30">
        <v>0</v>
      </c>
      <c r="I141" s="30">
        <v>0</v>
      </c>
      <c r="J141" s="30">
        <v>0</v>
      </c>
      <c r="K141" s="30">
        <v>0</v>
      </c>
      <c r="L141" s="30">
        <v>0</v>
      </c>
      <c r="M141" s="30">
        <v>0</v>
      </c>
      <c r="N141" s="30">
        <v>0</v>
      </c>
      <c r="O141" s="30">
        <v>0</v>
      </c>
      <c r="P141" s="30">
        <v>-500</v>
      </c>
      <c r="Q141" s="30">
        <v>0</v>
      </c>
    </row>
    <row r="142" spans="2:17" x14ac:dyDescent="0.2">
      <c r="B142" s="44"/>
      <c r="C142" t="s">
        <v>80</v>
      </c>
      <c r="H142" s="30">
        <v>0</v>
      </c>
      <c r="I142" s="30">
        <v>0</v>
      </c>
      <c r="J142" s="30">
        <v>0</v>
      </c>
      <c r="K142" s="30">
        <v>0</v>
      </c>
      <c r="L142" s="30">
        <v>0</v>
      </c>
      <c r="M142" s="30">
        <v>0</v>
      </c>
      <c r="N142" s="30">
        <v>0</v>
      </c>
      <c r="O142" s="30">
        <v>0</v>
      </c>
      <c r="P142" s="30">
        <v>0</v>
      </c>
      <c r="Q142" s="30">
        <v>0</v>
      </c>
    </row>
    <row r="143" spans="2:17" x14ac:dyDescent="0.2">
      <c r="B143" s="44"/>
      <c r="C143" t="s">
        <v>100</v>
      </c>
      <c r="H143" s="30">
        <v>-5174.42</v>
      </c>
      <c r="I143" s="30">
        <v>-5048.2700000000004</v>
      </c>
      <c r="J143" s="30">
        <v>-5666.88</v>
      </c>
      <c r="K143" s="30">
        <v>-4870.67</v>
      </c>
      <c r="L143" s="30">
        <v>-3799.88</v>
      </c>
      <c r="M143" s="30">
        <v>-3946.5</v>
      </c>
      <c r="N143" s="30">
        <v>-3364.88</v>
      </c>
      <c r="O143" s="30">
        <v>-3430.86</v>
      </c>
      <c r="P143" s="30">
        <v>-3407.66</v>
      </c>
      <c r="Q143" s="30">
        <v>-4092.19</v>
      </c>
    </row>
    <row r="144" spans="2:17" x14ac:dyDescent="0.2">
      <c r="B144" s="44"/>
      <c r="C144" t="s">
        <v>101</v>
      </c>
      <c r="H144" s="30">
        <v>0</v>
      </c>
      <c r="I144" s="30">
        <v>0</v>
      </c>
      <c r="J144" s="30">
        <v>-184.9</v>
      </c>
      <c r="K144" s="30">
        <v>-616.37</v>
      </c>
      <c r="L144" s="30">
        <v>-5</v>
      </c>
      <c r="M144" s="30">
        <v>-595.78</v>
      </c>
      <c r="N144" s="30">
        <v>-667</v>
      </c>
      <c r="O144" s="30">
        <v>-1632.4</v>
      </c>
      <c r="P144" s="30">
        <v>-863.35</v>
      </c>
      <c r="Q144" s="30">
        <v>-1396.18</v>
      </c>
    </row>
    <row r="145" spans="2:17" x14ac:dyDescent="0.2">
      <c r="B145" s="44"/>
      <c r="C145" s="42" t="s">
        <v>81</v>
      </c>
      <c r="H145" s="29">
        <f>SUM(H138:H144)</f>
        <v>-3538.9300000000003</v>
      </c>
      <c r="I145" s="29">
        <f t="shared" ref="I145:Q145" si="26">SUM(I138:I144)</f>
        <v>-4600.1100000000006</v>
      </c>
      <c r="J145" s="29">
        <f t="shared" si="26"/>
        <v>-4663.4399999999996</v>
      </c>
      <c r="K145" s="29">
        <f t="shared" si="26"/>
        <v>-2377.180000000003</v>
      </c>
      <c r="L145" s="29">
        <f t="shared" si="26"/>
        <v>-5654.8400000000029</v>
      </c>
      <c r="M145" s="29">
        <f t="shared" si="26"/>
        <v>-10337.86</v>
      </c>
      <c r="N145" s="29">
        <f t="shared" si="26"/>
        <v>-10408.459999999999</v>
      </c>
      <c r="O145" s="29">
        <f t="shared" si="26"/>
        <v>-16864.03</v>
      </c>
      <c r="P145" s="29">
        <f t="shared" si="26"/>
        <v>-5175.45</v>
      </c>
      <c r="Q145" s="29">
        <f t="shared" si="26"/>
        <v>6554.9299999999985</v>
      </c>
    </row>
    <row r="147" spans="2:17" ht="16" thickBot="1" x14ac:dyDescent="0.25">
      <c r="C147" s="2" t="s">
        <v>102</v>
      </c>
      <c r="H147" s="32">
        <f>H125+H134+H145</f>
        <v>-25.770000000003165</v>
      </c>
      <c r="I147" s="32">
        <f t="shared" ref="I147:Q147" si="27">I125+I134+I145</f>
        <v>-19.390000000001237</v>
      </c>
      <c r="J147" s="32">
        <f t="shared" si="27"/>
        <v>-37.300000000001091</v>
      </c>
      <c r="K147" s="32">
        <f t="shared" si="27"/>
        <v>892.25999999999976</v>
      </c>
      <c r="L147" s="32">
        <f t="shared" si="27"/>
        <v>-828.06000000000222</v>
      </c>
      <c r="M147" s="32">
        <f t="shared" si="27"/>
        <v>466.97999999999956</v>
      </c>
      <c r="N147" s="32">
        <f t="shared" si="27"/>
        <v>-433.49999999999454</v>
      </c>
      <c r="O147" s="32">
        <f>O125+O134+O145</f>
        <v>788.43999999999869</v>
      </c>
      <c r="P147" s="32">
        <f t="shared" si="27"/>
        <v>-816.39000000000942</v>
      </c>
      <c r="Q147" s="32">
        <f t="shared" si="27"/>
        <v>608.01999999999498</v>
      </c>
    </row>
    <row r="148" spans="2:17" ht="16" thickTop="1" x14ac:dyDescent="0.2"/>
    <row r="149" spans="2:17" x14ac:dyDescent="0.2">
      <c r="C149" s="46" t="s">
        <v>104</v>
      </c>
      <c r="D149" s="47"/>
      <c r="E149" s="47"/>
      <c r="F149" s="47"/>
      <c r="G149" s="47"/>
      <c r="H149" s="48">
        <v>106.78</v>
      </c>
      <c r="I149" s="49">
        <f>H152</f>
        <v>81.009999999996836</v>
      </c>
      <c r="J149" s="49">
        <f t="shared" ref="J149:Q149" si="28">I152</f>
        <v>61.619999999995599</v>
      </c>
      <c r="K149" s="49">
        <f t="shared" si="28"/>
        <v>24.539999999994507</v>
      </c>
      <c r="L149" s="49">
        <f t="shared" si="28"/>
        <v>941.09999999999422</v>
      </c>
      <c r="M149" s="49">
        <f t="shared" si="28"/>
        <v>113.06999999999201</v>
      </c>
      <c r="N149" s="49">
        <f t="shared" si="28"/>
        <v>782.42999999999154</v>
      </c>
      <c r="O149" s="49">
        <f t="shared" si="28"/>
        <v>349.31999999999698</v>
      </c>
      <c r="P149" s="49">
        <f t="shared" si="28"/>
        <v>1136.3399999999956</v>
      </c>
      <c r="Q149" s="50">
        <f t="shared" si="28"/>
        <v>319.94999999998618</v>
      </c>
    </row>
    <row r="150" spans="2:17" x14ac:dyDescent="0.2">
      <c r="C150" s="51" t="s">
        <v>108</v>
      </c>
      <c r="H150" s="30">
        <v>0</v>
      </c>
      <c r="I150" s="30">
        <v>0</v>
      </c>
      <c r="J150" s="30">
        <v>0.2</v>
      </c>
      <c r="K150" s="30">
        <v>24.27</v>
      </c>
      <c r="L150" s="30">
        <v>0</v>
      </c>
      <c r="M150" s="30">
        <v>202.35</v>
      </c>
      <c r="N150" s="30">
        <v>0.36</v>
      </c>
      <c r="O150" s="30">
        <v>0</v>
      </c>
      <c r="P150" s="30">
        <v>0</v>
      </c>
      <c r="Q150" s="52">
        <v>0</v>
      </c>
    </row>
    <row r="151" spans="2:17" x14ac:dyDescent="0.2">
      <c r="C151" s="51" t="s">
        <v>105</v>
      </c>
      <c r="H151" s="30">
        <v>0</v>
      </c>
      <c r="I151" s="30">
        <v>0</v>
      </c>
      <c r="J151" s="30">
        <v>0.02</v>
      </c>
      <c r="K151" s="30">
        <v>0.03</v>
      </c>
      <c r="L151" s="30">
        <v>0.03</v>
      </c>
      <c r="M151" s="30">
        <v>0.03</v>
      </c>
      <c r="N151" s="30">
        <v>0.03</v>
      </c>
      <c r="O151" s="30">
        <v>-1.42</v>
      </c>
      <c r="P151" s="30">
        <v>0</v>
      </c>
      <c r="Q151" s="52">
        <v>0</v>
      </c>
    </row>
    <row r="152" spans="2:17" x14ac:dyDescent="0.2">
      <c r="C152" s="53" t="s">
        <v>106</v>
      </c>
      <c r="D152" s="34"/>
      <c r="E152" s="34"/>
      <c r="F152" s="34"/>
      <c r="G152" s="34"/>
      <c r="H152" s="54">
        <f>H149+H147+H150+H151</f>
        <v>81.009999999996836</v>
      </c>
      <c r="I152" s="54">
        <f t="shared" ref="I152:Q152" si="29">I149+I147+I150+I151</f>
        <v>61.619999999995599</v>
      </c>
      <c r="J152" s="54">
        <f t="shared" si="29"/>
        <v>24.539999999994507</v>
      </c>
      <c r="K152" s="54">
        <f t="shared" si="29"/>
        <v>941.09999999999422</v>
      </c>
      <c r="L152" s="54">
        <f t="shared" si="29"/>
        <v>113.06999999999201</v>
      </c>
      <c r="M152" s="54">
        <f t="shared" si="29"/>
        <v>782.42999999999154</v>
      </c>
      <c r="N152" s="54">
        <f t="shared" si="29"/>
        <v>349.31999999999698</v>
      </c>
      <c r="O152" s="54">
        <f>O149+O147+O150+O151</f>
        <v>1136.3399999999956</v>
      </c>
      <c r="P152" s="54">
        <f t="shared" si="29"/>
        <v>319.94999999998618</v>
      </c>
      <c r="Q152" s="55">
        <f t="shared" si="29"/>
        <v>927.96999999998116</v>
      </c>
    </row>
    <row r="153" spans="2:17" x14ac:dyDescent="0.2">
      <c r="J153" s="36"/>
      <c r="K153" s="36"/>
      <c r="L153" s="36"/>
    </row>
  </sheetData>
  <printOptions horizontalCentered="1" verticalCentered="1"/>
  <pageMargins left="0.25" right="0.25" top="0.25" bottom="0.25" header="0" footer="0"/>
  <pageSetup paperSize="9" scale="36" orientation="portrait" horizontalDpi="0" verticalDpi="0"/>
  <rowBreaks count="2" manualBreakCount="2">
    <brk id="32" max="16383" man="1"/>
    <brk id="10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EAE64-7D65-1542-AF7D-318D5A8A8092}">
  <sheetPr>
    <pageSetUpPr fitToPage="1"/>
  </sheetPr>
  <dimension ref="B1:Q92"/>
  <sheetViews>
    <sheetView showGridLines="0" zoomScale="150" zoomScaleNormal="150" zoomScaleSheetLayoutView="94" workbookViewId="0">
      <selection activeCell="H92" sqref="H92"/>
    </sheetView>
  </sheetViews>
  <sheetFormatPr baseColWidth="10" defaultRowHeight="15" x14ac:dyDescent="0.2"/>
  <cols>
    <col min="1" max="2" width="3.83203125" customWidth="1"/>
    <col min="3" max="3" width="2.83203125" customWidth="1"/>
    <col min="8" max="8" width="14.83203125" customWidth="1"/>
    <col min="10" max="10" width="2.83203125" customWidth="1"/>
    <col min="15" max="15" width="14.83203125" customWidth="1"/>
    <col min="17" max="17" width="12.83203125" customWidth="1"/>
  </cols>
  <sheetData>
    <row r="1" spans="2:17" ht="33" x14ac:dyDescent="0.4">
      <c r="B1" s="6" t="str">
        <f>Cover!B11</f>
        <v>Adani Power</v>
      </c>
      <c r="C1" s="5"/>
      <c r="D1" s="5"/>
      <c r="E1" s="5"/>
      <c r="F1" s="5"/>
      <c r="G1" s="5"/>
      <c r="H1" s="5"/>
      <c r="I1" s="5"/>
      <c r="J1" s="5"/>
      <c r="K1" s="5"/>
      <c r="L1" s="5"/>
      <c r="M1" s="5"/>
      <c r="N1" s="5"/>
      <c r="O1" s="5"/>
    </row>
    <row r="2" spans="2:17" ht="22" thickBot="1" x14ac:dyDescent="0.3">
      <c r="B2" s="483" t="s">
        <v>2</v>
      </c>
      <c r="C2" s="484"/>
      <c r="D2" s="484"/>
      <c r="E2" s="484"/>
      <c r="F2" s="484"/>
      <c r="G2" s="484"/>
      <c r="H2" s="484"/>
      <c r="I2" s="484"/>
      <c r="J2" s="484"/>
      <c r="K2" s="484"/>
      <c r="L2" s="484"/>
      <c r="M2" s="484"/>
      <c r="N2" s="484"/>
      <c r="O2" s="484"/>
    </row>
    <row r="3" spans="2:17" ht="16" thickTop="1" x14ac:dyDescent="0.2"/>
    <row r="4" spans="2:17" x14ac:dyDescent="0.2">
      <c r="C4" s="28" t="s">
        <v>5</v>
      </c>
      <c r="D4" s="13"/>
      <c r="E4" s="13"/>
      <c r="F4" s="13"/>
      <c r="G4" s="13"/>
      <c r="H4" s="14"/>
      <c r="J4" s="28" t="s">
        <v>112</v>
      </c>
      <c r="K4" s="13"/>
      <c r="L4" s="13"/>
      <c r="M4" s="13"/>
      <c r="N4" s="13"/>
      <c r="O4" s="14"/>
      <c r="Q4" s="56"/>
    </row>
    <row r="5" spans="2:17" ht="3" customHeight="1" x14ac:dyDescent="0.2">
      <c r="C5" s="15"/>
      <c r="D5" s="7"/>
      <c r="E5" s="7"/>
      <c r="F5" s="7"/>
      <c r="G5" s="7"/>
      <c r="H5" s="16"/>
      <c r="J5" s="15"/>
      <c r="K5" s="7"/>
      <c r="L5" s="7"/>
      <c r="M5" s="7"/>
      <c r="N5" s="7"/>
      <c r="O5" s="16"/>
    </row>
    <row r="6" spans="2:17" ht="3" customHeight="1" x14ac:dyDescent="0.2">
      <c r="C6" s="17"/>
      <c r="D6" s="8"/>
      <c r="E6" s="8"/>
      <c r="F6" s="8"/>
      <c r="G6" s="8"/>
      <c r="H6" s="18"/>
      <c r="J6" s="17"/>
      <c r="K6" s="8"/>
      <c r="L6" s="8"/>
      <c r="M6" s="8"/>
      <c r="N6" s="8"/>
      <c r="O6" s="18"/>
    </row>
    <row r="7" spans="2:17" ht="3" customHeight="1" x14ac:dyDescent="0.2">
      <c r="C7" s="19"/>
      <c r="D7" s="9"/>
      <c r="E7" s="9"/>
      <c r="F7" s="9"/>
      <c r="G7" s="9"/>
      <c r="H7" s="20"/>
      <c r="J7" s="19"/>
      <c r="K7" s="9"/>
      <c r="L7" s="9"/>
      <c r="M7" s="9"/>
      <c r="N7" s="9"/>
      <c r="O7" s="20"/>
    </row>
    <row r="8" spans="2:17" x14ac:dyDescent="0.2">
      <c r="C8" s="21" t="s">
        <v>3</v>
      </c>
      <c r="D8" t="s">
        <v>4</v>
      </c>
      <c r="H8" s="107">
        <v>2027</v>
      </c>
      <c r="J8" s="21" t="s">
        <v>3</v>
      </c>
      <c r="K8" t="s">
        <v>609</v>
      </c>
      <c r="O8" s="528">
        <v>202.71</v>
      </c>
    </row>
    <row r="9" spans="2:17" x14ac:dyDescent="0.2">
      <c r="C9" s="21" t="s">
        <v>3</v>
      </c>
      <c r="D9" s="11" t="s">
        <v>115</v>
      </c>
      <c r="E9" s="12"/>
      <c r="F9" s="12"/>
      <c r="G9" s="12"/>
      <c r="H9" s="23"/>
      <c r="J9" s="21" t="s">
        <v>3</v>
      </c>
      <c r="K9" s="11" t="str">
        <f>"Fully Diluted Shares O/S (Cr) - Dec. 31, "&amp;H8-1</f>
        <v>Fully Diluted Shares O/S (Cr) - Dec. 31, 2026</v>
      </c>
      <c r="L9" s="12"/>
      <c r="M9" s="12"/>
      <c r="N9" s="12"/>
      <c r="O9" s="57">
        <f>19284694705/10000000</f>
        <v>1928.4694704999999</v>
      </c>
    </row>
    <row r="10" spans="2:17" x14ac:dyDescent="0.2">
      <c r="C10" s="58"/>
      <c r="D10" t="s">
        <v>116</v>
      </c>
      <c r="E10" s="12"/>
      <c r="F10" s="12"/>
      <c r="G10" s="12"/>
      <c r="H10" s="23"/>
      <c r="J10" s="21" t="s">
        <v>3</v>
      </c>
      <c r="K10" t="s">
        <v>113</v>
      </c>
      <c r="L10" s="12"/>
      <c r="M10" s="12"/>
      <c r="N10" s="12"/>
      <c r="O10" s="61">
        <v>2</v>
      </c>
    </row>
    <row r="11" spans="2:17" x14ac:dyDescent="0.2">
      <c r="C11" s="58"/>
      <c r="D11" t="s">
        <v>117</v>
      </c>
      <c r="H11" s="22"/>
      <c r="J11" s="21" t="s">
        <v>3</v>
      </c>
      <c r="K11" t="s">
        <v>114</v>
      </c>
      <c r="O11" s="99">
        <f>'Historical Data'!Q91/Assumptions!O9</f>
        <v>33.672754997341819</v>
      </c>
    </row>
    <row r="12" spans="2:17" x14ac:dyDescent="0.2">
      <c r="C12" s="58"/>
      <c r="D12" t="s">
        <v>118</v>
      </c>
      <c r="H12" s="22"/>
      <c r="J12" s="21" t="s">
        <v>3</v>
      </c>
      <c r="K12" t="s">
        <v>119</v>
      </c>
      <c r="O12" s="99">
        <f>'Historical Data'!Q30/Assumptions!O9</f>
        <v>6.7261007749513118</v>
      </c>
    </row>
    <row r="13" spans="2:17" x14ac:dyDescent="0.2">
      <c r="C13" s="60" t="s">
        <v>3</v>
      </c>
      <c r="D13" s="25" t="s">
        <v>549</v>
      </c>
      <c r="E13" s="25"/>
      <c r="F13" s="25"/>
      <c r="G13" s="25"/>
      <c r="H13" s="515">
        <v>4.5600000000000002E-2</v>
      </c>
      <c r="J13" s="60"/>
      <c r="K13" s="25"/>
      <c r="L13" s="25"/>
      <c r="M13" s="25"/>
      <c r="N13" s="25"/>
      <c r="O13" s="100"/>
    </row>
    <row r="15" spans="2:17" ht="10" customHeight="1" x14ac:dyDescent="0.2"/>
    <row r="16" spans="2:17" x14ac:dyDescent="0.2">
      <c r="C16" s="28" t="s">
        <v>122</v>
      </c>
      <c r="D16" s="13"/>
      <c r="E16" s="13"/>
      <c r="F16" s="13"/>
      <c r="G16" s="13"/>
      <c r="H16" s="14"/>
      <c r="J16" s="28" t="s">
        <v>135</v>
      </c>
      <c r="K16" s="13"/>
      <c r="L16" s="13"/>
      <c r="M16" s="13"/>
      <c r="N16" s="13"/>
      <c r="O16" s="14"/>
    </row>
    <row r="17" spans="3:15" ht="3" customHeight="1" x14ac:dyDescent="0.2">
      <c r="C17" s="15"/>
      <c r="D17" s="7"/>
      <c r="E17" s="7"/>
      <c r="F17" s="7"/>
      <c r="G17" s="7"/>
      <c r="H17" s="16"/>
      <c r="J17" s="15"/>
      <c r="K17" s="7"/>
      <c r="L17" s="7"/>
      <c r="M17" s="7"/>
      <c r="N17" s="7"/>
      <c r="O17" s="16"/>
    </row>
    <row r="18" spans="3:15" ht="3" customHeight="1" x14ac:dyDescent="0.2">
      <c r="C18" s="17"/>
      <c r="D18" s="8"/>
      <c r="E18" s="8"/>
      <c r="F18" s="8"/>
      <c r="G18" s="8"/>
      <c r="H18" s="18"/>
      <c r="J18" s="17"/>
      <c r="K18" s="8"/>
      <c r="L18" s="8"/>
      <c r="M18" s="8"/>
      <c r="N18" s="8"/>
      <c r="O18" s="18"/>
    </row>
    <row r="19" spans="3:15" ht="3" customHeight="1" x14ac:dyDescent="0.2">
      <c r="C19" s="19"/>
      <c r="D19" s="9"/>
      <c r="E19" s="9"/>
      <c r="F19" s="9"/>
      <c r="G19" s="9"/>
      <c r="H19" s="20"/>
      <c r="J19" s="19"/>
      <c r="K19" s="9"/>
      <c r="L19" s="9"/>
      <c r="M19" s="9"/>
      <c r="N19" s="9"/>
      <c r="O19" s="20"/>
    </row>
    <row r="20" spans="3:15" x14ac:dyDescent="0.2">
      <c r="C20" s="62" t="s">
        <v>120</v>
      </c>
      <c r="D20" s="63"/>
      <c r="E20" s="64" t="s">
        <v>121</v>
      </c>
      <c r="F20" s="65"/>
      <c r="G20" s="64" t="s">
        <v>123</v>
      </c>
      <c r="H20" s="70"/>
      <c r="J20" s="101" t="s">
        <v>136</v>
      </c>
      <c r="K20" s="102"/>
      <c r="L20" s="78"/>
      <c r="M20" s="79"/>
      <c r="N20" s="78"/>
      <c r="O20" s="70"/>
    </row>
    <row r="21" spans="3:15" x14ac:dyDescent="0.2">
      <c r="C21" s="66">
        <f>$H$8-1</f>
        <v>2026</v>
      </c>
      <c r="D21" s="67"/>
      <c r="E21" s="71" t="s">
        <v>3</v>
      </c>
      <c r="F21" s="72"/>
      <c r="G21" s="71">
        <v>18150</v>
      </c>
      <c r="H21" s="73"/>
      <c r="J21" s="21" t="s">
        <v>3</v>
      </c>
      <c r="K21" s="88" t="s">
        <v>137</v>
      </c>
      <c r="L21" s="80"/>
      <c r="M21" s="81"/>
      <c r="N21" s="80"/>
      <c r="O21" s="85">
        <v>0.9</v>
      </c>
    </row>
    <row r="22" spans="3:15" x14ac:dyDescent="0.2">
      <c r="C22" s="66">
        <f t="shared" ref="C22:C27" si="0">C21+1</f>
        <v>2027</v>
      </c>
      <c r="D22" s="67"/>
      <c r="E22" s="71">
        <v>2920</v>
      </c>
      <c r="F22" s="72"/>
      <c r="G22" s="72">
        <f t="shared" ref="G22:G27" si="1">G21+E22</f>
        <v>21070</v>
      </c>
      <c r="H22" s="73"/>
      <c r="J22" s="21" t="s">
        <v>3</v>
      </c>
      <c r="K22" s="88" t="s">
        <v>138</v>
      </c>
      <c r="L22" s="80"/>
      <c r="M22" s="81"/>
      <c r="N22" s="81"/>
      <c r="O22" s="85">
        <v>0.68</v>
      </c>
    </row>
    <row r="23" spans="3:15" x14ac:dyDescent="0.2">
      <c r="C23" s="66">
        <f t="shared" si="0"/>
        <v>2028</v>
      </c>
      <c r="D23" s="67"/>
      <c r="E23" s="71">
        <v>2400</v>
      </c>
      <c r="F23" s="72"/>
      <c r="G23" s="72">
        <f t="shared" si="1"/>
        <v>23470</v>
      </c>
      <c r="H23" s="73"/>
      <c r="J23" s="21" t="s">
        <v>3</v>
      </c>
      <c r="K23" t="s">
        <v>139</v>
      </c>
      <c r="L23" s="80"/>
      <c r="M23" s="81"/>
      <c r="N23" s="81"/>
      <c r="O23" s="85">
        <v>0.06</v>
      </c>
    </row>
    <row r="24" spans="3:15" x14ac:dyDescent="0.2">
      <c r="C24" s="66">
        <f t="shared" si="0"/>
        <v>2029</v>
      </c>
      <c r="D24" s="67"/>
      <c r="E24" s="71">
        <v>2400</v>
      </c>
      <c r="F24" s="72"/>
      <c r="G24" s="72">
        <f t="shared" si="1"/>
        <v>25870</v>
      </c>
      <c r="H24" s="73"/>
      <c r="J24" s="21" t="s">
        <v>3</v>
      </c>
      <c r="K24" t="s">
        <v>140</v>
      </c>
      <c r="L24" s="80"/>
      <c r="M24" s="81"/>
      <c r="N24" s="81"/>
      <c r="O24" s="85">
        <v>0.96</v>
      </c>
    </row>
    <row r="25" spans="3:15" x14ac:dyDescent="0.2">
      <c r="C25" s="66">
        <f t="shared" si="0"/>
        <v>2030</v>
      </c>
      <c r="D25" s="67"/>
      <c r="E25" s="71">
        <v>8000</v>
      </c>
      <c r="F25" s="72"/>
      <c r="G25" s="72">
        <f t="shared" si="1"/>
        <v>33870</v>
      </c>
      <c r="H25" s="73"/>
      <c r="J25" s="21" t="s">
        <v>3</v>
      </c>
      <c r="K25" t="s">
        <v>141</v>
      </c>
      <c r="L25" s="80"/>
      <c r="M25" s="81"/>
      <c r="N25" s="81"/>
      <c r="O25" s="103">
        <v>2.6</v>
      </c>
    </row>
    <row r="26" spans="3:15" x14ac:dyDescent="0.2">
      <c r="C26" s="66">
        <f t="shared" si="0"/>
        <v>2031</v>
      </c>
      <c r="D26" s="67"/>
      <c r="E26" s="71">
        <v>5600</v>
      </c>
      <c r="F26" s="72"/>
      <c r="G26" s="72">
        <f t="shared" si="1"/>
        <v>39470</v>
      </c>
      <c r="H26" s="73"/>
      <c r="J26" s="21" t="s">
        <v>3</v>
      </c>
      <c r="K26" t="s">
        <v>142</v>
      </c>
      <c r="L26" s="80"/>
      <c r="M26" s="81"/>
      <c r="N26" s="81"/>
      <c r="O26" s="103">
        <v>4.1100000000000003</v>
      </c>
    </row>
    <row r="27" spans="3:15" x14ac:dyDescent="0.2">
      <c r="C27" s="66">
        <f t="shared" si="0"/>
        <v>2032</v>
      </c>
      <c r="D27" s="67"/>
      <c r="E27" s="71">
        <v>2400</v>
      </c>
      <c r="F27" s="87"/>
      <c r="G27" s="72">
        <f t="shared" si="1"/>
        <v>41870</v>
      </c>
      <c r="H27" s="104"/>
      <c r="J27" s="21" t="s">
        <v>3</v>
      </c>
      <c r="K27" t="s">
        <v>143</v>
      </c>
      <c r="L27" s="80"/>
      <c r="M27" s="90"/>
      <c r="N27" s="81"/>
      <c r="O27" s="103">
        <v>4.2</v>
      </c>
    </row>
    <row r="28" spans="3:15" x14ac:dyDescent="0.2">
      <c r="C28" s="66"/>
      <c r="D28" s="67"/>
      <c r="E28" s="71"/>
      <c r="F28" s="87"/>
      <c r="G28" s="72"/>
      <c r="H28" s="104"/>
      <c r="J28" s="21" t="s">
        <v>3</v>
      </c>
      <c r="K28" t="s">
        <v>144</v>
      </c>
      <c r="L28" s="80"/>
      <c r="M28" s="90"/>
      <c r="N28" s="81"/>
      <c r="O28" s="85">
        <v>0.02</v>
      </c>
    </row>
    <row r="29" spans="3:15" x14ac:dyDescent="0.2">
      <c r="C29" s="68"/>
      <c r="D29" s="69"/>
      <c r="E29" s="74"/>
      <c r="F29" s="75"/>
      <c r="G29" s="76"/>
      <c r="H29" s="77"/>
      <c r="J29" s="60" t="s">
        <v>3</v>
      </c>
      <c r="K29" s="25" t="s">
        <v>145</v>
      </c>
      <c r="L29" s="82"/>
      <c r="M29" s="83"/>
      <c r="N29" s="84"/>
      <c r="O29" s="105">
        <v>5.2</v>
      </c>
    </row>
    <row r="30" spans="3:15" x14ac:dyDescent="0.2">
      <c r="C30" s="86"/>
      <c r="D30" s="67"/>
      <c r="E30" s="71"/>
      <c r="F30" s="87"/>
      <c r="G30" s="72"/>
      <c r="H30" s="87"/>
      <c r="J30" s="88"/>
      <c r="K30" s="89"/>
      <c r="L30" s="80"/>
      <c r="M30" s="90"/>
      <c r="N30" s="81"/>
      <c r="O30" s="90"/>
    </row>
    <row r="31" spans="3:15" ht="10" customHeight="1" x14ac:dyDescent="0.2">
      <c r="H31" s="90"/>
    </row>
    <row r="32" spans="3:15" x14ac:dyDescent="0.2">
      <c r="C32" s="28" t="s">
        <v>146</v>
      </c>
      <c r="D32" s="13"/>
      <c r="E32" s="13"/>
      <c r="F32" s="13"/>
      <c r="G32" s="13"/>
      <c r="H32" s="14"/>
      <c r="J32" s="28" t="s">
        <v>128</v>
      </c>
      <c r="K32" s="13"/>
      <c r="L32" s="13"/>
      <c r="M32" s="13"/>
      <c r="N32" s="13"/>
      <c r="O32" s="14"/>
    </row>
    <row r="33" spans="3:15" ht="3" customHeight="1" x14ac:dyDescent="0.2">
      <c r="C33" s="15"/>
      <c r="D33" s="7"/>
      <c r="E33" s="7"/>
      <c r="F33" s="7"/>
      <c r="G33" s="7"/>
      <c r="H33" s="16"/>
      <c r="J33" s="15"/>
      <c r="K33" s="7"/>
      <c r="L33" s="7"/>
      <c r="M33" s="7"/>
      <c r="N33" s="7"/>
      <c r="O33" s="16"/>
    </row>
    <row r="34" spans="3:15" ht="3" customHeight="1" x14ac:dyDescent="0.2">
      <c r="C34" s="17"/>
      <c r="D34" s="8"/>
      <c r="E34" s="8"/>
      <c r="F34" s="8"/>
      <c r="G34" s="8"/>
      <c r="H34" s="18"/>
      <c r="J34" s="17"/>
      <c r="K34" s="8"/>
      <c r="L34" s="8"/>
      <c r="M34" s="8"/>
      <c r="N34" s="8"/>
      <c r="O34" s="18"/>
    </row>
    <row r="35" spans="3:15" ht="3" customHeight="1" x14ac:dyDescent="0.2">
      <c r="C35" s="19"/>
      <c r="D35" s="9"/>
      <c r="E35" s="9"/>
      <c r="F35" s="9"/>
      <c r="G35" s="9"/>
      <c r="H35" s="20"/>
      <c r="J35" s="19"/>
      <c r="K35" s="9"/>
      <c r="L35" s="9"/>
      <c r="M35" s="9"/>
      <c r="N35" s="9"/>
      <c r="O35" s="20"/>
    </row>
    <row r="36" spans="3:15" x14ac:dyDescent="0.2">
      <c r="C36" s="91" t="s">
        <v>3</v>
      </c>
      <c r="D36" t="s">
        <v>148</v>
      </c>
      <c r="H36" s="108">
        <f>(((G21*O60)*O58*(O22-0.01))-((G21*O60)*O58*(O22-0.01)*O23))/10000</f>
        <v>9913.3076988000012</v>
      </c>
      <c r="J36" s="91" t="s">
        <v>3</v>
      </c>
      <c r="K36" s="43" t="s">
        <v>129</v>
      </c>
      <c r="O36" s="92" t="s">
        <v>130</v>
      </c>
    </row>
    <row r="37" spans="3:15" x14ac:dyDescent="0.2">
      <c r="C37" s="91" t="s">
        <v>3</v>
      </c>
      <c r="D37" s="43" t="s">
        <v>147</v>
      </c>
      <c r="H37" s="103">
        <f>'Historical Data'!Q11/H36</f>
        <v>2.9423095586481964</v>
      </c>
      <c r="J37" s="91" t="s">
        <v>3</v>
      </c>
      <c r="K37" s="93" t="s">
        <v>131</v>
      </c>
      <c r="O37" s="98">
        <f>'Historical Data'!Q66/'Historical Data'!Q22</f>
        <v>15.204513936812774</v>
      </c>
    </row>
    <row r="38" spans="3:15" x14ac:dyDescent="0.2">
      <c r="C38" s="94" t="s">
        <v>3</v>
      </c>
      <c r="D38" s="95" t="s">
        <v>225</v>
      </c>
      <c r="E38" s="96"/>
      <c r="F38" s="96"/>
      <c r="G38" s="96"/>
      <c r="H38" s="278">
        <v>0.03</v>
      </c>
      <c r="J38" s="94" t="s">
        <v>3</v>
      </c>
      <c r="K38" s="95" t="s">
        <v>132</v>
      </c>
      <c r="L38" s="96"/>
      <c r="M38" s="96"/>
      <c r="N38" s="96"/>
      <c r="O38" s="97">
        <v>25</v>
      </c>
    </row>
    <row r="40" spans="3:15" ht="10" customHeight="1" x14ac:dyDescent="0.2"/>
    <row r="41" spans="3:15" x14ac:dyDescent="0.2">
      <c r="C41" s="28" t="s">
        <v>133</v>
      </c>
      <c r="D41" s="13"/>
      <c r="E41" s="13"/>
      <c r="F41" s="13"/>
      <c r="G41" s="13"/>
      <c r="H41" s="14"/>
      <c r="J41" s="28" t="s">
        <v>124</v>
      </c>
      <c r="K41" s="13"/>
      <c r="L41" s="13"/>
      <c r="M41" s="13"/>
      <c r="N41" s="13"/>
      <c r="O41" s="14"/>
    </row>
    <row r="42" spans="3:15" ht="3" customHeight="1" x14ac:dyDescent="0.2">
      <c r="C42" s="15"/>
      <c r="D42" s="7"/>
      <c r="E42" s="7"/>
      <c r="F42" s="7"/>
      <c r="G42" s="7"/>
      <c r="H42" s="16"/>
      <c r="J42" s="15"/>
      <c r="K42" s="7"/>
      <c r="L42" s="7"/>
      <c r="M42" s="7"/>
      <c r="N42" s="7"/>
      <c r="O42" s="16"/>
    </row>
    <row r="43" spans="3:15" ht="3" customHeight="1" x14ac:dyDescent="0.2">
      <c r="C43" s="17"/>
      <c r="D43" s="8"/>
      <c r="E43" s="8"/>
      <c r="F43" s="8"/>
      <c r="G43" s="8"/>
      <c r="H43" s="18"/>
      <c r="J43" s="17"/>
      <c r="K43" s="8"/>
      <c r="L43" s="8"/>
      <c r="M43" s="8"/>
      <c r="N43" s="8"/>
      <c r="O43" s="18"/>
    </row>
    <row r="44" spans="3:15" ht="3" customHeight="1" x14ac:dyDescent="0.2">
      <c r="C44" s="19"/>
      <c r="D44" s="9"/>
      <c r="E44" s="9"/>
      <c r="F44" s="9"/>
      <c r="G44" s="9"/>
      <c r="H44" s="20"/>
      <c r="J44" s="19"/>
      <c r="K44" s="9"/>
      <c r="L44" s="9"/>
      <c r="M44" s="9"/>
      <c r="N44" s="9"/>
      <c r="O44" s="20"/>
    </row>
    <row r="45" spans="3:15" x14ac:dyDescent="0.2">
      <c r="C45" s="21" t="s">
        <v>3</v>
      </c>
      <c r="D45" t="s">
        <v>134</v>
      </c>
      <c r="G45" s="10"/>
      <c r="H45" s="85">
        <v>0.25168000000000001</v>
      </c>
      <c r="J45" s="21" t="s">
        <v>3</v>
      </c>
      <c r="K45" t="s">
        <v>125</v>
      </c>
      <c r="L45" s="78"/>
      <c r="M45" s="79"/>
      <c r="N45" s="78"/>
      <c r="O45" s="85">
        <v>6.5000000000000002E-2</v>
      </c>
    </row>
    <row r="46" spans="3:15" x14ac:dyDescent="0.2">
      <c r="C46" s="21"/>
      <c r="D46" s="11"/>
      <c r="E46" s="12"/>
      <c r="F46" s="12"/>
      <c r="G46" s="12"/>
      <c r="H46" s="23"/>
      <c r="J46" s="21" t="s">
        <v>3</v>
      </c>
      <c r="K46" t="s">
        <v>126</v>
      </c>
      <c r="L46" s="80"/>
      <c r="M46" s="81"/>
      <c r="N46" s="80"/>
      <c r="O46" s="85">
        <v>6.8000000000000005E-2</v>
      </c>
    </row>
    <row r="47" spans="3:15" x14ac:dyDescent="0.2">
      <c r="C47" s="24"/>
      <c r="D47" s="25"/>
      <c r="E47" s="26"/>
      <c r="F47" s="26"/>
      <c r="G47" s="26"/>
      <c r="H47" s="27"/>
      <c r="J47" s="60" t="s">
        <v>3</v>
      </c>
      <c r="K47" s="25" t="s">
        <v>127</v>
      </c>
      <c r="L47" s="82"/>
      <c r="M47" s="84"/>
      <c r="N47" s="84"/>
      <c r="O47" s="106">
        <v>8.5000000000000006E-2</v>
      </c>
    </row>
    <row r="48" spans="3:15" ht="15" customHeight="1" x14ac:dyDescent="0.2">
      <c r="J48" s="88"/>
      <c r="K48" s="89"/>
      <c r="L48" s="80"/>
      <c r="M48" s="90"/>
      <c r="N48" s="81"/>
      <c r="O48" s="90"/>
    </row>
    <row r="49" spans="3:15" ht="10" customHeight="1" x14ac:dyDescent="0.2"/>
    <row r="50" spans="3:15" x14ac:dyDescent="0.2">
      <c r="C50" s="28" t="s">
        <v>243</v>
      </c>
      <c r="D50" s="13"/>
      <c r="E50" s="13"/>
      <c r="F50" s="13"/>
      <c r="G50" s="13"/>
      <c r="H50" s="14"/>
      <c r="J50" s="28" t="s">
        <v>189</v>
      </c>
      <c r="K50" s="13"/>
      <c r="L50" s="13"/>
      <c r="M50" s="13"/>
      <c r="N50" s="13"/>
      <c r="O50" s="14"/>
    </row>
    <row r="51" spans="3:15" ht="3" customHeight="1" x14ac:dyDescent="0.2">
      <c r="C51" s="15"/>
      <c r="D51" s="7"/>
      <c r="E51" s="7"/>
      <c r="F51" s="7"/>
      <c r="G51" s="7"/>
      <c r="H51" s="16"/>
      <c r="J51" s="15"/>
      <c r="K51" s="7"/>
      <c r="L51" s="7"/>
      <c r="M51" s="7"/>
      <c r="N51" s="7"/>
      <c r="O51" s="16"/>
    </row>
    <row r="52" spans="3:15" ht="3" customHeight="1" x14ac:dyDescent="0.2">
      <c r="C52" s="17"/>
      <c r="D52" s="8"/>
      <c r="E52" s="8"/>
      <c r="F52" s="8"/>
      <c r="G52" s="8"/>
      <c r="H52" s="18"/>
      <c r="J52" s="17"/>
      <c r="K52" s="8"/>
      <c r="L52" s="8"/>
      <c r="M52" s="8"/>
      <c r="N52" s="8"/>
      <c r="O52" s="18"/>
    </row>
    <row r="53" spans="3:15" ht="3" customHeight="1" x14ac:dyDescent="0.2">
      <c r="C53" s="19"/>
      <c r="D53" s="9"/>
      <c r="E53" s="9"/>
      <c r="F53" s="9"/>
      <c r="G53" s="9"/>
      <c r="H53" s="20"/>
      <c r="J53" s="19"/>
      <c r="K53" s="9"/>
      <c r="L53" s="9"/>
      <c r="M53" s="9"/>
      <c r="N53" s="9"/>
      <c r="O53" s="20"/>
    </row>
    <row r="54" spans="3:15" x14ac:dyDescent="0.2">
      <c r="C54" s="21" t="s">
        <v>3</v>
      </c>
      <c r="D54" t="s">
        <v>244</v>
      </c>
      <c r="G54" s="10"/>
      <c r="H54" s="299">
        <v>202000</v>
      </c>
      <c r="J54" s="101" t="s">
        <v>136</v>
      </c>
      <c r="K54" s="102"/>
      <c r="L54" s="78"/>
      <c r="M54" s="79"/>
      <c r="N54" s="78"/>
      <c r="O54" s="70"/>
    </row>
    <row r="55" spans="3:15" x14ac:dyDescent="0.2">
      <c r="C55" s="21" t="s">
        <v>3</v>
      </c>
      <c r="D55" t="s">
        <v>245</v>
      </c>
      <c r="E55" s="12"/>
      <c r="F55" s="12"/>
      <c r="G55" s="12"/>
      <c r="H55" s="299">
        <v>8.4</v>
      </c>
      <c r="J55" s="21" t="s">
        <v>3</v>
      </c>
      <c r="K55" s="88" t="s">
        <v>190</v>
      </c>
      <c r="L55" s="80"/>
      <c r="M55" s="81"/>
      <c r="N55" s="80"/>
      <c r="O55" s="263">
        <v>13320</v>
      </c>
    </row>
    <row r="56" spans="3:15" x14ac:dyDescent="0.2">
      <c r="C56" s="21" t="s">
        <v>3</v>
      </c>
      <c r="D56" t="s">
        <v>246</v>
      </c>
      <c r="E56" s="12"/>
      <c r="F56" s="12"/>
      <c r="G56" s="12"/>
      <c r="H56" s="299">
        <v>10</v>
      </c>
      <c r="J56" s="21" t="s">
        <v>3</v>
      </c>
      <c r="K56" s="88" t="s">
        <v>191</v>
      </c>
      <c r="L56" s="80"/>
      <c r="M56" s="81"/>
      <c r="N56" s="81"/>
      <c r="O56" s="263">
        <v>23720</v>
      </c>
    </row>
    <row r="57" spans="3:15" x14ac:dyDescent="0.2">
      <c r="C57" s="21" t="s">
        <v>3</v>
      </c>
      <c r="D57" t="s">
        <v>247</v>
      </c>
      <c r="H57" s="300">
        <f>'Historical Data'!Q68</f>
        <v>35053.46</v>
      </c>
      <c r="J57" s="21" t="s">
        <v>3</v>
      </c>
      <c r="K57" t="s">
        <v>192</v>
      </c>
      <c r="L57" s="80"/>
      <c r="M57" s="81"/>
      <c r="N57" s="81"/>
      <c r="O57" s="264">
        <f>O55/O56</f>
        <v>0.56155143338954472</v>
      </c>
    </row>
    <row r="58" spans="3:15" x14ac:dyDescent="0.2">
      <c r="C58" s="21" t="s">
        <v>3</v>
      </c>
      <c r="D58" t="s">
        <v>248</v>
      </c>
      <c r="H58" s="301">
        <v>0.05</v>
      </c>
      <c r="J58" s="21" t="s">
        <v>3</v>
      </c>
      <c r="K58" t="s">
        <v>193</v>
      </c>
      <c r="L58" s="80"/>
      <c r="M58" s="81"/>
      <c r="N58" s="81"/>
      <c r="O58" s="265">
        <f>24*365</f>
        <v>8760</v>
      </c>
    </row>
    <row r="59" spans="3:15" x14ac:dyDescent="0.2">
      <c r="C59" s="295" t="s">
        <v>249</v>
      </c>
      <c r="H59" s="22"/>
      <c r="J59" s="21" t="s">
        <v>3</v>
      </c>
      <c r="K59" t="s">
        <v>204</v>
      </c>
      <c r="L59" s="80"/>
      <c r="M59" s="81"/>
      <c r="N59" s="81"/>
      <c r="O59" s="277">
        <v>0.85</v>
      </c>
    </row>
    <row r="60" spans="3:15" x14ac:dyDescent="0.2">
      <c r="C60" s="21" t="s">
        <v>3</v>
      </c>
      <c r="D60" t="s">
        <v>250</v>
      </c>
      <c r="H60" s="296">
        <v>0.15</v>
      </c>
      <c r="J60" s="21" t="s">
        <v>3</v>
      </c>
      <c r="K60" t="s">
        <v>194</v>
      </c>
      <c r="L60" s="80"/>
      <c r="M60" s="81"/>
      <c r="N60" s="81"/>
      <c r="O60" s="272">
        <v>0.99</v>
      </c>
    </row>
    <row r="61" spans="3:15" x14ac:dyDescent="0.2">
      <c r="C61" s="21" t="s">
        <v>3</v>
      </c>
      <c r="D61" t="s">
        <v>251</v>
      </c>
      <c r="H61" s="296">
        <v>0.35</v>
      </c>
      <c r="J61" s="21"/>
      <c r="L61" s="80"/>
      <c r="M61" s="81"/>
      <c r="N61" s="81"/>
      <c r="O61" s="272"/>
    </row>
    <row r="62" spans="3:15" x14ac:dyDescent="0.2">
      <c r="C62" s="21" t="s">
        <v>3</v>
      </c>
      <c r="D62" t="s">
        <v>252</v>
      </c>
      <c r="H62" s="296">
        <v>0.35</v>
      </c>
      <c r="J62" s="21"/>
      <c r="L62" s="80"/>
      <c r="M62" s="81"/>
      <c r="N62" s="81"/>
      <c r="O62" s="272"/>
    </row>
    <row r="63" spans="3:15" x14ac:dyDescent="0.2">
      <c r="C63" s="60" t="s">
        <v>3</v>
      </c>
      <c r="D63" s="25" t="s">
        <v>253</v>
      </c>
      <c r="E63" s="25"/>
      <c r="F63" s="25"/>
      <c r="G63" s="25"/>
      <c r="H63" s="297">
        <v>0.15</v>
      </c>
      <c r="J63" s="60"/>
      <c r="K63" s="25"/>
      <c r="L63" s="82"/>
      <c r="M63" s="84"/>
      <c r="N63" s="84"/>
      <c r="O63" s="298"/>
    </row>
    <row r="64" spans="3:15" x14ac:dyDescent="0.2">
      <c r="J64" s="266"/>
      <c r="K64" s="267"/>
      <c r="L64" s="268"/>
      <c r="M64" s="269"/>
      <c r="N64" s="269"/>
      <c r="O64" s="270"/>
    </row>
    <row r="65" spans="3:15" ht="10" customHeight="1" x14ac:dyDescent="0.2">
      <c r="J65" s="158"/>
      <c r="L65" s="80"/>
      <c r="M65" s="90"/>
      <c r="N65" s="81"/>
      <c r="O65" s="271"/>
    </row>
    <row r="66" spans="3:15" x14ac:dyDescent="0.2">
      <c r="C66" s="28" t="s">
        <v>109</v>
      </c>
      <c r="D66" s="13"/>
      <c r="E66" s="13"/>
      <c r="F66" s="13"/>
      <c r="G66" s="13"/>
      <c r="H66" s="14"/>
      <c r="J66" s="28" t="s">
        <v>287</v>
      </c>
      <c r="K66" s="13"/>
      <c r="L66" s="13"/>
      <c r="M66" s="13"/>
      <c r="N66" s="13"/>
      <c r="O66" s="14"/>
    </row>
    <row r="67" spans="3:15" ht="3" customHeight="1" x14ac:dyDescent="0.2">
      <c r="C67" s="15"/>
      <c r="D67" s="7"/>
      <c r="E67" s="7"/>
      <c r="F67" s="7"/>
      <c r="G67" s="7"/>
      <c r="H67" s="16"/>
      <c r="J67" s="15"/>
      <c r="K67" s="7"/>
      <c r="L67" s="7"/>
      <c r="M67" s="7"/>
      <c r="N67" s="7"/>
      <c r="O67" s="16"/>
    </row>
    <row r="68" spans="3:15" ht="3" customHeight="1" x14ac:dyDescent="0.2">
      <c r="C68" s="17"/>
      <c r="D68" s="8"/>
      <c r="E68" s="8"/>
      <c r="F68" s="8"/>
      <c r="G68" s="8"/>
      <c r="H68" s="18"/>
      <c r="J68" s="17"/>
      <c r="K68" s="8"/>
      <c r="L68" s="8"/>
      <c r="M68" s="8"/>
      <c r="N68" s="8"/>
      <c r="O68" s="18"/>
    </row>
    <row r="69" spans="3:15" ht="3" customHeight="1" x14ac:dyDescent="0.2">
      <c r="C69" s="19"/>
      <c r="D69" s="9"/>
      <c r="E69" s="9"/>
      <c r="F69" s="9"/>
      <c r="G69" s="9"/>
      <c r="H69" s="20"/>
      <c r="J69" s="19"/>
      <c r="K69" s="9"/>
      <c r="L69" s="9"/>
      <c r="M69" s="9"/>
      <c r="N69" s="9"/>
      <c r="O69" s="20"/>
    </row>
    <row r="70" spans="3:15" x14ac:dyDescent="0.2">
      <c r="C70" s="21" t="s">
        <v>3</v>
      </c>
      <c r="D70" t="s">
        <v>111</v>
      </c>
      <c r="G70" s="10"/>
      <c r="H70" s="22"/>
      <c r="J70" s="21" t="s">
        <v>3</v>
      </c>
      <c r="K70" s="88" t="s">
        <v>288</v>
      </c>
      <c r="L70" s="80"/>
      <c r="M70" s="81"/>
      <c r="N70" s="80"/>
      <c r="O70" s="319">
        <f>('Historical Data'!Q40/'Historical Data'!Q11)*365</f>
        <v>45.34316007737241</v>
      </c>
    </row>
    <row r="71" spans="3:15" x14ac:dyDescent="0.2">
      <c r="C71" s="21"/>
      <c r="D71" s="11" t="s">
        <v>110</v>
      </c>
      <c r="E71" s="12"/>
      <c r="F71" s="12"/>
      <c r="G71" s="12"/>
      <c r="H71" s="23"/>
      <c r="J71" s="21" t="s">
        <v>3</v>
      </c>
      <c r="K71" s="88" t="s">
        <v>289</v>
      </c>
      <c r="L71" s="80"/>
      <c r="M71" s="81"/>
      <c r="N71" s="81"/>
      <c r="O71" s="319">
        <f>('Historical Data'!Q45/Model!J76)*365</f>
        <v>78.512388812126645</v>
      </c>
    </row>
    <row r="72" spans="3:15" x14ac:dyDescent="0.2">
      <c r="C72" s="58"/>
      <c r="E72" s="12"/>
      <c r="F72" s="12"/>
      <c r="G72" s="12"/>
      <c r="H72" s="23"/>
      <c r="J72" s="21" t="s">
        <v>3</v>
      </c>
      <c r="K72" t="s">
        <v>290</v>
      </c>
      <c r="L72" s="80"/>
      <c r="M72" s="81"/>
      <c r="N72" s="81"/>
      <c r="O72" s="319">
        <f>('Historical Data'!Q48/'Historical Data'!Q8)*365</f>
        <v>9.9526147610679256</v>
      </c>
    </row>
    <row r="73" spans="3:15" x14ac:dyDescent="0.2">
      <c r="C73" s="58"/>
      <c r="H73" s="22"/>
      <c r="J73" s="21" t="s">
        <v>3</v>
      </c>
      <c r="K73" t="s">
        <v>291</v>
      </c>
      <c r="L73" s="80"/>
      <c r="M73" s="81"/>
      <c r="N73" s="81"/>
      <c r="O73" s="265">
        <f>('Historical Data'!Q49/'Historical Data'!Q8)*365</f>
        <v>78.577878678154278</v>
      </c>
    </row>
    <row r="74" spans="3:15" x14ac:dyDescent="0.2">
      <c r="C74" s="58"/>
      <c r="H74" s="22"/>
      <c r="J74" s="21" t="s">
        <v>3</v>
      </c>
      <c r="K74" t="s">
        <v>292</v>
      </c>
      <c r="L74" s="80"/>
      <c r="M74" s="81"/>
      <c r="N74" s="81"/>
      <c r="O74" s="265">
        <f>('Historical Data'!Q78/'Historical Data'!Q11)*365</f>
        <v>35.551436127649396</v>
      </c>
    </row>
    <row r="75" spans="3:15" x14ac:dyDescent="0.2">
      <c r="C75" s="24"/>
      <c r="D75" s="25"/>
      <c r="E75" s="25"/>
      <c r="F75" s="25"/>
      <c r="G75" s="25"/>
      <c r="H75" s="59"/>
      <c r="J75" s="60" t="s">
        <v>3</v>
      </c>
      <c r="K75" s="25" t="s">
        <v>293</v>
      </c>
      <c r="L75" s="82"/>
      <c r="M75" s="84"/>
      <c r="N75" s="84"/>
      <c r="O75" s="323">
        <f>('Historical Data'!Q79/'Historical Data'!Q8)*365</f>
        <v>0.78059723616219023</v>
      </c>
    </row>
    <row r="77" spans="3:15" ht="10" customHeight="1" x14ac:dyDescent="0.2"/>
    <row r="78" spans="3:15" x14ac:dyDescent="0.2">
      <c r="C78" s="28" t="s">
        <v>294</v>
      </c>
      <c r="D78" s="13"/>
      <c r="E78" s="13"/>
      <c r="F78" s="13"/>
      <c r="G78" s="13"/>
      <c r="H78" s="14"/>
      <c r="J78" s="28" t="s">
        <v>300</v>
      </c>
      <c r="K78" s="13"/>
      <c r="L78" s="13"/>
      <c r="M78" s="13"/>
      <c r="N78" s="13"/>
      <c r="O78" s="14"/>
    </row>
    <row r="79" spans="3:15" ht="3" customHeight="1" x14ac:dyDescent="0.2">
      <c r="C79" s="15"/>
      <c r="D79" s="7"/>
      <c r="E79" s="7"/>
      <c r="F79" s="7"/>
      <c r="G79" s="7"/>
      <c r="H79" s="16"/>
      <c r="J79" s="15"/>
      <c r="K79" s="7"/>
      <c r="L79" s="7"/>
      <c r="M79" s="7"/>
      <c r="N79" s="7"/>
      <c r="O79" s="16"/>
    </row>
    <row r="80" spans="3:15" ht="3" customHeight="1" x14ac:dyDescent="0.2">
      <c r="C80" s="17"/>
      <c r="D80" s="8"/>
      <c r="E80" s="8"/>
      <c r="F80" s="8"/>
      <c r="G80" s="8"/>
      <c r="H80" s="18"/>
      <c r="J80" s="17"/>
      <c r="K80" s="8"/>
      <c r="L80" s="8"/>
      <c r="M80" s="8"/>
      <c r="N80" s="8"/>
      <c r="O80" s="18"/>
    </row>
    <row r="81" spans="3:15" ht="3" customHeight="1" x14ac:dyDescent="0.2">
      <c r="C81" s="19"/>
      <c r="D81" s="9"/>
      <c r="E81" s="9"/>
      <c r="F81" s="9"/>
      <c r="G81" s="9"/>
      <c r="H81" s="20"/>
      <c r="J81" s="19"/>
      <c r="K81" s="9"/>
      <c r="L81" s="9"/>
      <c r="M81" s="9"/>
      <c r="N81" s="9"/>
      <c r="O81" s="20"/>
    </row>
    <row r="82" spans="3:15" x14ac:dyDescent="0.2">
      <c r="C82" s="21" t="s">
        <v>3</v>
      </c>
      <c r="D82" t="s">
        <v>295</v>
      </c>
      <c r="G82" s="10"/>
      <c r="H82" s="320">
        <v>45523</v>
      </c>
      <c r="J82" s="21" t="s">
        <v>3</v>
      </c>
      <c r="K82" t="s">
        <v>301</v>
      </c>
      <c r="N82" s="10"/>
      <c r="O82" s="320">
        <v>5827.15</v>
      </c>
    </row>
    <row r="83" spans="3:15" x14ac:dyDescent="0.2">
      <c r="C83" s="21" t="s">
        <v>3</v>
      </c>
      <c r="D83" t="s">
        <v>296</v>
      </c>
      <c r="E83" s="12"/>
      <c r="F83" s="12"/>
      <c r="G83" s="12"/>
      <c r="H83" s="320">
        <v>8033</v>
      </c>
      <c r="J83" s="21" t="s">
        <v>3</v>
      </c>
      <c r="K83" t="s">
        <v>302</v>
      </c>
      <c r="L83" s="12"/>
      <c r="M83" s="12"/>
      <c r="N83" s="12"/>
      <c r="O83" s="320">
        <v>811.39</v>
      </c>
    </row>
    <row r="84" spans="3:15" x14ac:dyDescent="0.2">
      <c r="C84" s="21" t="s">
        <v>3</v>
      </c>
      <c r="D84" t="s">
        <v>297</v>
      </c>
      <c r="E84" s="12"/>
      <c r="F84" s="12"/>
      <c r="G84" s="12"/>
      <c r="H84" s="320">
        <v>1114.75</v>
      </c>
      <c r="J84" s="21" t="s">
        <v>3</v>
      </c>
      <c r="K84" t="s">
        <v>303</v>
      </c>
      <c r="L84" s="12"/>
      <c r="M84" s="12"/>
      <c r="N84" s="12"/>
      <c r="O84" s="320">
        <v>1555.27</v>
      </c>
    </row>
    <row r="85" spans="3:15" x14ac:dyDescent="0.2">
      <c r="C85" s="21" t="s">
        <v>3</v>
      </c>
      <c r="D85" t="s">
        <v>298</v>
      </c>
      <c r="H85" s="320">
        <v>5000</v>
      </c>
      <c r="J85" s="21" t="s">
        <v>3</v>
      </c>
      <c r="K85" t="s">
        <v>304</v>
      </c>
      <c r="O85" s="324">
        <v>0.15</v>
      </c>
    </row>
    <row r="86" spans="3:15" x14ac:dyDescent="0.2">
      <c r="C86" s="295" t="s">
        <v>299</v>
      </c>
      <c r="H86" s="320"/>
      <c r="J86" s="21" t="s">
        <v>3</v>
      </c>
      <c r="K86" t="s">
        <v>305</v>
      </c>
      <c r="O86" s="320">
        <f>'Historical Data'!Q66-(Assumptions!O82/Assumptions!H45)</f>
        <v>46248.448239033707</v>
      </c>
    </row>
    <row r="87" spans="3:15" x14ac:dyDescent="0.2">
      <c r="C87" s="21" t="s">
        <v>3</v>
      </c>
      <c r="D87" s="86">
        <f>H8</f>
        <v>2027</v>
      </c>
      <c r="H87" s="320">
        <v>3665</v>
      </c>
      <c r="J87" s="21"/>
      <c r="K87" s="86"/>
      <c r="O87" s="320"/>
    </row>
    <row r="88" spans="3:15" x14ac:dyDescent="0.2">
      <c r="C88" s="21" t="s">
        <v>3</v>
      </c>
      <c r="D88" s="86">
        <f>D87+1</f>
        <v>2028</v>
      </c>
      <c r="H88" s="320">
        <v>4525</v>
      </c>
      <c r="J88" s="21"/>
      <c r="K88" s="86"/>
      <c r="O88" s="320"/>
    </row>
    <row r="89" spans="3:15" x14ac:dyDescent="0.2">
      <c r="C89" s="21" t="s">
        <v>3</v>
      </c>
      <c r="D89" s="86">
        <f>D88+1</f>
        <v>2029</v>
      </c>
      <c r="H89" s="320">
        <v>4425</v>
      </c>
      <c r="J89" s="21"/>
      <c r="K89" s="86"/>
      <c r="O89" s="320"/>
    </row>
    <row r="90" spans="3:15" x14ac:dyDescent="0.2">
      <c r="C90" s="21" t="s">
        <v>3</v>
      </c>
      <c r="D90" s="86">
        <f>D89+1</f>
        <v>2030</v>
      </c>
      <c r="H90" s="320">
        <v>4939</v>
      </c>
      <c r="J90" s="21"/>
      <c r="K90" s="86"/>
      <c r="O90" s="320"/>
    </row>
    <row r="91" spans="3:15" x14ac:dyDescent="0.2">
      <c r="C91" s="21" t="s">
        <v>3</v>
      </c>
      <c r="D91" s="86">
        <f>D90+1</f>
        <v>2031</v>
      </c>
      <c r="H91" s="320">
        <v>8489</v>
      </c>
      <c r="J91" s="21"/>
      <c r="K91" s="86"/>
      <c r="O91" s="320"/>
    </row>
    <row r="92" spans="3:15" x14ac:dyDescent="0.2">
      <c r="C92" s="60" t="s">
        <v>3</v>
      </c>
      <c r="D92" s="322">
        <f>D91+1</f>
        <v>2032</v>
      </c>
      <c r="E92" s="25"/>
      <c r="F92" s="25"/>
      <c r="G92" s="25"/>
      <c r="H92" s="321">
        <v>5336</v>
      </c>
      <c r="J92" s="60"/>
      <c r="K92" s="322"/>
      <c r="L92" s="25"/>
      <c r="M92" s="25"/>
      <c r="N92" s="25"/>
      <c r="O92" s="321"/>
    </row>
  </sheetData>
  <printOptions horizontalCentered="1" verticalCentered="1"/>
  <pageMargins left="0.25" right="0.25" top="0.25" bottom="0.25" header="0" footer="0"/>
  <pageSetup paperSize="9" scale="66" orientation="portrait" horizontalDpi="0" verticalDpi="0"/>
  <rowBreaks count="1" manualBreakCount="1">
    <brk id="92" max="1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1FCD6-FC2E-C14C-AE78-9CE073D19A84}">
  <sheetPr>
    <pageSetUpPr fitToPage="1"/>
  </sheetPr>
  <dimension ref="B1:N13"/>
  <sheetViews>
    <sheetView showGridLines="0" zoomScale="159" zoomScaleNormal="119" zoomScaleSheetLayoutView="114" workbookViewId="0">
      <selection activeCell="I18" sqref="I18"/>
    </sheetView>
  </sheetViews>
  <sheetFormatPr baseColWidth="10" defaultRowHeight="15" x14ac:dyDescent="0.2"/>
  <cols>
    <col min="1" max="1" width="3.83203125" customWidth="1"/>
    <col min="2" max="2" width="5.1640625" bestFit="1" customWidth="1"/>
    <col min="3" max="3" width="12.33203125" bestFit="1" customWidth="1"/>
    <col min="4" max="4" width="12.33203125" customWidth="1"/>
    <col min="5" max="5" width="9.1640625" bestFit="1" customWidth="1"/>
    <col min="6" max="6" width="14.6640625" bestFit="1" customWidth="1"/>
    <col min="7" max="7" width="11.6640625" bestFit="1" customWidth="1"/>
    <col min="8" max="9" width="11.6640625" customWidth="1"/>
    <col min="10" max="10" width="12.83203125" bestFit="1" customWidth="1"/>
    <col min="11" max="12" width="11.6640625" bestFit="1" customWidth="1"/>
    <col min="13" max="13" width="13.1640625" customWidth="1"/>
    <col min="14" max="14" width="13" bestFit="1" customWidth="1"/>
  </cols>
  <sheetData>
    <row r="1" spans="2:14" ht="20" x14ac:dyDescent="0.2">
      <c r="B1" s="243" t="str">
        <f>Cover!B11</f>
        <v>Adani Power</v>
      </c>
      <c r="C1" s="5"/>
      <c r="D1" s="5"/>
      <c r="E1" s="5"/>
      <c r="F1" s="212"/>
      <c r="G1" s="5"/>
      <c r="H1" s="5"/>
      <c r="I1" s="5"/>
      <c r="J1" s="5"/>
      <c r="K1" s="5"/>
      <c r="L1" s="5"/>
      <c r="M1" s="5"/>
      <c r="N1" s="5"/>
    </row>
    <row r="2" spans="2:14" ht="18" x14ac:dyDescent="0.2">
      <c r="B2" s="488" t="s">
        <v>567</v>
      </c>
      <c r="C2" s="489"/>
      <c r="D2" s="489"/>
      <c r="E2" s="489"/>
      <c r="F2" s="490"/>
      <c r="G2" s="489"/>
      <c r="H2" s="489"/>
      <c r="I2" s="489"/>
      <c r="J2" s="489"/>
      <c r="K2" s="489"/>
      <c r="L2" s="489"/>
      <c r="M2" s="489"/>
      <c r="N2" s="489"/>
    </row>
    <row r="3" spans="2:14" ht="3" customHeight="1" thickBot="1" x14ac:dyDescent="0.25">
      <c r="B3" s="216"/>
      <c r="C3" s="217"/>
      <c r="D3" s="217"/>
      <c r="E3" s="217"/>
      <c r="F3" s="218"/>
      <c r="G3" s="217"/>
      <c r="H3" s="217"/>
      <c r="I3" s="217"/>
      <c r="J3" s="217"/>
      <c r="K3" s="217"/>
      <c r="L3" s="217"/>
      <c r="M3" s="217"/>
      <c r="N3" s="217"/>
    </row>
    <row r="5" spans="2:14" x14ac:dyDescent="0.2">
      <c r="B5" s="581" t="s">
        <v>576</v>
      </c>
      <c r="C5" s="582" t="s">
        <v>568</v>
      </c>
      <c r="D5" s="582"/>
      <c r="E5" s="583" t="s">
        <v>578</v>
      </c>
      <c r="F5" s="583" t="s">
        <v>579</v>
      </c>
      <c r="G5" s="583" t="s">
        <v>469</v>
      </c>
      <c r="H5" s="583" t="s">
        <v>589</v>
      </c>
      <c r="I5" s="583" t="s">
        <v>572</v>
      </c>
      <c r="J5" s="583" t="s">
        <v>580</v>
      </c>
      <c r="K5" s="583" t="s">
        <v>581</v>
      </c>
      <c r="L5" s="583" t="s">
        <v>9</v>
      </c>
      <c r="M5" s="583" t="s">
        <v>19</v>
      </c>
      <c r="N5" s="584" t="s">
        <v>577</v>
      </c>
    </row>
    <row r="6" spans="2:14" x14ac:dyDescent="0.2">
      <c r="B6" s="585">
        <v>1</v>
      </c>
      <c r="C6" t="s">
        <v>513</v>
      </c>
      <c r="E6" s="288">
        <v>325.89999999999998</v>
      </c>
      <c r="F6" s="288">
        <v>969.67</v>
      </c>
      <c r="G6" s="288">
        <v>271004.58</v>
      </c>
      <c r="H6" s="288">
        <v>8003.78</v>
      </c>
      <c r="I6" s="279">
        <f>G6-H6</f>
        <v>263000.8</v>
      </c>
      <c r="J6" s="288">
        <v>316014.36</v>
      </c>
      <c r="K6" s="288">
        <v>579015.16</v>
      </c>
      <c r="L6" s="288">
        <v>191058.77</v>
      </c>
      <c r="M6" s="288">
        <v>60059.409999999996</v>
      </c>
      <c r="N6" s="586">
        <v>27762.97</v>
      </c>
    </row>
    <row r="7" spans="2:14" x14ac:dyDescent="0.2">
      <c r="B7" s="585">
        <f>B6+1</f>
        <v>2</v>
      </c>
      <c r="C7" t="s">
        <v>510</v>
      </c>
      <c r="E7" s="288">
        <v>366.05</v>
      </c>
      <c r="F7" s="288">
        <v>319.52999999999997</v>
      </c>
      <c r="G7" s="288">
        <v>76141.27</v>
      </c>
      <c r="H7" s="288">
        <v>13644</v>
      </c>
      <c r="I7" s="279">
        <f t="shared" ref="I7:I10" si="0">G7-H7</f>
        <v>62497.270000000004</v>
      </c>
      <c r="J7" s="288">
        <v>116965.4</v>
      </c>
      <c r="K7" s="288">
        <v>179462.67</v>
      </c>
      <c r="L7" s="288">
        <v>63444.78</v>
      </c>
      <c r="M7" s="288">
        <v>17228.43</v>
      </c>
      <c r="N7" s="586">
        <v>3915.45</v>
      </c>
    </row>
    <row r="8" spans="2:14" x14ac:dyDescent="0.2">
      <c r="B8" s="585">
        <f>B7+1</f>
        <v>3</v>
      </c>
      <c r="C8" t="s">
        <v>514</v>
      </c>
      <c r="E8" s="288">
        <v>514.20000000000005</v>
      </c>
      <c r="F8" s="288">
        <v>183.35</v>
      </c>
      <c r="G8" s="288">
        <v>76945.78</v>
      </c>
      <c r="H8" s="288">
        <v>5765.22</v>
      </c>
      <c r="I8" s="279">
        <f t="shared" si="0"/>
        <v>71180.56</v>
      </c>
      <c r="J8" s="288">
        <v>94277.69</v>
      </c>
      <c r="K8" s="288">
        <v>165458.25</v>
      </c>
      <c r="L8" s="288">
        <v>18964.89</v>
      </c>
      <c r="M8" s="288">
        <v>11097.94</v>
      </c>
      <c r="N8" s="586">
        <v>2006.08</v>
      </c>
    </row>
    <row r="9" spans="2:14" x14ac:dyDescent="0.2">
      <c r="B9" s="585">
        <f t="shared" ref="B9:B10" si="1">B8+1</f>
        <v>4</v>
      </c>
      <c r="C9" t="s">
        <v>511</v>
      </c>
      <c r="E9" s="288">
        <v>1250</v>
      </c>
      <c r="F9" s="288">
        <v>50.39</v>
      </c>
      <c r="G9" s="288">
        <v>13970.56</v>
      </c>
      <c r="H9" s="288">
        <v>831.43</v>
      </c>
      <c r="I9" s="279">
        <f t="shared" si="0"/>
        <v>13139.13</v>
      </c>
      <c r="J9" s="288">
        <v>62987.94</v>
      </c>
      <c r="K9" s="288">
        <v>76127.070000000007</v>
      </c>
      <c r="L9" s="288">
        <v>29184.09</v>
      </c>
      <c r="M9" s="288">
        <v>5894.85</v>
      </c>
      <c r="N9" s="586">
        <v>2323.84</v>
      </c>
    </row>
    <row r="10" spans="2:14" x14ac:dyDescent="0.2">
      <c r="B10" s="587">
        <f t="shared" si="1"/>
        <v>5</v>
      </c>
      <c r="C10" s="25" t="s">
        <v>512</v>
      </c>
      <c r="D10" s="25"/>
      <c r="E10" s="588">
        <v>141.75</v>
      </c>
      <c r="F10" s="588">
        <v>132.56</v>
      </c>
      <c r="G10" s="588">
        <v>21670.57</v>
      </c>
      <c r="H10" s="588">
        <v>5572.03</v>
      </c>
      <c r="I10" s="589">
        <f t="shared" si="0"/>
        <v>16098.54</v>
      </c>
      <c r="J10" s="588">
        <v>18789.96</v>
      </c>
      <c r="K10" s="588">
        <v>34888.5</v>
      </c>
      <c r="L10" s="588">
        <v>18853</v>
      </c>
      <c r="M10" s="588">
        <v>4676</v>
      </c>
      <c r="N10" s="590">
        <v>1554</v>
      </c>
    </row>
    <row r="12" spans="2:14" x14ac:dyDescent="0.2">
      <c r="K12" s="275"/>
    </row>
    <row r="13" spans="2:14" x14ac:dyDescent="0.2">
      <c r="K13" s="275"/>
    </row>
  </sheetData>
  <printOptions horizontalCentered="1" verticalCentered="1"/>
  <pageMargins left="0" right="0" top="0" bottom="0" header="0" footer="0"/>
  <pageSetup paperSize="9" scale="87"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2A46E-0BB8-ED4A-881B-CE55A6D8D682}">
  <sheetPr>
    <tabColor rgb="FF002060"/>
  </sheetPr>
  <dimension ref="A1"/>
  <sheetViews>
    <sheetView workbookViewId="0">
      <selection activeCell="G166" sqref="G166"/>
    </sheetView>
  </sheetViews>
  <sheetFormatPr baseColWidth="10" defaultRowHeight="15" x14ac:dyDescent="0.2"/>
  <sheetData/>
  <printOptions horizontalCentered="1" verticalCentered="1"/>
  <pageMargins left="0.7" right="0.7" top="0.75" bottom="0.75" header="0.3" footer="0.3"/>
  <pageSetup paperSize="9" scale="36" orientation="landscape" horizontalDpi="0" verticalDpi="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81884-219E-C649-BC83-32950E1476EE}">
  <sheetPr>
    <pageSetUpPr fitToPage="1"/>
  </sheetPr>
  <dimension ref="A1:N78"/>
  <sheetViews>
    <sheetView showGridLines="0" zoomScale="133" zoomScaleNormal="160" workbookViewId="0">
      <selection activeCell="G166" sqref="G166"/>
    </sheetView>
  </sheetViews>
  <sheetFormatPr baseColWidth="10" defaultRowHeight="15" x14ac:dyDescent="0.2"/>
  <cols>
    <col min="1" max="2" width="3.83203125" customWidth="1"/>
    <col min="3" max="3" width="12.83203125" customWidth="1"/>
  </cols>
  <sheetData>
    <row r="1" spans="1:13" ht="23" x14ac:dyDescent="0.25">
      <c r="A1" s="109"/>
      <c r="B1" s="110" t="str">
        <f>Cover!B11</f>
        <v>Adani Power</v>
      </c>
      <c r="C1" s="111"/>
      <c r="D1" s="111"/>
      <c r="E1" s="111"/>
      <c r="F1" s="111"/>
      <c r="G1" s="111"/>
      <c r="H1" s="111"/>
      <c r="I1" s="111"/>
      <c r="J1" s="111"/>
      <c r="K1" s="111"/>
      <c r="L1" s="5"/>
      <c r="M1" s="5"/>
    </row>
    <row r="2" spans="1:13" ht="19" thickBot="1" x14ac:dyDescent="0.25">
      <c r="A2" s="112"/>
      <c r="B2" s="486" t="s">
        <v>155</v>
      </c>
      <c r="C2" s="486"/>
      <c r="D2" s="486"/>
      <c r="E2" s="486"/>
      <c r="F2" s="486"/>
      <c r="G2" s="486"/>
      <c r="H2" s="486"/>
      <c r="I2" s="486"/>
      <c r="J2" s="486"/>
      <c r="K2" s="486"/>
      <c r="L2" s="487"/>
      <c r="M2" s="487"/>
    </row>
    <row r="3" spans="1:13" ht="16" thickTop="1" x14ac:dyDescent="0.2">
      <c r="A3" s="112"/>
      <c r="B3" s="112"/>
      <c r="C3" s="113"/>
      <c r="D3" s="114"/>
      <c r="E3" s="114"/>
      <c r="F3" s="113"/>
      <c r="G3" s="112"/>
      <c r="H3" s="112"/>
      <c r="I3" s="112"/>
      <c r="J3" s="112"/>
      <c r="K3" s="112"/>
    </row>
    <row r="4" spans="1:13" x14ac:dyDescent="0.2">
      <c r="A4" s="112"/>
      <c r="B4" s="115"/>
      <c r="C4" s="116"/>
      <c r="D4" s="117"/>
      <c r="E4" s="118"/>
      <c r="F4" s="112"/>
      <c r="G4" s="119"/>
      <c r="H4" s="119"/>
      <c r="I4" s="119"/>
      <c r="J4" s="119"/>
      <c r="K4" s="119"/>
    </row>
    <row r="5" spans="1:13" x14ac:dyDescent="0.2">
      <c r="A5" s="112"/>
      <c r="B5" s="120" t="s">
        <v>149</v>
      </c>
      <c r="C5" s="121"/>
      <c r="D5" s="209">
        <v>1</v>
      </c>
      <c r="E5" s="210"/>
      <c r="F5" s="121"/>
      <c r="G5" s="33">
        <f>Assumptions!H8</f>
        <v>2027</v>
      </c>
      <c r="H5" s="33">
        <f t="shared" ref="H5:M5" si="0">G5+1</f>
        <v>2028</v>
      </c>
      <c r="I5" s="33">
        <f t="shared" si="0"/>
        <v>2029</v>
      </c>
      <c r="J5" s="33">
        <f t="shared" si="0"/>
        <v>2030</v>
      </c>
      <c r="K5" s="33">
        <f t="shared" si="0"/>
        <v>2031</v>
      </c>
      <c r="L5" s="33">
        <f t="shared" si="0"/>
        <v>2032</v>
      </c>
      <c r="M5" s="33">
        <f t="shared" si="0"/>
        <v>2033</v>
      </c>
    </row>
    <row r="6" spans="1:13" x14ac:dyDescent="0.2">
      <c r="A6" s="112"/>
      <c r="B6" s="123"/>
      <c r="C6" s="124"/>
      <c r="D6" s="125"/>
      <c r="E6" s="126"/>
      <c r="F6" s="121"/>
      <c r="G6" s="127"/>
      <c r="H6" s="127"/>
      <c r="I6" s="128"/>
      <c r="J6" s="128"/>
      <c r="K6" s="127"/>
    </row>
    <row r="7" spans="1:13" x14ac:dyDescent="0.2">
      <c r="A7" s="112"/>
      <c r="B7" s="121"/>
      <c r="C7" s="121"/>
      <c r="D7" s="129"/>
      <c r="E7" s="129"/>
      <c r="F7" s="121"/>
      <c r="G7" s="127"/>
      <c r="H7" s="127"/>
      <c r="I7" s="128"/>
      <c r="J7" s="128"/>
      <c r="K7" s="127"/>
    </row>
    <row r="8" spans="1:13" x14ac:dyDescent="0.2">
      <c r="A8" s="112"/>
      <c r="B8" s="121"/>
      <c r="C8" s="121"/>
      <c r="D8" s="129"/>
      <c r="E8" s="129"/>
      <c r="F8" s="121"/>
      <c r="G8" s="127"/>
      <c r="H8" s="127"/>
      <c r="I8" s="128"/>
      <c r="J8" s="128"/>
      <c r="K8" s="127"/>
    </row>
    <row r="9" spans="1:13" ht="16" x14ac:dyDescent="0.2">
      <c r="A9" s="130"/>
      <c r="B9" s="131" t="s">
        <v>157</v>
      </c>
      <c r="C9" s="112"/>
      <c r="D9" s="132"/>
      <c r="E9" s="132"/>
      <c r="F9" s="112"/>
      <c r="G9" s="112" t="s">
        <v>151</v>
      </c>
      <c r="H9" s="112"/>
      <c r="I9" s="112"/>
      <c r="J9" s="112"/>
      <c r="K9" s="112"/>
    </row>
    <row r="10" spans="1:13" x14ac:dyDescent="0.2">
      <c r="A10" s="112"/>
      <c r="B10" s="112"/>
      <c r="C10" s="112"/>
      <c r="D10" s="132"/>
      <c r="E10" s="132"/>
      <c r="F10" s="112"/>
      <c r="G10" s="112"/>
      <c r="H10" s="112"/>
      <c r="I10" s="112"/>
      <c r="J10" s="112"/>
      <c r="K10" s="112"/>
    </row>
    <row r="11" spans="1:13" x14ac:dyDescent="0.2">
      <c r="A11" s="112"/>
      <c r="B11" s="2" t="s">
        <v>156</v>
      </c>
      <c r="C11" s="112"/>
      <c r="D11" s="134"/>
      <c r="E11" s="134"/>
      <c r="F11" s="112"/>
      <c r="G11" s="149" cm="1">
        <f t="array" ref="G11">INDEX(G13:G15,$D$5)</f>
        <v>2920</v>
      </c>
      <c r="H11" s="149" cm="1">
        <f t="array" ref="H11">INDEX(H13:H15,$D$5)</f>
        <v>2400</v>
      </c>
      <c r="I11" s="149" cm="1">
        <f t="array" ref="I11">INDEX(I13:I15,$D$5)</f>
        <v>2400</v>
      </c>
      <c r="J11" s="149" cm="1">
        <f t="array" ref="J11">INDEX(J13:J15,$D$5)</f>
        <v>8000</v>
      </c>
      <c r="K11" s="149" cm="1">
        <f t="array" ref="K11">INDEX(K13:K15,$D$5)</f>
        <v>5600</v>
      </c>
      <c r="L11" s="149" cm="1">
        <f t="array" ref="L11">INDEX(L13:L15,$D$5)</f>
        <v>2400</v>
      </c>
      <c r="M11" s="255">
        <v>0</v>
      </c>
    </row>
    <row r="12" spans="1:13" x14ac:dyDescent="0.2">
      <c r="A12" s="112"/>
      <c r="B12" s="135"/>
      <c r="C12" s="112"/>
      <c r="D12" s="134"/>
      <c r="E12" s="134"/>
      <c r="F12" s="112"/>
      <c r="G12" s="156"/>
      <c r="H12" s="157"/>
      <c r="I12" s="157"/>
      <c r="J12" s="157"/>
      <c r="K12" s="157"/>
      <c r="L12" s="158"/>
      <c r="M12" s="158"/>
    </row>
    <row r="13" spans="1:13" x14ac:dyDescent="0.2">
      <c r="A13" s="112"/>
      <c r="B13" s="135"/>
      <c r="C13" s="112" t="s">
        <v>159</v>
      </c>
      <c r="D13" s="134"/>
      <c r="E13" s="134"/>
      <c r="F13" s="112"/>
      <c r="G13" s="172">
        <f>Assumptions!E22</f>
        <v>2920</v>
      </c>
      <c r="H13" s="173">
        <f>Assumptions!E23</f>
        <v>2400</v>
      </c>
      <c r="I13" s="173">
        <f>Assumptions!E24</f>
        <v>2400</v>
      </c>
      <c r="J13" s="173">
        <f>Assumptions!E25</f>
        <v>8000</v>
      </c>
      <c r="K13" s="173">
        <f>Assumptions!E26</f>
        <v>5600</v>
      </c>
      <c r="L13" s="173">
        <f>Assumptions!E27</f>
        <v>2400</v>
      </c>
      <c r="M13" s="253">
        <v>0</v>
      </c>
    </row>
    <row r="14" spans="1:13" x14ac:dyDescent="0.2">
      <c r="A14" s="112"/>
      <c r="B14" s="135"/>
      <c r="C14" s="112" t="s">
        <v>153</v>
      </c>
      <c r="D14" s="134"/>
      <c r="E14" s="134"/>
      <c r="F14" s="112"/>
      <c r="G14" s="167">
        <v>2920</v>
      </c>
      <c r="H14" s="148">
        <v>2400</v>
      </c>
      <c r="I14" s="148">
        <v>2400</v>
      </c>
      <c r="J14" s="148">
        <v>8000</v>
      </c>
      <c r="K14" s="148">
        <v>5600</v>
      </c>
      <c r="L14" s="148">
        <v>2400</v>
      </c>
      <c r="M14" s="254">
        <v>0</v>
      </c>
    </row>
    <row r="15" spans="1:13" x14ac:dyDescent="0.2">
      <c r="A15" s="112"/>
      <c r="B15" s="135"/>
      <c r="C15" s="112" t="s">
        <v>154</v>
      </c>
      <c r="D15" s="134"/>
      <c r="E15" s="134"/>
      <c r="F15" s="112"/>
      <c r="G15" s="168">
        <v>1600</v>
      </c>
      <c r="H15" s="169">
        <v>3720</v>
      </c>
      <c r="I15" s="169">
        <v>2400</v>
      </c>
      <c r="J15" s="169">
        <v>4000</v>
      </c>
      <c r="K15" s="169">
        <v>5600</v>
      </c>
      <c r="L15" s="170">
        <v>4400</v>
      </c>
      <c r="M15" s="171">
        <v>2000</v>
      </c>
    </row>
    <row r="16" spans="1:13" x14ac:dyDescent="0.2">
      <c r="A16" s="112"/>
      <c r="B16" s="135" t="s">
        <v>152</v>
      </c>
      <c r="C16" s="112"/>
      <c r="D16" s="134"/>
      <c r="E16" s="134"/>
      <c r="F16" s="112"/>
      <c r="G16" s="154"/>
      <c r="H16" s="154"/>
      <c r="I16" s="154"/>
      <c r="J16" s="154"/>
      <c r="K16" s="154"/>
      <c r="L16" s="148"/>
      <c r="M16" s="148"/>
    </row>
    <row r="17" spans="1:13" x14ac:dyDescent="0.2">
      <c r="A17" s="112"/>
      <c r="B17" s="2" t="s">
        <v>158</v>
      </c>
      <c r="C17" s="112"/>
      <c r="D17" s="134"/>
      <c r="E17" s="134"/>
      <c r="F17" s="112"/>
      <c r="G17" s="176" cm="1">
        <f t="array" ref="G17">INDEX(G19:G21,$D$5)</f>
        <v>0.9</v>
      </c>
      <c r="H17" s="176" cm="1">
        <f t="array" ref="H17">INDEX(H19:H21,$D$5)</f>
        <v>0.9</v>
      </c>
      <c r="I17" s="176" cm="1">
        <f t="array" ref="I17">INDEX(I19:I21,$D$5)</f>
        <v>0.90500000000000003</v>
      </c>
      <c r="J17" s="176" cm="1">
        <f t="array" ref="J17">INDEX(J19:J21,$D$5)</f>
        <v>0.90500000000000003</v>
      </c>
      <c r="K17" s="176" cm="1">
        <f t="array" ref="K17">INDEX(K19:K21,$D$5)</f>
        <v>0.91</v>
      </c>
      <c r="L17" s="176" cm="1">
        <f t="array" ref="L17">INDEX(L19:L21,$D$5)</f>
        <v>0.91</v>
      </c>
      <c r="M17" s="155"/>
    </row>
    <row r="18" spans="1:13" x14ac:dyDescent="0.2">
      <c r="A18" s="112"/>
      <c r="B18" s="135"/>
      <c r="C18" s="112"/>
      <c r="D18" s="134"/>
      <c r="E18" s="134"/>
      <c r="F18" s="112"/>
      <c r="G18" s="156"/>
      <c r="H18" s="157"/>
      <c r="I18" s="157"/>
      <c r="J18" s="157"/>
      <c r="K18" s="157"/>
      <c r="L18" s="158"/>
    </row>
    <row r="19" spans="1:13" x14ac:dyDescent="0.2">
      <c r="A19" s="112"/>
      <c r="B19" s="135"/>
      <c r="C19" s="112" t="str">
        <f>C13</f>
        <v>Base Case</v>
      </c>
      <c r="D19" s="134"/>
      <c r="E19" s="134"/>
      <c r="F19" s="112"/>
      <c r="G19" s="175">
        <f>Assumptions!O21</f>
        <v>0.9</v>
      </c>
      <c r="H19" s="160">
        <v>0.9</v>
      </c>
      <c r="I19" s="160">
        <v>0.90500000000000003</v>
      </c>
      <c r="J19" s="160">
        <v>0.90500000000000003</v>
      </c>
      <c r="K19" s="160">
        <v>0.91</v>
      </c>
      <c r="L19" s="161">
        <v>0.91</v>
      </c>
      <c r="M19" s="148"/>
    </row>
    <row r="20" spans="1:13" x14ac:dyDescent="0.2">
      <c r="A20" s="112"/>
      <c r="B20" s="135"/>
      <c r="C20" s="112" t="str">
        <f>C14</f>
        <v>Best Case</v>
      </c>
      <c r="D20" s="134"/>
      <c r="E20" s="134"/>
      <c r="F20" s="112"/>
      <c r="G20" s="162">
        <v>0.91</v>
      </c>
      <c r="H20" s="159">
        <v>0.91500000000000004</v>
      </c>
      <c r="I20" s="159">
        <v>0.92</v>
      </c>
      <c r="J20" s="159">
        <v>0.92</v>
      </c>
      <c r="K20" s="159">
        <v>0.92500000000000004</v>
      </c>
      <c r="L20" s="163">
        <v>0.92500000000000004</v>
      </c>
      <c r="M20" s="148"/>
    </row>
    <row r="21" spans="1:13" x14ac:dyDescent="0.2">
      <c r="A21" s="112"/>
      <c r="B21" s="135"/>
      <c r="C21" s="112" t="str">
        <f>C15</f>
        <v>Worst Case</v>
      </c>
      <c r="D21" s="134"/>
      <c r="E21" s="134" t="s">
        <v>160</v>
      </c>
      <c r="F21" s="112"/>
      <c r="G21" s="164">
        <v>0.88</v>
      </c>
      <c r="H21" s="165">
        <v>0.875</v>
      </c>
      <c r="I21" s="165">
        <v>0.87</v>
      </c>
      <c r="J21" s="165">
        <v>0.87</v>
      </c>
      <c r="K21" s="165">
        <v>0.87</v>
      </c>
      <c r="L21" s="166">
        <v>0.87</v>
      </c>
      <c r="M21" s="148"/>
    </row>
    <row r="22" spans="1:13" x14ac:dyDescent="0.2">
      <c r="A22" s="112"/>
      <c r="B22" s="135"/>
      <c r="C22" s="112"/>
      <c r="D22" s="134"/>
      <c r="E22" s="134"/>
      <c r="F22" s="112"/>
      <c r="G22" s="159"/>
      <c r="H22" s="159"/>
      <c r="I22" s="159"/>
      <c r="J22" s="159"/>
      <c r="K22" s="159"/>
      <c r="L22" s="159"/>
      <c r="M22" s="148"/>
    </row>
    <row r="23" spans="1:13" x14ac:dyDescent="0.2">
      <c r="A23" s="112"/>
      <c r="B23" s="146"/>
      <c r="C23" s="150"/>
      <c r="D23" s="151"/>
      <c r="E23" s="151"/>
      <c r="F23" s="146"/>
      <c r="G23" s="152"/>
      <c r="H23" s="152"/>
      <c r="I23" s="152"/>
      <c r="J23" s="152"/>
      <c r="K23" s="153"/>
      <c r="L23" s="34"/>
      <c r="M23" s="34"/>
    </row>
    <row r="24" spans="1:13" x14ac:dyDescent="0.2">
      <c r="A24" s="112"/>
      <c r="B24" s="112"/>
      <c r="C24" s="112"/>
      <c r="D24" s="132"/>
      <c r="E24" s="132"/>
      <c r="F24" s="112"/>
      <c r="G24" s="112"/>
      <c r="H24" s="112"/>
      <c r="I24" s="112"/>
      <c r="J24" s="112"/>
      <c r="K24" s="112"/>
    </row>
    <row r="25" spans="1:13" x14ac:dyDescent="0.2">
      <c r="A25" s="112"/>
      <c r="B25" s="131" t="s">
        <v>161</v>
      </c>
      <c r="C25" s="112"/>
      <c r="D25" s="132"/>
      <c r="E25" s="132"/>
      <c r="F25" s="112"/>
      <c r="G25" s="112"/>
      <c r="H25" s="112"/>
      <c r="I25" s="112"/>
      <c r="J25" s="112"/>
      <c r="K25" s="112"/>
    </row>
    <row r="26" spans="1:13" x14ac:dyDescent="0.2">
      <c r="A26" s="112"/>
      <c r="B26" s="112"/>
      <c r="C26" s="112"/>
      <c r="D26" s="132"/>
      <c r="E26" s="132"/>
      <c r="F26" s="112"/>
      <c r="G26" s="112"/>
      <c r="H26" s="112"/>
      <c r="I26" s="112"/>
      <c r="J26" s="112"/>
      <c r="K26" s="112"/>
    </row>
    <row r="27" spans="1:13" x14ac:dyDescent="0.2">
      <c r="A27" s="140"/>
      <c r="B27" s="133" t="s">
        <v>162</v>
      </c>
      <c r="C27" s="140"/>
      <c r="D27" s="122"/>
      <c r="E27" s="122"/>
      <c r="F27" s="140"/>
      <c r="G27" s="177" cm="1">
        <f t="array" ref="G27">INDEX(G29:G31,$D$5)</f>
        <v>4.2</v>
      </c>
      <c r="H27" s="177" cm="1">
        <f t="array" ref="H27">INDEX(H29:H31,$D$5)</f>
        <v>4.2840000000000007</v>
      </c>
      <c r="I27" s="177" cm="1">
        <f t="array" ref="I27">INDEX(I29:I31,$D$5)</f>
        <v>4.3696800000000007</v>
      </c>
      <c r="J27" s="177" cm="1">
        <f t="array" ref="J27">INDEX(J29:J31,$D$5)</f>
        <v>4.4570736000000011</v>
      </c>
      <c r="K27" s="177" cm="1">
        <f t="array" ref="K27">INDEX(K29:K31,$D$5)</f>
        <v>4.5462150720000007</v>
      </c>
      <c r="L27" s="177" cm="1">
        <f t="array" ref="L27">INDEX(L29:L31,$D$5)</f>
        <v>4.637139373440001</v>
      </c>
    </row>
    <row r="28" spans="1:13" x14ac:dyDescent="0.2">
      <c r="A28" s="112"/>
      <c r="B28" s="141"/>
      <c r="C28" s="112"/>
      <c r="D28" s="134"/>
      <c r="E28" s="134"/>
      <c r="F28" s="112"/>
      <c r="G28" s="178"/>
      <c r="H28" s="178"/>
      <c r="I28" s="178"/>
      <c r="J28" s="178"/>
      <c r="K28" s="178"/>
      <c r="L28" s="158"/>
    </row>
    <row r="29" spans="1:13" x14ac:dyDescent="0.2">
      <c r="A29" s="112"/>
      <c r="B29" s="112"/>
      <c r="C29" s="138" t="str">
        <f>C19</f>
        <v>Base Case</v>
      </c>
      <c r="D29" s="139"/>
      <c r="E29" s="139"/>
      <c r="F29" s="112"/>
      <c r="G29" s="179">
        <f>Assumptions!O27</f>
        <v>4.2</v>
      </c>
      <c r="H29" s="366">
        <f>G29*(1+Assumptions!$O$28)</f>
        <v>4.2840000000000007</v>
      </c>
      <c r="I29" s="366">
        <f>H29*(1+Assumptions!$O$28)</f>
        <v>4.3696800000000007</v>
      </c>
      <c r="J29" s="366">
        <f>I29*(1+Assumptions!$O$28)</f>
        <v>4.4570736000000011</v>
      </c>
      <c r="K29" s="366">
        <f>J29*(1+Assumptions!$O$28)</f>
        <v>4.5462150720000007</v>
      </c>
      <c r="L29" s="367">
        <f>K29*(1+Assumptions!$O$28)</f>
        <v>4.637139373440001</v>
      </c>
    </row>
    <row r="30" spans="1:13" x14ac:dyDescent="0.2">
      <c r="A30" s="174">
        <v>7.0000000000000007E-2</v>
      </c>
      <c r="B30" s="112"/>
      <c r="C30" s="138" t="str">
        <f>C20</f>
        <v>Best Case</v>
      </c>
      <c r="D30" s="139"/>
      <c r="E30" s="139"/>
      <c r="F30" s="112"/>
      <c r="G30" s="181">
        <f t="shared" ref="G30:L30" si="1">G29*(1+$A30)</f>
        <v>4.4940000000000007</v>
      </c>
      <c r="H30" s="182">
        <f>H29*(1+$A30)</f>
        <v>4.5838800000000006</v>
      </c>
      <c r="I30" s="182">
        <f t="shared" si="1"/>
        <v>4.6755576000000012</v>
      </c>
      <c r="J30" s="182">
        <f t="shared" si="1"/>
        <v>4.7690687520000017</v>
      </c>
      <c r="K30" s="182">
        <f t="shared" si="1"/>
        <v>4.8644501270400013</v>
      </c>
      <c r="L30" s="183">
        <f t="shared" si="1"/>
        <v>4.9617391295808018</v>
      </c>
    </row>
    <row r="31" spans="1:13" x14ac:dyDescent="0.2">
      <c r="A31" s="142">
        <v>-7.0000000000000007E-2</v>
      </c>
      <c r="B31" s="112"/>
      <c r="C31" s="138" t="str">
        <f>C21</f>
        <v>Worst Case</v>
      </c>
      <c r="D31" s="139"/>
      <c r="E31" s="139"/>
      <c r="F31" s="112"/>
      <c r="G31" s="184">
        <f t="shared" ref="G31:L31" si="2">G29*($A$31+1)</f>
        <v>3.9059999999999997</v>
      </c>
      <c r="H31" s="185">
        <f t="shared" si="2"/>
        <v>3.9841200000000003</v>
      </c>
      <c r="I31" s="185">
        <f t="shared" si="2"/>
        <v>4.0638024000000001</v>
      </c>
      <c r="J31" s="185">
        <f t="shared" si="2"/>
        <v>4.1450784480000005</v>
      </c>
      <c r="K31" s="185">
        <f t="shared" si="2"/>
        <v>4.2279800169600001</v>
      </c>
      <c r="L31" s="186">
        <f t="shared" si="2"/>
        <v>4.3125396172992003</v>
      </c>
    </row>
    <row r="32" spans="1:13" x14ac:dyDescent="0.2">
      <c r="A32" s="112"/>
      <c r="B32" s="112"/>
      <c r="C32" s="143"/>
      <c r="D32" s="139"/>
      <c r="E32" s="139"/>
      <c r="F32" s="112"/>
      <c r="G32" s="144"/>
      <c r="H32" s="144"/>
      <c r="I32" s="144"/>
      <c r="J32" s="144"/>
      <c r="K32" s="145"/>
    </row>
    <row r="33" spans="1:13" x14ac:dyDescent="0.2">
      <c r="A33" s="112"/>
      <c r="B33" s="112"/>
      <c r="C33" s="143"/>
      <c r="D33" s="139"/>
      <c r="E33" s="139"/>
      <c r="F33" s="112"/>
      <c r="G33" s="144"/>
      <c r="H33" s="144"/>
      <c r="I33" s="144"/>
      <c r="J33" s="144"/>
      <c r="K33" s="145"/>
    </row>
    <row r="34" spans="1:13" x14ac:dyDescent="0.2">
      <c r="A34" s="112"/>
      <c r="B34" s="133" t="s">
        <v>163</v>
      </c>
      <c r="C34" s="112"/>
      <c r="D34" s="134"/>
      <c r="E34" s="134"/>
      <c r="F34" s="112"/>
      <c r="G34" s="187">
        <f t="shared" ref="G34:L34" ca="1" si="3">OFFSET(G35,$D$5,0)</f>
        <v>5.2</v>
      </c>
      <c r="H34" s="187">
        <f t="shared" ca="1" si="3"/>
        <v>5.15</v>
      </c>
      <c r="I34" s="187">
        <f t="shared" ca="1" si="3"/>
        <v>5.0999999999999996</v>
      </c>
      <c r="J34" s="187">
        <f t="shared" ca="1" si="3"/>
        <v>5.05</v>
      </c>
      <c r="K34" s="187">
        <f t="shared" ca="1" si="3"/>
        <v>5</v>
      </c>
      <c r="L34" s="187">
        <f t="shared" ca="1" si="3"/>
        <v>5</v>
      </c>
    </row>
    <row r="35" spans="1:13" x14ac:dyDescent="0.2">
      <c r="A35" s="112"/>
      <c r="B35" s="135"/>
      <c r="C35" s="112"/>
      <c r="D35" s="134"/>
      <c r="E35" s="134"/>
      <c r="F35" s="112"/>
      <c r="G35" s="156"/>
      <c r="H35" s="157"/>
      <c r="I35" s="157"/>
      <c r="J35" s="157"/>
      <c r="K35" s="157"/>
      <c r="L35" s="158"/>
    </row>
    <row r="36" spans="1:13" x14ac:dyDescent="0.2">
      <c r="A36" s="112"/>
      <c r="B36" s="135"/>
      <c r="C36" s="112" t="str">
        <f>C13</f>
        <v>Base Case</v>
      </c>
      <c r="D36" s="134"/>
      <c r="E36" s="134"/>
      <c r="F36" s="112"/>
      <c r="G36" s="179">
        <f>Assumptions!O29</f>
        <v>5.2</v>
      </c>
      <c r="H36" s="180">
        <v>5.15</v>
      </c>
      <c r="I36" s="188">
        <v>5.0999999999999996</v>
      </c>
      <c r="J36" s="188">
        <v>5.05</v>
      </c>
      <c r="K36" s="188">
        <v>5</v>
      </c>
      <c r="L36" s="189">
        <v>5</v>
      </c>
    </row>
    <row r="37" spans="1:13" x14ac:dyDescent="0.2">
      <c r="A37" s="112"/>
      <c r="B37" s="135"/>
      <c r="C37" s="112" t="str">
        <f>C14</f>
        <v>Best Case</v>
      </c>
      <c r="D37" s="134"/>
      <c r="E37" s="134"/>
      <c r="F37" s="112"/>
      <c r="G37" s="190">
        <v>6</v>
      </c>
      <c r="H37" s="191">
        <v>6</v>
      </c>
      <c r="I37" s="191">
        <v>5.9</v>
      </c>
      <c r="J37" s="191">
        <v>5.9</v>
      </c>
      <c r="K37" s="191">
        <v>5.8</v>
      </c>
      <c r="L37" s="192">
        <v>5.8</v>
      </c>
    </row>
    <row r="38" spans="1:13" x14ac:dyDescent="0.2">
      <c r="A38" s="112"/>
      <c r="B38" s="135"/>
      <c r="C38" s="112" t="str">
        <f>C15</f>
        <v>Worst Case</v>
      </c>
      <c r="D38" s="134"/>
      <c r="E38" s="134"/>
      <c r="F38" s="112"/>
      <c r="G38" s="193">
        <v>4.5</v>
      </c>
      <c r="H38" s="194">
        <v>4.4000000000000004</v>
      </c>
      <c r="I38" s="194">
        <v>4.3</v>
      </c>
      <c r="J38" s="194">
        <v>4.25</v>
      </c>
      <c r="K38" s="194">
        <v>4.2</v>
      </c>
      <c r="L38" s="195">
        <v>4.2</v>
      </c>
    </row>
    <row r="39" spans="1:13" x14ac:dyDescent="0.2">
      <c r="A39" s="112"/>
      <c r="B39" s="112"/>
      <c r="C39" s="143"/>
      <c r="D39" s="139"/>
      <c r="E39" s="139"/>
      <c r="F39" s="112"/>
      <c r="G39" s="144"/>
      <c r="H39" s="144"/>
      <c r="I39" s="144"/>
      <c r="J39" s="144"/>
      <c r="K39" s="145"/>
    </row>
    <row r="40" spans="1:13" x14ac:dyDescent="0.2">
      <c r="A40" s="112"/>
      <c r="B40" s="146"/>
      <c r="C40" s="146"/>
      <c r="D40" s="147"/>
      <c r="E40" s="147"/>
      <c r="F40" s="146"/>
      <c r="G40" s="146"/>
      <c r="H40" s="146"/>
      <c r="I40" s="146"/>
      <c r="J40" s="146"/>
      <c r="K40" s="146"/>
      <c r="L40" s="34"/>
      <c r="M40" s="34"/>
    </row>
    <row r="42" spans="1:13" x14ac:dyDescent="0.2">
      <c r="B42" s="131" t="s">
        <v>150</v>
      </c>
      <c r="C42" s="112"/>
      <c r="D42" s="132"/>
      <c r="E42" s="132"/>
      <c r="F42" s="112"/>
      <c r="G42" s="112"/>
      <c r="H42" s="112"/>
      <c r="I42" s="112"/>
      <c r="J42" s="112"/>
      <c r="K42" s="112"/>
    </row>
    <row r="43" spans="1:13" x14ac:dyDescent="0.2">
      <c r="B43" s="112"/>
      <c r="C43" s="112"/>
      <c r="D43" s="132"/>
      <c r="E43" s="132"/>
      <c r="F43" s="112"/>
      <c r="G43" s="112"/>
      <c r="H43" s="112"/>
      <c r="I43" s="112"/>
      <c r="J43" s="112"/>
      <c r="K43" s="112"/>
    </row>
    <row r="44" spans="1:13" x14ac:dyDescent="0.2">
      <c r="B44" s="133" t="s">
        <v>164</v>
      </c>
      <c r="C44" s="140"/>
      <c r="D44" s="122"/>
      <c r="E44" s="122"/>
      <c r="F44" s="140"/>
      <c r="G44" s="206" cm="1">
        <f t="array" ref="G44">INDEX(G46:G48,$D$5)</f>
        <v>8.5000000000000006E-2</v>
      </c>
      <c r="H44" s="206" cm="1">
        <f t="array" ref="H44">INDEX(H46:H48,$D$5)</f>
        <v>8.5000000000000006E-2</v>
      </c>
      <c r="I44" s="206" cm="1">
        <f t="array" ref="I44">INDEX(I46:I48,$D$5)</f>
        <v>8.5000000000000006E-2</v>
      </c>
      <c r="J44" s="206" cm="1">
        <f t="array" ref="J44">INDEX(J46:J48,$D$5)</f>
        <v>8.5000000000000006E-2</v>
      </c>
      <c r="K44" s="206" cm="1">
        <f t="array" ref="K44">INDEX(K46:K48,$D$5)</f>
        <v>8.5000000000000006E-2</v>
      </c>
      <c r="L44" s="206" cm="1">
        <f t="array" ref="L44">INDEX(L46:L48,$D$5)</f>
        <v>8.5000000000000006E-2</v>
      </c>
    </row>
    <row r="45" spans="1:13" x14ac:dyDescent="0.2">
      <c r="B45" s="141"/>
      <c r="C45" s="112"/>
      <c r="D45" s="134"/>
      <c r="E45" s="134"/>
      <c r="F45" s="112"/>
      <c r="G45" s="178"/>
      <c r="H45" s="178"/>
      <c r="I45" s="178"/>
      <c r="J45" s="178"/>
      <c r="K45" s="178"/>
      <c r="L45" s="158"/>
    </row>
    <row r="46" spans="1:13" x14ac:dyDescent="0.2">
      <c r="B46" s="112"/>
      <c r="C46" s="138" t="str">
        <f>C36</f>
        <v>Base Case</v>
      </c>
      <c r="D46" s="139"/>
      <c r="E46" s="139"/>
      <c r="F46" s="112"/>
      <c r="G46" s="196">
        <v>8.5000000000000006E-2</v>
      </c>
      <c r="H46" s="197">
        <v>8.5000000000000006E-2</v>
      </c>
      <c r="I46" s="197">
        <v>8.5000000000000006E-2</v>
      </c>
      <c r="J46" s="197">
        <v>8.5000000000000006E-2</v>
      </c>
      <c r="K46" s="197">
        <v>8.5000000000000006E-2</v>
      </c>
      <c r="L46" s="198">
        <v>8.5000000000000006E-2</v>
      </c>
    </row>
    <row r="47" spans="1:13" x14ac:dyDescent="0.2">
      <c r="B47" s="112"/>
      <c r="C47" s="138" t="str">
        <f>C37</f>
        <v>Best Case</v>
      </c>
      <c r="D47" s="139"/>
      <c r="E47" s="139"/>
      <c r="F47" s="112"/>
      <c r="G47" s="199">
        <v>8.2500000000000004E-2</v>
      </c>
      <c r="H47" s="200">
        <v>0.08</v>
      </c>
      <c r="I47" s="200">
        <v>0.08</v>
      </c>
      <c r="J47" s="200">
        <v>7.7499999999999999E-2</v>
      </c>
      <c r="K47" s="200">
        <v>7.7499999999999999E-2</v>
      </c>
      <c r="L47" s="201">
        <v>7.7499999999999999E-2</v>
      </c>
    </row>
    <row r="48" spans="1:13" x14ac:dyDescent="0.2">
      <c r="B48" s="112"/>
      <c r="C48" s="138" t="str">
        <f>C38</f>
        <v>Worst Case</v>
      </c>
      <c r="D48" s="139"/>
      <c r="E48" s="139"/>
      <c r="F48" s="112"/>
      <c r="G48" s="202">
        <v>0.09</v>
      </c>
      <c r="H48" s="203">
        <v>9.2499999999999999E-2</v>
      </c>
      <c r="I48" s="203">
        <v>9.5000000000000001E-2</v>
      </c>
      <c r="J48" s="203">
        <v>9.5000000000000001E-2</v>
      </c>
      <c r="K48" s="204">
        <v>9.7500000000000003E-2</v>
      </c>
      <c r="L48" s="205">
        <v>9.7500000000000003E-2</v>
      </c>
    </row>
    <row r="49" spans="2:13" x14ac:dyDescent="0.2">
      <c r="B49" s="112"/>
      <c r="C49" s="143"/>
      <c r="D49" s="139"/>
      <c r="E49" s="139"/>
      <c r="F49" s="112"/>
      <c r="G49" s="144"/>
      <c r="H49" s="144"/>
      <c r="I49" s="144"/>
      <c r="J49" s="144"/>
      <c r="K49" s="145"/>
    </row>
    <row r="50" spans="2:13" x14ac:dyDescent="0.2">
      <c r="B50" s="112"/>
      <c r="C50" s="143"/>
      <c r="D50" s="139"/>
      <c r="E50" s="139"/>
      <c r="F50" s="112"/>
      <c r="G50" s="144"/>
      <c r="H50" s="144"/>
      <c r="I50" s="144"/>
      <c r="J50" s="144"/>
      <c r="K50" s="145"/>
    </row>
    <row r="51" spans="2:13" x14ac:dyDescent="0.2">
      <c r="B51" s="133" t="s">
        <v>165</v>
      </c>
      <c r="C51" s="112"/>
      <c r="D51" s="134"/>
      <c r="E51" s="134"/>
      <c r="F51" s="112"/>
      <c r="G51" s="206">
        <f t="shared" ref="G51:L51" ca="1" si="4">OFFSET(G52,$D$5,0)</f>
        <v>0.05</v>
      </c>
      <c r="H51" s="206">
        <f t="shared" ca="1" si="4"/>
        <v>4.7500000000000001E-2</v>
      </c>
      <c r="I51" s="206">
        <f t="shared" ca="1" si="4"/>
        <v>4.7500000000000001E-2</v>
      </c>
      <c r="J51" s="206">
        <f t="shared" ca="1" si="4"/>
        <v>4.4999999999999998E-2</v>
      </c>
      <c r="K51" s="206">
        <f t="shared" ca="1" si="4"/>
        <v>4.4999999999999998E-2</v>
      </c>
      <c r="L51" s="206">
        <f t="shared" ca="1" si="4"/>
        <v>4.4999999999999998E-2</v>
      </c>
    </row>
    <row r="52" spans="2:13" x14ac:dyDescent="0.2">
      <c r="B52" s="135"/>
      <c r="C52" s="112"/>
      <c r="D52" s="134"/>
      <c r="E52" s="134"/>
      <c r="F52" s="112"/>
      <c r="G52" s="136"/>
      <c r="H52" s="137"/>
      <c r="I52" s="137"/>
      <c r="J52" s="137"/>
      <c r="K52" s="137"/>
    </row>
    <row r="53" spans="2:13" x14ac:dyDescent="0.2">
      <c r="B53" s="135"/>
      <c r="C53" s="112" t="str">
        <f>C46</f>
        <v>Base Case</v>
      </c>
      <c r="D53" s="134"/>
      <c r="E53" s="134"/>
      <c r="F53" s="112"/>
      <c r="G53" s="196">
        <v>0.05</v>
      </c>
      <c r="H53" s="197">
        <v>4.7500000000000001E-2</v>
      </c>
      <c r="I53" s="197">
        <v>4.7500000000000001E-2</v>
      </c>
      <c r="J53" s="197">
        <v>4.4999999999999998E-2</v>
      </c>
      <c r="K53" s="197">
        <v>4.4999999999999998E-2</v>
      </c>
      <c r="L53" s="198">
        <v>4.4999999999999998E-2</v>
      </c>
    </row>
    <row r="54" spans="2:13" x14ac:dyDescent="0.2">
      <c r="B54" s="135"/>
      <c r="C54" s="112" t="str">
        <f>C47</f>
        <v>Best Case</v>
      </c>
      <c r="D54" s="134"/>
      <c r="E54" s="134"/>
      <c r="F54" s="112"/>
      <c r="G54" s="199">
        <v>4.4999999999999998E-2</v>
      </c>
      <c r="H54" s="200">
        <v>4.2500000000000003E-2</v>
      </c>
      <c r="I54" s="200">
        <v>4.2500000000000003E-2</v>
      </c>
      <c r="J54" s="200">
        <v>0.04</v>
      </c>
      <c r="K54" s="200">
        <v>0.04</v>
      </c>
      <c r="L54" s="201">
        <v>0.04</v>
      </c>
    </row>
    <row r="55" spans="2:13" x14ac:dyDescent="0.2">
      <c r="B55" s="135"/>
      <c r="C55" s="112" t="str">
        <f>C48</f>
        <v>Worst Case</v>
      </c>
      <c r="D55" s="134"/>
      <c r="E55" s="134"/>
      <c r="F55" s="112"/>
      <c r="G55" s="202">
        <v>0.06</v>
      </c>
      <c r="H55" s="203">
        <v>5.7500000000000002E-2</v>
      </c>
      <c r="I55" s="203">
        <v>5.7500000000000002E-2</v>
      </c>
      <c r="J55" s="203">
        <v>5.5E-2</v>
      </c>
      <c r="K55" s="203">
        <v>5.5E-2</v>
      </c>
      <c r="L55" s="207">
        <v>5.5E-2</v>
      </c>
    </row>
    <row r="57" spans="2:13" x14ac:dyDescent="0.2">
      <c r="B57" s="34"/>
      <c r="C57" s="34"/>
      <c r="D57" s="34"/>
      <c r="E57" s="34"/>
      <c r="F57" s="34"/>
      <c r="G57" s="34"/>
      <c r="H57" s="34"/>
      <c r="I57" s="34"/>
      <c r="J57" s="34"/>
      <c r="K57" s="34"/>
      <c r="L57" s="34"/>
      <c r="M57" s="34"/>
    </row>
    <row r="59" spans="2:13" x14ac:dyDescent="0.2">
      <c r="B59" s="2" t="s">
        <v>598</v>
      </c>
    </row>
    <row r="61" spans="2:13" x14ac:dyDescent="0.2">
      <c r="B61" s="133" t="s">
        <v>597</v>
      </c>
      <c r="C61" s="140"/>
      <c r="D61" s="122"/>
      <c r="E61" s="122"/>
      <c r="F61" s="140"/>
      <c r="G61" s="206" cm="1">
        <f t="array" aca="1" ref="G61" ca="1">INDEX(G63:G65,$D$5)</f>
        <v>8.6480245157121313E-2</v>
      </c>
      <c r="H61" s="206" cm="1">
        <f t="array" aca="1" ref="H61" ca="1">INDEX(H63:H65,$D$5)</f>
        <v>8.8980245157121315E-2</v>
      </c>
      <c r="I61" s="206" cm="1">
        <f t="array" aca="1" ref="I61" ca="1">INDEX(I63:I65,$D$5)</f>
        <v>9.1480245157121318E-2</v>
      </c>
      <c r="J61" s="206" cm="1">
        <f t="array" aca="1" ref="J61" ca="1">INDEX(J63:J65,$D$5)</f>
        <v>9.398024515712132E-2</v>
      </c>
      <c r="K61" s="206" cm="1">
        <f t="array" aca="1" ref="K61" ca="1">INDEX(K63:K65,$D$5)</f>
        <v>9.6480245157121322E-2</v>
      </c>
      <c r="L61" s="564"/>
    </row>
    <row r="62" spans="2:13" x14ac:dyDescent="0.2">
      <c r="B62" s="141"/>
      <c r="C62" s="112"/>
      <c r="D62" s="134"/>
      <c r="E62" s="134"/>
      <c r="F62" s="112"/>
      <c r="G62" s="178"/>
      <c r="H62" s="178"/>
      <c r="I62" s="178"/>
      <c r="J62" s="178"/>
      <c r="K62" s="178"/>
      <c r="L62" s="158"/>
    </row>
    <row r="63" spans="2:13" x14ac:dyDescent="0.2">
      <c r="B63" s="112"/>
      <c r="C63" s="138" t="str">
        <f>C53</f>
        <v>Base Case</v>
      </c>
      <c r="D63" s="139"/>
      <c r="E63" s="139"/>
      <c r="F63" s="112"/>
      <c r="G63" s="196">
        <f t="shared" ref="G63:H65" ca="1" si="5">H63-0.25%</f>
        <v>8.6480245157121313E-2</v>
      </c>
      <c r="H63" s="197">
        <f t="shared" ca="1" si="5"/>
        <v>8.8980245157121315E-2</v>
      </c>
      <c r="I63" s="572">
        <f ca="1">WACC!G48</f>
        <v>9.1480245157121318E-2</v>
      </c>
      <c r="J63" s="197">
        <f t="shared" ref="J63:K65" ca="1" si="6">I63+0.25%</f>
        <v>9.398024515712132E-2</v>
      </c>
      <c r="K63" s="198">
        <f t="shared" ca="1" si="6"/>
        <v>9.6480245157121322E-2</v>
      </c>
      <c r="L63" s="200"/>
    </row>
    <row r="64" spans="2:13" x14ac:dyDescent="0.2">
      <c r="B64" s="112"/>
      <c r="C64" s="138" t="str">
        <f t="shared" ref="C64:C65" si="7">C54</f>
        <v>Best Case</v>
      </c>
      <c r="D64" s="139"/>
      <c r="E64" s="139"/>
      <c r="F64" s="112"/>
      <c r="G64" s="199">
        <f t="shared" ca="1" si="5"/>
        <v>7.6480245157121318E-2</v>
      </c>
      <c r="H64" s="200">
        <f t="shared" ca="1" si="5"/>
        <v>7.898024515712132E-2</v>
      </c>
      <c r="I64" s="200">
        <f ca="1">I63-1%</f>
        <v>8.1480245157121323E-2</v>
      </c>
      <c r="J64" s="200">
        <f t="shared" ca="1" si="6"/>
        <v>8.3980245157121325E-2</v>
      </c>
      <c r="K64" s="201">
        <f t="shared" ca="1" si="6"/>
        <v>8.6480245157121327E-2</v>
      </c>
      <c r="L64" s="200"/>
    </row>
    <row r="65" spans="2:14" x14ac:dyDescent="0.2">
      <c r="B65" s="112"/>
      <c r="C65" s="138" t="str">
        <f t="shared" si="7"/>
        <v>Worst Case</v>
      </c>
      <c r="D65" s="139"/>
      <c r="E65" s="139"/>
      <c r="F65" s="112"/>
      <c r="G65" s="202">
        <f t="shared" ca="1" si="5"/>
        <v>9.6480245157121308E-2</v>
      </c>
      <c r="H65" s="203">
        <f t="shared" ca="1" si="5"/>
        <v>9.898024515712131E-2</v>
      </c>
      <c r="I65" s="203">
        <f ca="1">I63+1%</f>
        <v>0.10148024515712131</v>
      </c>
      <c r="J65" s="203">
        <f t="shared" ca="1" si="6"/>
        <v>0.10398024515712131</v>
      </c>
      <c r="K65" s="207">
        <f t="shared" ca="1" si="6"/>
        <v>0.10648024515712132</v>
      </c>
      <c r="L65" s="565"/>
    </row>
    <row r="68" spans="2:14" x14ac:dyDescent="0.2">
      <c r="B68" s="133" t="s">
        <v>599</v>
      </c>
      <c r="C68" s="140"/>
      <c r="D68" s="122"/>
      <c r="E68" s="122"/>
      <c r="F68" s="140"/>
      <c r="G68" s="206" cm="1">
        <f t="array" ref="G68">INDEX(G70:G72,$D$5)</f>
        <v>0.04</v>
      </c>
      <c r="H68" s="206" cm="1">
        <f t="array" ref="H68">INDEX(H70:H72,$D$5)</f>
        <v>4.2500000000000003E-2</v>
      </c>
      <c r="I68" s="206" cm="1">
        <f t="array" ref="I68">INDEX(I70:I72,$D$5)</f>
        <v>4.4999999999999998E-2</v>
      </c>
      <c r="J68" s="206" cm="1">
        <f t="array" ref="J68">INDEX(J70:J72,$D$5)</f>
        <v>4.7500000000000001E-2</v>
      </c>
      <c r="K68" s="206" cm="1">
        <f t="array" ref="K68">INDEX(K70:K72,$D$5)</f>
        <v>0.05</v>
      </c>
      <c r="N68" s="566"/>
    </row>
    <row r="69" spans="2:14" x14ac:dyDescent="0.2">
      <c r="B69" s="141"/>
      <c r="C69" s="112"/>
      <c r="D69" s="134"/>
      <c r="E69" s="134"/>
      <c r="F69" s="112"/>
      <c r="G69" s="178"/>
      <c r="H69" s="178"/>
      <c r="I69" s="178"/>
      <c r="J69" s="178"/>
      <c r="K69" s="178"/>
      <c r="N69" s="566"/>
    </row>
    <row r="70" spans="2:14" x14ac:dyDescent="0.2">
      <c r="B70" s="112"/>
      <c r="C70" s="138" t="str">
        <f>C63</f>
        <v>Base Case</v>
      </c>
      <c r="D70" s="139"/>
      <c r="E70" s="139"/>
      <c r="F70" s="112"/>
      <c r="G70" s="196">
        <v>0.04</v>
      </c>
      <c r="H70" s="197">
        <v>4.2500000000000003E-2</v>
      </c>
      <c r="I70" s="197">
        <v>4.4999999999999998E-2</v>
      </c>
      <c r="J70" s="197">
        <v>4.7500000000000001E-2</v>
      </c>
      <c r="K70" s="198">
        <v>0.05</v>
      </c>
      <c r="N70" s="566"/>
    </row>
    <row r="71" spans="2:14" x14ac:dyDescent="0.2">
      <c r="B71" s="112"/>
      <c r="C71" s="138" t="str">
        <f t="shared" ref="C71:C72" si="8">C64</f>
        <v>Best Case</v>
      </c>
      <c r="D71" s="139"/>
      <c r="E71" s="139"/>
      <c r="F71" s="112"/>
      <c r="G71" s="199">
        <v>4.4999999999999998E-2</v>
      </c>
      <c r="H71" s="200">
        <v>4.7500000000000001E-2</v>
      </c>
      <c r="I71" s="200">
        <v>0.05</v>
      </c>
      <c r="J71" s="200">
        <v>5.2499999999999998E-2</v>
      </c>
      <c r="K71" s="201">
        <v>5.5E-2</v>
      </c>
      <c r="N71" s="566"/>
    </row>
    <row r="72" spans="2:14" x14ac:dyDescent="0.2">
      <c r="B72" s="112"/>
      <c r="C72" s="138" t="str">
        <f t="shared" si="8"/>
        <v>Worst Case</v>
      </c>
      <c r="D72" s="139"/>
      <c r="E72" s="139"/>
      <c r="F72" s="112"/>
      <c r="G72" s="202">
        <v>0.03</v>
      </c>
      <c r="H72" s="203">
        <v>3.2500000000000001E-2</v>
      </c>
      <c r="I72" s="203">
        <v>3.5000000000000003E-2</v>
      </c>
      <c r="J72" s="203">
        <v>3.7499999999999999E-2</v>
      </c>
      <c r="K72" s="567">
        <v>0.04</v>
      </c>
      <c r="M72" s="395"/>
      <c r="N72" s="566"/>
    </row>
    <row r="73" spans="2:14" x14ac:dyDescent="0.2">
      <c r="M73" s="395"/>
    </row>
    <row r="74" spans="2:14" x14ac:dyDescent="0.2">
      <c r="G74" s="395"/>
      <c r="M74" s="395"/>
    </row>
    <row r="75" spans="2:14" x14ac:dyDescent="0.2">
      <c r="G75" s="395"/>
      <c r="M75" s="395"/>
    </row>
    <row r="76" spans="2:14" x14ac:dyDescent="0.2">
      <c r="G76" s="395"/>
      <c r="M76" s="395"/>
    </row>
    <row r="77" spans="2:14" x14ac:dyDescent="0.2">
      <c r="G77" s="395"/>
    </row>
    <row r="78" spans="2:14" x14ac:dyDescent="0.2">
      <c r="G78" s="395"/>
    </row>
  </sheetData>
  <printOptions horizontalCentered="1" verticalCentered="1"/>
  <pageMargins left="0.25" right="0.25" top="0.25" bottom="0.25" header="0" footer="0"/>
  <pageSetup paperSize="9" scale="72"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anchor moveWithCells="1">
                  <from>
                    <xdr:col>3</xdr:col>
                    <xdr:colOff>12700</xdr:colOff>
                    <xdr:row>3</xdr:row>
                    <xdr:rowOff>177800</xdr:rowOff>
                  </from>
                  <to>
                    <xdr:col>4</xdr:col>
                    <xdr:colOff>304800</xdr:colOff>
                    <xdr:row>5</xdr:row>
                    <xdr:rowOff>38100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50092-6830-4A48-917C-8AEFBD572EF7}">
  <dimension ref="B1:R483"/>
  <sheetViews>
    <sheetView showGridLines="0" topLeftCell="A444" zoomScale="108" zoomScaleNormal="106" zoomScaleSheetLayoutView="68" workbookViewId="0">
      <selection activeCell="P285" sqref="P285"/>
    </sheetView>
  </sheetViews>
  <sheetFormatPr baseColWidth="10" defaultRowHeight="15" x14ac:dyDescent="0.2"/>
  <cols>
    <col min="1" max="2" width="3.83203125" customWidth="1"/>
    <col min="8" max="8" width="11.6640625" bestFit="1" customWidth="1"/>
    <col min="10" max="16" width="12.83203125" customWidth="1"/>
  </cols>
  <sheetData>
    <row r="1" spans="2:16" ht="15" customHeight="1" x14ac:dyDescent="0.25">
      <c r="B1" s="244"/>
      <c r="C1" s="211"/>
      <c r="D1" s="5"/>
      <c r="E1" s="5"/>
      <c r="F1" s="212"/>
      <c r="G1" s="5"/>
      <c r="H1" s="5"/>
      <c r="I1" s="5"/>
      <c r="J1" s="5"/>
      <c r="K1" s="5"/>
      <c r="L1" s="5"/>
      <c r="M1" s="5"/>
      <c r="N1" s="5"/>
      <c r="P1" s="213" t="str">
        <f>UPPER("CURRENTLY RUNNING: " &amp; CHOOSE(Scenarios!D5,Scenarios!C13,Scenarios!C14,Scenarios!C15) &amp; " Scenario")</f>
        <v>CURRENTLY RUNNING: BASE CASE SCENARIO</v>
      </c>
    </row>
    <row r="2" spans="2:16" ht="20" x14ac:dyDescent="0.2">
      <c r="B2" s="629" t="str">
        <f>Cover!B11</f>
        <v>Adani Power</v>
      </c>
      <c r="C2" s="630"/>
      <c r="D2" s="630"/>
      <c r="E2" s="630"/>
      <c r="F2" s="631"/>
      <c r="G2" s="630"/>
      <c r="H2" s="630"/>
      <c r="I2" s="630"/>
      <c r="J2" s="630"/>
      <c r="K2" s="630"/>
      <c r="L2" s="630"/>
      <c r="M2" s="630"/>
      <c r="N2" s="630"/>
      <c r="O2" s="630"/>
      <c r="P2" s="630"/>
    </row>
    <row r="3" spans="2:16" ht="18" x14ac:dyDescent="0.2">
      <c r="B3" s="632" t="s">
        <v>169</v>
      </c>
      <c r="C3" s="633"/>
      <c r="D3" s="633"/>
      <c r="E3" s="633"/>
      <c r="F3" s="634"/>
      <c r="G3" s="633"/>
      <c r="H3" s="633"/>
      <c r="I3" s="633"/>
      <c r="J3" s="633"/>
      <c r="K3" s="633"/>
      <c r="L3" s="633"/>
      <c r="M3" s="633"/>
      <c r="N3" s="633"/>
      <c r="O3" s="633"/>
      <c r="P3" s="635"/>
    </row>
    <row r="4" spans="2:16" ht="3" customHeight="1" thickBot="1" x14ac:dyDescent="0.25">
      <c r="B4" s="636"/>
      <c r="C4" s="637"/>
      <c r="D4" s="637"/>
      <c r="E4" s="637"/>
      <c r="F4" s="638"/>
      <c r="G4" s="637"/>
      <c r="H4" s="637"/>
      <c r="I4" s="637"/>
      <c r="J4" s="637"/>
      <c r="K4" s="637"/>
      <c r="L4" s="637"/>
      <c r="M4" s="637"/>
      <c r="N4" s="637"/>
      <c r="O4" s="637"/>
      <c r="P4" s="637"/>
    </row>
    <row r="5" spans="2:16" ht="18" x14ac:dyDescent="0.2">
      <c r="B5" s="39" t="s">
        <v>174</v>
      </c>
      <c r="C5" s="214"/>
      <c r="D5" s="214"/>
      <c r="E5" s="214"/>
      <c r="F5" s="215"/>
      <c r="G5" s="214"/>
      <c r="H5" s="214"/>
      <c r="I5" s="214"/>
      <c r="J5" s="214"/>
      <c r="K5" s="214"/>
      <c r="L5" s="214"/>
      <c r="M5" s="214"/>
      <c r="N5" s="214"/>
      <c r="O5" s="214"/>
    </row>
    <row r="6" spans="2:16" x14ac:dyDescent="0.2">
      <c r="F6" s="219"/>
      <c r="G6" s="220"/>
      <c r="K6" s="247" t="s">
        <v>167</v>
      </c>
      <c r="L6" s="248"/>
      <c r="M6" s="248"/>
      <c r="N6" s="248"/>
      <c r="O6" s="248"/>
      <c r="P6" s="249"/>
    </row>
    <row r="7" spans="2:16" x14ac:dyDescent="0.2">
      <c r="F7" s="219"/>
      <c r="G7" s="221"/>
      <c r="H7" s="245">
        <f>I7-1</f>
        <v>2024</v>
      </c>
      <c r="I7" s="245">
        <f>J7-1</f>
        <v>2025</v>
      </c>
      <c r="J7" s="245">
        <f>K7-1</f>
        <v>2026</v>
      </c>
      <c r="K7" s="246">
        <f>Assumptions!H8</f>
        <v>2027</v>
      </c>
      <c r="L7" s="246">
        <f>K7+1</f>
        <v>2028</v>
      </c>
      <c r="M7" s="246">
        <f>L7+1</f>
        <v>2029</v>
      </c>
      <c r="N7" s="246">
        <f>M7+1</f>
        <v>2030</v>
      </c>
      <c r="O7" s="246">
        <f>N7+1</f>
        <v>2031</v>
      </c>
      <c r="P7" s="246">
        <f>O7+1</f>
        <v>2032</v>
      </c>
    </row>
    <row r="8" spans="2:16" x14ac:dyDescent="0.2">
      <c r="B8" s="38" t="s">
        <v>170</v>
      </c>
      <c r="F8" s="223"/>
      <c r="H8" s="222"/>
      <c r="I8" s="222"/>
      <c r="J8" s="222"/>
      <c r="K8" s="224"/>
    </row>
    <row r="9" spans="2:16" x14ac:dyDescent="0.2">
      <c r="C9" s="43" t="s">
        <v>171</v>
      </c>
      <c r="F9" s="225" t="s">
        <v>174</v>
      </c>
      <c r="H9" s="226"/>
      <c r="I9" s="226"/>
      <c r="J9" s="256">
        <v>0</v>
      </c>
      <c r="K9" s="250">
        <f>Scenarios!G11</f>
        <v>2920</v>
      </c>
      <c r="L9" s="250">
        <f>Scenarios!H11</f>
        <v>2400</v>
      </c>
      <c r="M9" s="250">
        <f>Scenarios!I11</f>
        <v>2400</v>
      </c>
      <c r="N9" s="250">
        <f>Scenarios!J11</f>
        <v>8000</v>
      </c>
      <c r="O9" s="250">
        <f>Scenarios!K11</f>
        <v>5600</v>
      </c>
      <c r="P9" s="250">
        <f>Scenarios!L11</f>
        <v>2400</v>
      </c>
    </row>
    <row r="10" spans="2:16" x14ac:dyDescent="0.2">
      <c r="C10" t="s">
        <v>172</v>
      </c>
      <c r="F10" s="225" t="s">
        <v>174</v>
      </c>
      <c r="H10" s="228"/>
      <c r="I10" s="229"/>
      <c r="J10" s="252">
        <f>Assumptions!G21</f>
        <v>18150</v>
      </c>
      <c r="K10" s="251">
        <f t="shared" ref="K10:P10" si="0">J10+K9</f>
        <v>21070</v>
      </c>
      <c r="L10" s="251">
        <f t="shared" si="0"/>
        <v>23470</v>
      </c>
      <c r="M10" s="251">
        <f t="shared" si="0"/>
        <v>25870</v>
      </c>
      <c r="N10" s="251">
        <f t="shared" si="0"/>
        <v>33870</v>
      </c>
      <c r="O10" s="251">
        <f t="shared" si="0"/>
        <v>39470</v>
      </c>
      <c r="P10" s="251">
        <f t="shared" si="0"/>
        <v>41870</v>
      </c>
    </row>
    <row r="11" spans="2:16" x14ac:dyDescent="0.2">
      <c r="C11" s="12" t="s">
        <v>173</v>
      </c>
      <c r="F11" s="225" t="s">
        <v>174</v>
      </c>
      <c r="H11" s="230"/>
      <c r="I11" s="230"/>
      <c r="J11" s="286">
        <v>18000</v>
      </c>
      <c r="K11" s="258">
        <f t="shared" ref="K11:P11" si="1">J10+(K9/2)</f>
        <v>19610</v>
      </c>
      <c r="L11" s="258">
        <f t="shared" si="1"/>
        <v>22270</v>
      </c>
      <c r="M11" s="258">
        <f t="shared" si="1"/>
        <v>24670</v>
      </c>
      <c r="N11" s="258">
        <f t="shared" si="1"/>
        <v>29870</v>
      </c>
      <c r="O11" s="258">
        <f t="shared" si="1"/>
        <v>36670</v>
      </c>
      <c r="P11" s="258">
        <f t="shared" si="1"/>
        <v>40670</v>
      </c>
    </row>
    <row r="12" spans="2:16" ht="5" customHeight="1" x14ac:dyDescent="0.2">
      <c r="B12" s="232"/>
      <c r="C12" s="233"/>
      <c r="D12" s="232"/>
      <c r="E12" s="232"/>
      <c r="F12" s="234"/>
      <c r="G12" s="232"/>
      <c r="H12" s="235"/>
      <c r="I12" s="235"/>
      <c r="J12" s="235"/>
      <c r="K12" s="236"/>
      <c r="L12" s="236"/>
      <c r="M12" s="236"/>
      <c r="N12" s="236"/>
      <c r="O12" s="236"/>
      <c r="P12" s="232"/>
    </row>
    <row r="13" spans="2:16" x14ac:dyDescent="0.2">
      <c r="C13" s="38"/>
      <c r="F13" s="231"/>
      <c r="H13" s="237"/>
      <c r="I13" s="237"/>
      <c r="J13" s="237"/>
      <c r="K13" s="238"/>
      <c r="L13" s="238"/>
      <c r="M13" s="238"/>
      <c r="N13" s="238"/>
      <c r="O13" s="238"/>
    </row>
    <row r="14" spans="2:16" x14ac:dyDescent="0.2">
      <c r="B14" s="44" t="s">
        <v>175</v>
      </c>
      <c r="F14" s="223"/>
    </row>
    <row r="15" spans="2:16" x14ac:dyDescent="0.2">
      <c r="B15" s="44"/>
      <c r="C15" t="s">
        <v>176</v>
      </c>
      <c r="F15" s="223" t="s">
        <v>168</v>
      </c>
      <c r="H15" s="227"/>
      <c r="I15" s="227"/>
      <c r="J15" s="285">
        <v>0.89</v>
      </c>
      <c r="K15" s="262">
        <f>Scenarios!G17</f>
        <v>0.9</v>
      </c>
      <c r="L15" s="262">
        <f>Scenarios!H17</f>
        <v>0.9</v>
      </c>
      <c r="M15" s="262">
        <f>Scenarios!I17</f>
        <v>0.90500000000000003</v>
      </c>
      <c r="N15" s="262">
        <f>Scenarios!J17</f>
        <v>0.90500000000000003</v>
      </c>
      <c r="O15" s="262">
        <f>Scenarios!K17</f>
        <v>0.91</v>
      </c>
      <c r="P15" s="262">
        <f>Scenarios!L17</f>
        <v>0.91</v>
      </c>
    </row>
    <row r="16" spans="2:16" x14ac:dyDescent="0.2">
      <c r="B16" s="44"/>
      <c r="C16" t="s">
        <v>177</v>
      </c>
      <c r="F16" s="223" t="s">
        <v>168</v>
      </c>
      <c r="J16" s="285">
        <v>0.67</v>
      </c>
      <c r="K16" s="262">
        <f>Assumptions!$O$22</f>
        <v>0.68</v>
      </c>
      <c r="L16" s="262">
        <f>Assumptions!$O$22</f>
        <v>0.68</v>
      </c>
      <c r="M16" s="262">
        <f>Assumptions!$O$22</f>
        <v>0.68</v>
      </c>
      <c r="N16" s="262">
        <f>Assumptions!$O$22</f>
        <v>0.68</v>
      </c>
      <c r="O16" s="262">
        <f>Assumptions!$O$22</f>
        <v>0.68</v>
      </c>
      <c r="P16" s="262">
        <f>Assumptions!$O$22</f>
        <v>0.68</v>
      </c>
    </row>
    <row r="17" spans="2:16" x14ac:dyDescent="0.2">
      <c r="C17" t="s">
        <v>178</v>
      </c>
      <c r="F17" s="223" t="s">
        <v>168</v>
      </c>
      <c r="H17" s="228"/>
      <c r="I17" s="229"/>
      <c r="J17" s="262">
        <f>Assumptions!$O$23</f>
        <v>0.06</v>
      </c>
      <c r="K17" s="262">
        <f>Assumptions!$O$23</f>
        <v>0.06</v>
      </c>
      <c r="L17" s="262">
        <f>Assumptions!$O$23</f>
        <v>0.06</v>
      </c>
      <c r="M17" s="262">
        <f>Assumptions!$O$23</f>
        <v>0.06</v>
      </c>
      <c r="N17" s="262">
        <f>Assumptions!$O$23</f>
        <v>0.06</v>
      </c>
      <c r="O17" s="262">
        <f>Assumptions!$O$23</f>
        <v>0.06</v>
      </c>
      <c r="P17" s="262">
        <f>Assumptions!$O$23</f>
        <v>0.06</v>
      </c>
    </row>
    <row r="18" spans="2:16" x14ac:dyDescent="0.2">
      <c r="C18" s="259" t="s">
        <v>140</v>
      </c>
      <c r="F18" s="223" t="s">
        <v>168</v>
      </c>
      <c r="H18" s="240"/>
      <c r="I18" s="240"/>
      <c r="J18" s="285">
        <v>0.95</v>
      </c>
      <c r="K18" s="262">
        <f>Assumptions!$O$24</f>
        <v>0.96</v>
      </c>
      <c r="L18" s="262">
        <f>Assumptions!$O$24</f>
        <v>0.96</v>
      </c>
      <c r="M18" s="262">
        <f>Assumptions!$O$24</f>
        <v>0.96</v>
      </c>
      <c r="N18" s="262">
        <f>Assumptions!$O$24</f>
        <v>0.96</v>
      </c>
      <c r="O18" s="262">
        <f>Assumptions!$O$24</f>
        <v>0.96</v>
      </c>
      <c r="P18" s="262">
        <f>Assumptions!$O$24</f>
        <v>0.96</v>
      </c>
    </row>
    <row r="19" spans="2:16" ht="5" customHeight="1" x14ac:dyDescent="0.2">
      <c r="B19" s="232"/>
      <c r="C19" s="233"/>
      <c r="D19" s="232"/>
      <c r="E19" s="232"/>
      <c r="F19" s="234"/>
      <c r="G19" s="232"/>
      <c r="H19" s="235"/>
      <c r="I19" s="235"/>
      <c r="J19" s="235"/>
      <c r="K19" s="236"/>
      <c r="L19" s="236"/>
      <c r="M19" s="236"/>
      <c r="N19" s="236"/>
      <c r="O19" s="236"/>
      <c r="P19" s="232"/>
    </row>
    <row r="20" spans="2:16" x14ac:dyDescent="0.2">
      <c r="F20" s="223"/>
    </row>
    <row r="21" spans="2:16" x14ac:dyDescent="0.2">
      <c r="B21" s="42" t="s">
        <v>179</v>
      </c>
      <c r="F21" s="223"/>
    </row>
    <row r="22" spans="2:16" x14ac:dyDescent="0.2">
      <c r="C22" s="43" t="s">
        <v>180</v>
      </c>
      <c r="F22" s="223" t="s">
        <v>174</v>
      </c>
      <c r="H22" s="241"/>
      <c r="I22" s="241"/>
      <c r="J22" s="257">
        <v>0</v>
      </c>
      <c r="K22" s="273">
        <f>K9*Assumptions!$O$57</f>
        <v>1639.7301854974705</v>
      </c>
      <c r="L22" s="273">
        <f>L9*Assumptions!$O$57</f>
        <v>1347.7234401349074</v>
      </c>
      <c r="M22" s="273">
        <f>M9*Assumptions!$O$57</f>
        <v>1347.7234401349074</v>
      </c>
      <c r="N22" s="273">
        <f>N9*Assumptions!$O$57</f>
        <v>4492.4114671163579</v>
      </c>
      <c r="O22" s="273">
        <f>O9*Assumptions!$O$57</f>
        <v>3144.6880269814505</v>
      </c>
      <c r="P22" s="273">
        <f>P9*Assumptions!$O$57</f>
        <v>1347.7234401349074</v>
      </c>
    </row>
    <row r="23" spans="2:16" x14ac:dyDescent="0.2">
      <c r="C23" s="12" t="s">
        <v>181</v>
      </c>
      <c r="F23" s="223" t="s">
        <v>174</v>
      </c>
      <c r="H23" s="241"/>
      <c r="I23" s="241"/>
      <c r="J23" s="257">
        <v>0</v>
      </c>
      <c r="K23" s="260">
        <f t="shared" ref="K23:P23" si="2">K9-K22</f>
        <v>1280.2698145025295</v>
      </c>
      <c r="L23" s="260">
        <f t="shared" si="2"/>
        <v>1052.2765598650926</v>
      </c>
      <c r="M23" s="260">
        <f t="shared" si="2"/>
        <v>1052.2765598650926</v>
      </c>
      <c r="N23" s="260">
        <f t="shared" si="2"/>
        <v>3507.5885328836421</v>
      </c>
      <c r="O23" s="260">
        <f t="shared" si="2"/>
        <v>2455.3119730185495</v>
      </c>
      <c r="P23" s="260">
        <f t="shared" si="2"/>
        <v>1052.2765598650926</v>
      </c>
    </row>
    <row r="24" spans="2:16" ht="5" customHeight="1" x14ac:dyDescent="0.2">
      <c r="C24" s="12"/>
      <c r="F24" s="223"/>
      <c r="H24" s="241"/>
      <c r="I24" s="241"/>
      <c r="J24" s="257"/>
      <c r="K24" s="260"/>
      <c r="L24" s="260"/>
      <c r="M24" s="260"/>
      <c r="N24" s="260"/>
      <c r="O24" s="260"/>
      <c r="P24" s="260"/>
    </row>
    <row r="25" spans="2:16" x14ac:dyDescent="0.2">
      <c r="C25" s="259" t="s">
        <v>182</v>
      </c>
      <c r="F25" s="223" t="s">
        <v>174</v>
      </c>
      <c r="H25" s="242"/>
      <c r="I25" s="242"/>
      <c r="J25" s="252">
        <f>J10</f>
        <v>18150</v>
      </c>
      <c r="K25" s="260">
        <f t="shared" ref="K25:P25" si="3">J25</f>
        <v>18150</v>
      </c>
      <c r="L25" s="260">
        <f t="shared" si="3"/>
        <v>18150</v>
      </c>
      <c r="M25" s="260">
        <f t="shared" si="3"/>
        <v>18150</v>
      </c>
      <c r="N25" s="260">
        <f t="shared" si="3"/>
        <v>18150</v>
      </c>
      <c r="O25" s="260">
        <f t="shared" si="3"/>
        <v>18150</v>
      </c>
      <c r="P25" s="260">
        <f t="shared" si="3"/>
        <v>18150</v>
      </c>
    </row>
    <row r="26" spans="2:16" x14ac:dyDescent="0.2">
      <c r="C26" t="s">
        <v>183</v>
      </c>
      <c r="F26" s="223" t="s">
        <v>174</v>
      </c>
      <c r="J26" s="257">
        <v>0</v>
      </c>
      <c r="K26" s="260">
        <f t="shared" ref="K26:P27" si="4">J26+K22</f>
        <v>1639.7301854974705</v>
      </c>
      <c r="L26" s="260">
        <f t="shared" si="4"/>
        <v>2987.4536256323781</v>
      </c>
      <c r="M26" s="260">
        <f t="shared" si="4"/>
        <v>4335.177065767286</v>
      </c>
      <c r="N26" s="260">
        <f t="shared" si="4"/>
        <v>8827.5885328836448</v>
      </c>
      <c r="O26" s="260">
        <f t="shared" si="4"/>
        <v>11972.276559865095</v>
      </c>
      <c r="P26" s="260">
        <f t="shared" si="4"/>
        <v>13320.000000000002</v>
      </c>
    </row>
    <row r="27" spans="2:16" x14ac:dyDescent="0.2">
      <c r="C27" t="s">
        <v>184</v>
      </c>
      <c r="F27" s="223" t="s">
        <v>174</v>
      </c>
      <c r="J27" s="257">
        <v>0</v>
      </c>
      <c r="K27" s="260">
        <f t="shared" si="4"/>
        <v>1280.2698145025295</v>
      </c>
      <c r="L27" s="260">
        <f t="shared" si="4"/>
        <v>2332.5463743676219</v>
      </c>
      <c r="M27" s="260">
        <f t="shared" si="4"/>
        <v>3384.8229342327145</v>
      </c>
      <c r="N27" s="260">
        <f t="shared" si="4"/>
        <v>6892.411467116357</v>
      </c>
      <c r="O27" s="260">
        <f t="shared" si="4"/>
        <v>9347.7234401349069</v>
      </c>
      <c r="P27" s="260">
        <f t="shared" si="4"/>
        <v>10400</v>
      </c>
    </row>
    <row r="28" spans="2:16" ht="5" customHeight="1" x14ac:dyDescent="0.2">
      <c r="C28" s="12"/>
      <c r="F28" s="223"/>
      <c r="H28" s="241"/>
      <c r="I28" s="241"/>
      <c r="J28" s="257"/>
      <c r="K28" s="260"/>
      <c r="L28" s="260"/>
      <c r="M28" s="260"/>
      <c r="N28" s="260"/>
      <c r="O28" s="260"/>
      <c r="P28" s="260"/>
    </row>
    <row r="29" spans="2:16" x14ac:dyDescent="0.2">
      <c r="C29" t="s">
        <v>185</v>
      </c>
      <c r="F29" s="223" t="s">
        <v>174</v>
      </c>
      <c r="J29" s="252">
        <f>J11</f>
        <v>18000</v>
      </c>
      <c r="K29" s="260">
        <f t="shared" ref="K29:P29" si="5">K25</f>
        <v>18150</v>
      </c>
      <c r="L29" s="260">
        <f t="shared" si="5"/>
        <v>18150</v>
      </c>
      <c r="M29" s="260">
        <f t="shared" si="5"/>
        <v>18150</v>
      </c>
      <c r="N29" s="260">
        <f t="shared" si="5"/>
        <v>18150</v>
      </c>
      <c r="O29" s="260">
        <f t="shared" si="5"/>
        <v>18150</v>
      </c>
      <c r="P29" s="260">
        <f t="shared" si="5"/>
        <v>18150</v>
      </c>
    </row>
    <row r="30" spans="2:16" x14ac:dyDescent="0.2">
      <c r="C30" t="s">
        <v>186</v>
      </c>
      <c r="F30" s="223" t="s">
        <v>174</v>
      </c>
      <c r="J30" s="257">
        <v>0</v>
      </c>
      <c r="K30" s="260">
        <f t="shared" ref="K30:P31" si="6">J26+(K22/2)</f>
        <v>819.86509274873526</v>
      </c>
      <c r="L30" s="260">
        <f t="shared" si="6"/>
        <v>2313.5919055649242</v>
      </c>
      <c r="M30" s="260">
        <f t="shared" si="6"/>
        <v>3661.3153456998316</v>
      </c>
      <c r="N30" s="260">
        <f t="shared" si="6"/>
        <v>6581.3827993254654</v>
      </c>
      <c r="O30" s="260">
        <f t="shared" si="6"/>
        <v>10399.93254637437</v>
      </c>
      <c r="P30" s="260">
        <f t="shared" si="6"/>
        <v>12646.138279932549</v>
      </c>
    </row>
    <row r="31" spans="2:16" x14ac:dyDescent="0.2">
      <c r="C31" t="s">
        <v>187</v>
      </c>
      <c r="F31" s="223" t="s">
        <v>174</v>
      </c>
      <c r="J31" s="257">
        <v>0</v>
      </c>
      <c r="K31" s="260">
        <f t="shared" si="6"/>
        <v>640.13490725126474</v>
      </c>
      <c r="L31" s="260">
        <f t="shared" si="6"/>
        <v>1806.4080944350758</v>
      </c>
      <c r="M31" s="260">
        <f t="shared" si="6"/>
        <v>2858.6846543001684</v>
      </c>
      <c r="N31" s="260">
        <f t="shared" si="6"/>
        <v>5138.6172006745355</v>
      </c>
      <c r="O31" s="260">
        <f t="shared" si="6"/>
        <v>8120.067453625632</v>
      </c>
      <c r="P31" s="260">
        <f t="shared" si="6"/>
        <v>9873.8617200674526</v>
      </c>
    </row>
    <row r="33" spans="2:16" x14ac:dyDescent="0.2">
      <c r="C33" s="39" t="s">
        <v>188</v>
      </c>
      <c r="K33" s="274">
        <f t="shared" ref="K33:P33" si="7">ROUND(SUM(K29:K31) - K11, 1)</f>
        <v>0</v>
      </c>
      <c r="L33" s="274">
        <f t="shared" si="7"/>
        <v>0</v>
      </c>
      <c r="M33" s="274">
        <f t="shared" si="7"/>
        <v>0</v>
      </c>
      <c r="N33" s="274">
        <f t="shared" si="7"/>
        <v>0</v>
      </c>
      <c r="O33" s="274">
        <f t="shared" si="7"/>
        <v>0</v>
      </c>
      <c r="P33" s="274">
        <f t="shared" si="7"/>
        <v>0</v>
      </c>
    </row>
    <row r="35" spans="2:16" x14ac:dyDescent="0.2">
      <c r="B35" s="34"/>
      <c r="C35" s="34"/>
      <c r="D35" s="34"/>
      <c r="E35" s="34"/>
      <c r="F35" s="34"/>
      <c r="G35" s="34"/>
      <c r="H35" s="34"/>
      <c r="I35" s="34"/>
      <c r="J35" s="34"/>
      <c r="K35" s="34"/>
      <c r="L35" s="34"/>
      <c r="M35" s="34"/>
      <c r="N35" s="34"/>
      <c r="O35" s="34"/>
      <c r="P35" s="34"/>
    </row>
    <row r="36" spans="2:16" ht="15" customHeight="1" x14ac:dyDescent="0.2">
      <c r="P36" s="213" t="str">
        <f>P1</f>
        <v>CURRENTLY RUNNING: BASE CASE SCENARIO</v>
      </c>
    </row>
    <row r="37" spans="2:16" ht="20" customHeight="1" x14ac:dyDescent="0.2">
      <c r="B37" s="243" t="str">
        <f>B2</f>
        <v>Adani Power</v>
      </c>
      <c r="C37" s="5"/>
      <c r="D37" s="5"/>
      <c r="E37" s="5"/>
      <c r="F37" s="212"/>
      <c r="G37" s="5"/>
      <c r="H37" s="5"/>
      <c r="I37" s="5"/>
      <c r="J37" s="5"/>
      <c r="K37" s="5"/>
      <c r="L37" s="5"/>
      <c r="M37" s="5"/>
      <c r="N37" s="5"/>
      <c r="O37" s="5"/>
      <c r="P37" s="5"/>
    </row>
    <row r="38" spans="2:16" ht="18" x14ac:dyDescent="0.2">
      <c r="B38" s="488" t="s">
        <v>166</v>
      </c>
      <c r="C38" s="489"/>
      <c r="D38" s="489"/>
      <c r="E38" s="489"/>
      <c r="F38" s="490"/>
      <c r="G38" s="489"/>
      <c r="H38" s="489"/>
      <c r="I38" s="489"/>
      <c r="J38" s="489"/>
      <c r="K38" s="489"/>
      <c r="L38" s="489"/>
      <c r="M38" s="489"/>
      <c r="N38" s="489"/>
      <c r="O38" s="489"/>
      <c r="P38" s="491"/>
    </row>
    <row r="39" spans="2:16" ht="3" customHeight="1" thickBot="1" x14ac:dyDescent="0.25">
      <c r="B39" s="216"/>
      <c r="C39" s="217"/>
      <c r="D39" s="217"/>
      <c r="E39" s="217"/>
      <c r="F39" s="218"/>
      <c r="G39" s="217"/>
      <c r="H39" s="217"/>
      <c r="I39" s="217"/>
      <c r="J39" s="217"/>
      <c r="K39" s="217"/>
      <c r="L39" s="217"/>
      <c r="M39" s="217"/>
      <c r="N39" s="217"/>
      <c r="O39" s="217"/>
      <c r="P39" s="217"/>
    </row>
    <row r="40" spans="2:16" x14ac:dyDescent="0.2">
      <c r="B40" s="39" t="s">
        <v>7</v>
      </c>
    </row>
    <row r="41" spans="2:16" x14ac:dyDescent="0.2">
      <c r="K41" s="247" t="str">
        <f>K6</f>
        <v>Projected</v>
      </c>
      <c r="L41" s="249"/>
      <c r="M41" s="249"/>
      <c r="N41" s="249"/>
      <c r="O41" s="249"/>
      <c r="P41" s="249"/>
    </row>
    <row r="42" spans="2:16" x14ac:dyDescent="0.2">
      <c r="H42" s="245">
        <f>H7</f>
        <v>2024</v>
      </c>
      <c r="I42" s="245">
        <f>I7</f>
        <v>2025</v>
      </c>
      <c r="J42" s="245">
        <f>J7</f>
        <v>2026</v>
      </c>
      <c r="K42" s="246">
        <f>K7</f>
        <v>2027</v>
      </c>
      <c r="L42" s="246">
        <f>L7</f>
        <v>2028</v>
      </c>
      <c r="M42" s="246">
        <f>M7</f>
        <v>2029</v>
      </c>
      <c r="N42" s="246">
        <f>N7</f>
        <v>2030</v>
      </c>
      <c r="O42" s="246">
        <f>O7</f>
        <v>2031</v>
      </c>
      <c r="P42" s="246">
        <f>P7</f>
        <v>2032</v>
      </c>
    </row>
    <row r="43" spans="2:16" x14ac:dyDescent="0.2">
      <c r="B43" s="2" t="s">
        <v>205</v>
      </c>
    </row>
    <row r="44" spans="2:16" x14ac:dyDescent="0.2">
      <c r="C44" t="s">
        <v>195</v>
      </c>
      <c r="F44" s="223" t="s">
        <v>202</v>
      </c>
      <c r="J44" s="36">
        <f>(J29*Assumptions!$O$58*Model!J16)/10000</f>
        <v>10564.56</v>
      </c>
      <c r="K44" s="36">
        <f>(K29*Assumptions!$O$58*Model!K16)/10000</f>
        <v>10811.592000000002</v>
      </c>
      <c r="L44" s="36">
        <f>(L29*Assumptions!$O$58*Model!L16)/10000</f>
        <v>10811.592000000002</v>
      </c>
      <c r="M44" s="36">
        <f>(M29*Assumptions!$O$58*Model!M16)/10000</f>
        <v>10811.592000000002</v>
      </c>
      <c r="N44" s="36">
        <f>(N29*Assumptions!$O$58*Model!N16)/10000</f>
        <v>10811.592000000002</v>
      </c>
      <c r="O44" s="36">
        <f>(O29*Assumptions!$O$58*Model!O16)/10000</f>
        <v>10811.592000000002</v>
      </c>
      <c r="P44" s="36">
        <f>(P29*Assumptions!$O$58*Model!P16)/10000</f>
        <v>10811.592000000002</v>
      </c>
    </row>
    <row r="45" spans="2:16" x14ac:dyDescent="0.2">
      <c r="C45" t="s">
        <v>203</v>
      </c>
      <c r="F45" s="223" t="s">
        <v>202</v>
      </c>
      <c r="J45" s="36">
        <f>-J44*J17</f>
        <v>-633.8735999999999</v>
      </c>
      <c r="K45" s="36">
        <f t="shared" ref="K45:P45" si="8">-K44*K17</f>
        <v>-648.6955200000001</v>
      </c>
      <c r="L45" s="36">
        <f t="shared" si="8"/>
        <v>-648.6955200000001</v>
      </c>
      <c r="M45" s="36">
        <f t="shared" si="8"/>
        <v>-648.6955200000001</v>
      </c>
      <c r="N45" s="36">
        <f t="shared" si="8"/>
        <v>-648.6955200000001</v>
      </c>
      <c r="O45" s="36">
        <f t="shared" si="8"/>
        <v>-648.6955200000001</v>
      </c>
      <c r="P45" s="36">
        <f t="shared" si="8"/>
        <v>-648.6955200000001</v>
      </c>
    </row>
    <row r="46" spans="2:16" x14ac:dyDescent="0.2">
      <c r="C46" s="2" t="s">
        <v>196</v>
      </c>
      <c r="D46" s="2"/>
      <c r="E46" s="2"/>
      <c r="F46" s="239" t="s">
        <v>202</v>
      </c>
      <c r="G46" s="2"/>
      <c r="H46" s="2"/>
      <c r="I46" s="2"/>
      <c r="J46" s="276">
        <f>J44+J45</f>
        <v>9930.6863999999987</v>
      </c>
      <c r="K46" s="276">
        <f t="shared" ref="K46:P46" si="9">K44+K45</f>
        <v>10162.896480000003</v>
      </c>
      <c r="L46" s="276">
        <f t="shared" si="9"/>
        <v>10162.896480000003</v>
      </c>
      <c r="M46" s="276">
        <f>M44+M45</f>
        <v>10162.896480000003</v>
      </c>
      <c r="N46" s="276">
        <f t="shared" si="9"/>
        <v>10162.896480000003</v>
      </c>
      <c r="O46" s="276">
        <f t="shared" si="9"/>
        <v>10162.896480000003</v>
      </c>
      <c r="P46" s="276">
        <f t="shared" si="9"/>
        <v>10162.896480000003</v>
      </c>
    </row>
    <row r="47" spans="2:16" x14ac:dyDescent="0.2">
      <c r="C47" s="2"/>
      <c r="D47" s="2"/>
      <c r="E47" s="2"/>
      <c r="F47" s="239"/>
      <c r="G47" s="2"/>
      <c r="H47" s="2"/>
      <c r="I47" s="2"/>
      <c r="J47" s="45"/>
      <c r="K47" s="45"/>
      <c r="L47" s="45"/>
      <c r="M47" s="45"/>
      <c r="N47" s="45"/>
      <c r="O47" s="45"/>
      <c r="P47" s="45"/>
    </row>
    <row r="48" spans="2:16" x14ac:dyDescent="0.2">
      <c r="C48" t="s">
        <v>197</v>
      </c>
      <c r="F48" s="223" t="s">
        <v>202</v>
      </c>
      <c r="J48" s="36">
        <f t="shared" ref="J48:P48" si="10">J46*J18</f>
        <v>9434.152079999998</v>
      </c>
      <c r="K48" s="36">
        <f t="shared" si="10"/>
        <v>9756.3806208000024</v>
      </c>
      <c r="L48" s="36">
        <f t="shared" si="10"/>
        <v>9756.3806208000024</v>
      </c>
      <c r="M48" s="36">
        <f t="shared" si="10"/>
        <v>9756.3806208000024</v>
      </c>
      <c r="N48" s="36">
        <f t="shared" si="10"/>
        <v>9756.3806208000024</v>
      </c>
      <c r="O48" s="36">
        <f t="shared" si="10"/>
        <v>9756.3806208000024</v>
      </c>
      <c r="P48" s="36">
        <f t="shared" si="10"/>
        <v>9756.3806208000024</v>
      </c>
    </row>
    <row r="49" spans="2:16" x14ac:dyDescent="0.2">
      <c r="C49" t="s">
        <v>198</v>
      </c>
      <c r="F49" s="223" t="s">
        <v>202</v>
      </c>
      <c r="J49" s="36">
        <f>J46-J48</f>
        <v>496.53432000000066</v>
      </c>
      <c r="K49" s="36">
        <f t="shared" ref="K49:P49" si="11">K46-K48</f>
        <v>406.5158592000007</v>
      </c>
      <c r="L49" s="36">
        <f t="shared" si="11"/>
        <v>406.5158592000007</v>
      </c>
      <c r="M49" s="36">
        <f t="shared" si="11"/>
        <v>406.5158592000007</v>
      </c>
      <c r="N49" s="36">
        <f t="shared" si="11"/>
        <v>406.5158592000007</v>
      </c>
      <c r="O49" s="36">
        <f t="shared" si="11"/>
        <v>406.5158592000007</v>
      </c>
      <c r="P49" s="36">
        <f t="shared" si="11"/>
        <v>406.5158592000007</v>
      </c>
    </row>
    <row r="50" spans="2:16" x14ac:dyDescent="0.2">
      <c r="F50" s="223"/>
      <c r="J50" s="36"/>
      <c r="K50" s="36"/>
      <c r="L50" s="36"/>
      <c r="M50" s="36"/>
      <c r="N50" s="36"/>
      <c r="O50" s="36"/>
      <c r="P50" s="36"/>
    </row>
    <row r="51" spans="2:16" x14ac:dyDescent="0.2">
      <c r="C51" t="s">
        <v>199</v>
      </c>
      <c r="F51" s="223" t="s">
        <v>202</v>
      </c>
      <c r="J51" s="261">
        <f>(J30*Assumptions!$O$58*Assumptions!$O$59)/10000</f>
        <v>0</v>
      </c>
      <c r="K51" s="261">
        <f>(K30*Assumptions!$O$58*Assumptions!$O$59)/10000</f>
        <v>610.47154806070819</v>
      </c>
      <c r="L51" s="261">
        <f>(L30*Assumptions!$O$58*Assumptions!$O$59)/10000</f>
        <v>1722.7005328836426</v>
      </c>
      <c r="M51" s="261">
        <f>(M30*Assumptions!$O$58*Assumptions!$O$59)/10000</f>
        <v>2726.2154064080946</v>
      </c>
      <c r="N51" s="261">
        <f>(N30*Assumptions!$O$58*Assumptions!$O$59)/10000</f>
        <v>4900.4976323777419</v>
      </c>
      <c r="O51" s="261">
        <f>(O30*Assumptions!$O$58*Assumptions!$O$59)/10000</f>
        <v>7743.7897740303561</v>
      </c>
      <c r="P51" s="261">
        <f>(P30*Assumptions!$O$58*Assumptions!$O$59)/10000</f>
        <v>9416.3145632377764</v>
      </c>
    </row>
    <row r="52" spans="2:16" x14ac:dyDescent="0.2">
      <c r="C52" t="s">
        <v>200</v>
      </c>
      <c r="F52" s="223" t="s">
        <v>202</v>
      </c>
      <c r="J52" s="261">
        <f>(J31*Assumptions!$O$58*Assumptions!$O$59)/10000</f>
        <v>0</v>
      </c>
      <c r="K52" s="261">
        <f>(K31*Assumptions!$O$58*Assumptions!$O$59)/10000</f>
        <v>476.64445193929168</v>
      </c>
      <c r="L52" s="261">
        <f>(L31*Assumptions!$O$58*Assumptions!$O$59)/10000</f>
        <v>1345.0514671163573</v>
      </c>
      <c r="M52" s="261">
        <f>(M31*Assumptions!$O$58*Assumptions!$O$59)/10000</f>
        <v>2128.5765935919053</v>
      </c>
      <c r="N52" s="261">
        <f>(N31*Assumptions!$O$58*Assumptions!$O$59)/10000</f>
        <v>3826.214367622259</v>
      </c>
      <c r="O52" s="261">
        <f>(O31*Assumptions!$O$58*Assumptions!$O$59)/10000</f>
        <v>6046.202225969645</v>
      </c>
      <c r="P52" s="261">
        <f>(P31*Assumptions!$O$58*Assumptions!$O$59)/10000</f>
        <v>7352.0774367622253</v>
      </c>
    </row>
    <row r="53" spans="2:16" x14ac:dyDescent="0.2">
      <c r="C53" s="2" t="s">
        <v>201</v>
      </c>
      <c r="D53" s="2"/>
      <c r="E53" s="2"/>
      <c r="F53" s="239" t="s">
        <v>202</v>
      </c>
      <c r="J53" s="276">
        <f>((J30+J31)*Assumptions!$O$58*Model!J16*(1-Model!J17))/10000</f>
        <v>0</v>
      </c>
      <c r="K53" s="276">
        <f>(K30+K31)*Assumptions!$O$58*Model!K16*(1-Model!K17)/10000</f>
        <v>817.51123199999995</v>
      </c>
      <c r="L53" s="276">
        <f>(L30+L31)*Assumptions!$O$58*Model!L16*(1-Model!L17)/10000</f>
        <v>2306.9495039999997</v>
      </c>
      <c r="M53" s="276">
        <f>(M30+M31)*Assumptions!$O$58*Model!M16*(1-Model!M17)/10000</f>
        <v>3650.8035839999998</v>
      </c>
      <c r="N53" s="276">
        <f>(N30+N31)*Assumptions!$O$58*Model!N16*(1-Model!N17)/10000</f>
        <v>6562.487423999999</v>
      </c>
      <c r="O53" s="276">
        <f>(O30+O31)*Assumptions!$O$58*Model!O16*(1-Model!O17)/10000</f>
        <v>10370.073984000001</v>
      </c>
      <c r="P53" s="276">
        <f>(P30+P31)*Assumptions!$O$58*Model!P16*(1-Model!P17)/10000</f>
        <v>12609.830784</v>
      </c>
    </row>
    <row r="55" spans="2:16" x14ac:dyDescent="0.2">
      <c r="B55" s="2" t="s">
        <v>206</v>
      </c>
    </row>
    <row r="56" spans="2:16" x14ac:dyDescent="0.2">
      <c r="C56" t="s">
        <v>141</v>
      </c>
      <c r="F56" s="223" t="s">
        <v>213</v>
      </c>
      <c r="J56" s="280">
        <f>Assumptions!$O$25</f>
        <v>2.6</v>
      </c>
      <c r="K56" s="280">
        <f>Assumptions!$O$25</f>
        <v>2.6</v>
      </c>
      <c r="L56" s="280">
        <f>Assumptions!$O$25</f>
        <v>2.6</v>
      </c>
      <c r="M56" s="280">
        <f>Assumptions!$O$25</f>
        <v>2.6</v>
      </c>
      <c r="N56" s="280">
        <f>Assumptions!$O$25</f>
        <v>2.6</v>
      </c>
      <c r="O56" s="280">
        <f>Assumptions!$O$25</f>
        <v>2.6</v>
      </c>
      <c r="P56" s="280">
        <f>Assumptions!$O$25</f>
        <v>2.6</v>
      </c>
    </row>
    <row r="57" spans="2:16" x14ac:dyDescent="0.2">
      <c r="C57" t="s">
        <v>207</v>
      </c>
      <c r="F57" s="223" t="s">
        <v>213</v>
      </c>
      <c r="J57" s="279">
        <f>'Historical Data'!Q11/Model!J46</f>
        <v>2.9371605169205628</v>
      </c>
      <c r="K57" s="279">
        <f>J57*(1+Assumptions!$H$38)</f>
        <v>3.0252753324281798</v>
      </c>
      <c r="L57" s="279">
        <f>K57*(1+Assumptions!$H$38)</f>
        <v>3.1160335924010254</v>
      </c>
      <c r="M57" s="279">
        <f>L57*(1+Assumptions!$H$38)</f>
        <v>3.2095146001730561</v>
      </c>
      <c r="N57" s="279">
        <f>M57*(1+Assumptions!$H$38)</f>
        <v>3.3058000381782477</v>
      </c>
      <c r="O57" s="279">
        <f>N57*(1+Assumptions!$H$38)</f>
        <v>3.4049740393235952</v>
      </c>
      <c r="P57" s="279">
        <f>O57*(1+Assumptions!$H$38)</f>
        <v>3.5071232605033034</v>
      </c>
    </row>
    <row r="58" spans="2:16" x14ac:dyDescent="0.2">
      <c r="C58" t="s">
        <v>208</v>
      </c>
      <c r="F58" s="223" t="s">
        <v>213</v>
      </c>
      <c r="J58" s="288">
        <v>0</v>
      </c>
      <c r="K58" s="280">
        <f>Assumptions!O26</f>
        <v>4.1100000000000003</v>
      </c>
      <c r="L58" s="279">
        <f>K58*(1+Assumptions!$O$28)</f>
        <v>4.1922000000000006</v>
      </c>
      <c r="M58" s="279">
        <f>L58*(1+Assumptions!$O$28)</f>
        <v>4.2760440000000006</v>
      </c>
      <c r="N58" s="279">
        <f>M58*(1+Assumptions!$O$28)</f>
        <v>4.3615648800000004</v>
      </c>
      <c r="O58" s="279">
        <f>N58*(1+Assumptions!$O$28)</f>
        <v>4.4487961776000002</v>
      </c>
      <c r="P58" s="279">
        <f>O58*(1+Assumptions!$O$28)</f>
        <v>4.537772101152</v>
      </c>
    </row>
    <row r="59" spans="2:16" x14ac:dyDescent="0.2">
      <c r="C59" t="s">
        <v>209</v>
      </c>
      <c r="F59" s="223" t="s">
        <v>213</v>
      </c>
      <c r="J59" s="288">
        <v>0</v>
      </c>
      <c r="K59" s="280">
        <f>Scenarios!G27</f>
        <v>4.2</v>
      </c>
      <c r="L59" s="280">
        <f>Scenarios!H27</f>
        <v>4.2840000000000007</v>
      </c>
      <c r="M59" s="280">
        <f>Scenarios!I27</f>
        <v>4.3696800000000007</v>
      </c>
      <c r="N59" s="280">
        <f>Scenarios!J27</f>
        <v>4.4570736000000011</v>
      </c>
      <c r="O59" s="280">
        <f>Scenarios!K27</f>
        <v>4.5462150720000007</v>
      </c>
      <c r="P59" s="280">
        <f>Scenarios!L27</f>
        <v>4.637139373440001</v>
      </c>
    </row>
    <row r="60" spans="2:16" x14ac:dyDescent="0.2">
      <c r="C60" t="s">
        <v>145</v>
      </c>
      <c r="F60" s="223" t="s">
        <v>213</v>
      </c>
      <c r="J60" s="280">
        <f>Assumptions!O29</f>
        <v>5.2</v>
      </c>
      <c r="K60" s="280">
        <f ca="1">Scenarios!G34</f>
        <v>5.2</v>
      </c>
      <c r="L60" s="280">
        <f ca="1">Scenarios!H34</f>
        <v>5.15</v>
      </c>
      <c r="M60" s="280">
        <f ca="1">Scenarios!I34</f>
        <v>5.0999999999999996</v>
      </c>
      <c r="N60" s="280">
        <f ca="1">Scenarios!J34</f>
        <v>5.05</v>
      </c>
      <c r="O60" s="280">
        <f ca="1">Scenarios!K34</f>
        <v>5</v>
      </c>
      <c r="P60" s="280">
        <f ca="1">Scenarios!L34</f>
        <v>5</v>
      </c>
    </row>
    <row r="61" spans="2:16" x14ac:dyDescent="0.2">
      <c r="C61" t="s">
        <v>210</v>
      </c>
      <c r="F61" s="223" t="s">
        <v>213</v>
      </c>
      <c r="J61" s="281">
        <f>J57</f>
        <v>2.9371605169205628</v>
      </c>
      <c r="K61" s="281">
        <f t="shared" ref="K61:P61" si="12">K57</f>
        <v>3.0252753324281798</v>
      </c>
      <c r="L61" s="281">
        <f t="shared" si="12"/>
        <v>3.1160335924010254</v>
      </c>
      <c r="M61" s="281">
        <f t="shared" si="12"/>
        <v>3.2095146001730561</v>
      </c>
      <c r="N61" s="281">
        <f t="shared" si="12"/>
        <v>3.3058000381782477</v>
      </c>
      <c r="O61" s="281">
        <f t="shared" si="12"/>
        <v>3.4049740393235952</v>
      </c>
      <c r="P61" s="281">
        <f t="shared" si="12"/>
        <v>3.5071232605033034</v>
      </c>
    </row>
    <row r="62" spans="2:16" x14ac:dyDescent="0.2">
      <c r="C62" t="s">
        <v>211</v>
      </c>
      <c r="F62" s="223" t="s">
        <v>168</v>
      </c>
      <c r="J62" s="224">
        <f>J15/$J$15</f>
        <v>1</v>
      </c>
      <c r="K62" s="224">
        <f t="shared" ref="K62:P62" si="13">K15/$J$15</f>
        <v>1.0112359550561798</v>
      </c>
      <c r="L62" s="224">
        <f t="shared" si="13"/>
        <v>1.0112359550561798</v>
      </c>
      <c r="M62" s="224">
        <f t="shared" si="13"/>
        <v>1.0168539325842696</v>
      </c>
      <c r="N62" s="224">
        <f t="shared" si="13"/>
        <v>1.0168539325842696</v>
      </c>
      <c r="O62" s="224">
        <f t="shared" si="13"/>
        <v>1.0224719101123596</v>
      </c>
      <c r="P62" s="224">
        <f t="shared" si="13"/>
        <v>1.0224719101123596</v>
      </c>
    </row>
    <row r="64" spans="2:16" x14ac:dyDescent="0.2">
      <c r="B64" s="2" t="s">
        <v>214</v>
      </c>
    </row>
    <row r="65" spans="3:16" x14ac:dyDescent="0.2">
      <c r="C65" t="s">
        <v>215</v>
      </c>
      <c r="F65" s="223" t="s">
        <v>216</v>
      </c>
      <c r="J65" s="279">
        <f>J48*J56*J62</f>
        <v>24528.795407999994</v>
      </c>
      <c r="K65" s="279">
        <f t="shared" ref="K65:P65" si="14">K48*K56*K62</f>
        <v>25651.607474912365</v>
      </c>
      <c r="L65" s="279">
        <f t="shared" si="14"/>
        <v>25651.607474912365</v>
      </c>
      <c r="M65" s="279">
        <f t="shared" si="14"/>
        <v>25794.116405328543</v>
      </c>
      <c r="N65" s="279">
        <f t="shared" si="14"/>
        <v>25794.116405328543</v>
      </c>
      <c r="O65" s="279">
        <f t="shared" si="14"/>
        <v>25936.625335744728</v>
      </c>
      <c r="P65" s="279">
        <f t="shared" si="14"/>
        <v>25936.625335744728</v>
      </c>
    </row>
    <row r="66" spans="3:16" x14ac:dyDescent="0.2">
      <c r="C66" t="s">
        <v>217</v>
      </c>
      <c r="F66" s="223" t="s">
        <v>216</v>
      </c>
      <c r="J66" s="279">
        <f t="shared" ref="J66:P66" si="15">J51*J58</f>
        <v>0</v>
      </c>
      <c r="K66" s="279">
        <f t="shared" si="15"/>
        <v>2509.0380625295106</v>
      </c>
      <c r="L66" s="279">
        <f t="shared" si="15"/>
        <v>7221.9051739548077</v>
      </c>
      <c r="M66" s="279">
        <f t="shared" si="15"/>
        <v>11657.417031278896</v>
      </c>
      <c r="N66" s="279">
        <f t="shared" si="15"/>
        <v>21373.838367901913</v>
      </c>
      <c r="O66" s="279">
        <f t="shared" si="15"/>
        <v>34450.542346844217</v>
      </c>
      <c r="P66" s="279">
        <f t="shared" si="15"/>
        <v>42729.089520731664</v>
      </c>
    </row>
    <row r="67" spans="3:16" x14ac:dyDescent="0.2">
      <c r="C67" t="s">
        <v>218</v>
      </c>
      <c r="F67" s="223" t="s">
        <v>216</v>
      </c>
      <c r="J67" s="279">
        <f>J52*J59</f>
        <v>0</v>
      </c>
      <c r="K67" s="279">
        <f t="shared" ref="K67:P67" si="16">K52*K59</f>
        <v>2001.9066981450251</v>
      </c>
      <c r="L67" s="279">
        <f t="shared" si="16"/>
        <v>5762.2004851264755</v>
      </c>
      <c r="M67" s="279">
        <f t="shared" si="16"/>
        <v>9301.198569486678</v>
      </c>
      <c r="N67" s="279">
        <f t="shared" si="16"/>
        <v>17053.719045869868</v>
      </c>
      <c r="O67" s="279">
        <f t="shared" si="16"/>
        <v>27487.335688063155</v>
      </c>
      <c r="P67" s="279">
        <f t="shared" si="16"/>
        <v>34092.607758589955</v>
      </c>
    </row>
    <row r="68" spans="3:16" x14ac:dyDescent="0.2">
      <c r="C68" s="2" t="s">
        <v>219</v>
      </c>
      <c r="F68" s="239" t="s">
        <v>216</v>
      </c>
      <c r="J68" s="282">
        <f>SUM(J65:J67)</f>
        <v>24528.795407999994</v>
      </c>
      <c r="K68" s="282">
        <f t="shared" ref="K68:P68" si="17">SUM(K65:K67)</f>
        <v>30162.552235586903</v>
      </c>
      <c r="L68" s="282">
        <f t="shared" si="17"/>
        <v>38635.713133993646</v>
      </c>
      <c r="M68" s="282">
        <f t="shared" si="17"/>
        <v>46752.732006094113</v>
      </c>
      <c r="N68" s="282">
        <f t="shared" si="17"/>
        <v>64221.673819100324</v>
      </c>
      <c r="O68" s="282">
        <f t="shared" si="17"/>
        <v>87874.503370652092</v>
      </c>
      <c r="P68" s="282">
        <f t="shared" si="17"/>
        <v>102758.32261506634</v>
      </c>
    </row>
    <row r="70" spans="3:16" x14ac:dyDescent="0.2">
      <c r="C70" t="s">
        <v>220</v>
      </c>
      <c r="F70" s="223" t="s">
        <v>216</v>
      </c>
      <c r="J70" s="275">
        <f>J48*J57</f>
        <v>27709.618999999995</v>
      </c>
      <c r="K70" s="275">
        <f t="shared" ref="K70:P70" si="18">K48*K57</f>
        <v>29515.737625886577</v>
      </c>
      <c r="L70" s="275">
        <f t="shared" si="18"/>
        <v>30401.209754663178</v>
      </c>
      <c r="M70" s="275">
        <f t="shared" si="18"/>
        <v>31313.246047303073</v>
      </c>
      <c r="N70" s="275">
        <f t="shared" si="18"/>
        <v>32252.643428722164</v>
      </c>
      <c r="O70" s="275">
        <f t="shared" si="18"/>
        <v>33220.222731583832</v>
      </c>
      <c r="P70" s="275">
        <f t="shared" si="18"/>
        <v>34216.829413531348</v>
      </c>
    </row>
    <row r="71" spans="3:16" x14ac:dyDescent="0.2">
      <c r="C71" t="s">
        <v>210</v>
      </c>
      <c r="F71" s="223" t="s">
        <v>216</v>
      </c>
      <c r="J71" s="275">
        <f t="shared" ref="J71:P71" si="19">J53*J61</f>
        <v>0</v>
      </c>
      <c r="K71" s="275">
        <f t="shared" si="19"/>
        <v>2473.1965641525708</v>
      </c>
      <c r="L71" s="275">
        <f t="shared" si="19"/>
        <v>7188.5321504368831</v>
      </c>
      <c r="M71" s="275">
        <f t="shared" si="19"/>
        <v>11717.307405212119</v>
      </c>
      <c r="N71" s="275">
        <f t="shared" si="19"/>
        <v>21694.271176803468</v>
      </c>
      <c r="O71" s="275">
        <f t="shared" si="19"/>
        <v>35309.832701385007</v>
      </c>
      <c r="P71" s="275">
        <f t="shared" si="19"/>
        <v>44224.230853577006</v>
      </c>
    </row>
    <row r="72" spans="3:16" x14ac:dyDescent="0.2">
      <c r="C72" s="2" t="s">
        <v>221</v>
      </c>
      <c r="F72" s="239" t="s">
        <v>216</v>
      </c>
      <c r="J72" s="282">
        <f>SUM(J70:J71)</f>
        <v>27709.618999999995</v>
      </c>
      <c r="K72" s="282">
        <f t="shared" ref="K72:P72" si="20">SUM(K70:K71)</f>
        <v>31988.934190039148</v>
      </c>
      <c r="L72" s="282">
        <f t="shared" si="20"/>
        <v>37589.741905100062</v>
      </c>
      <c r="M72" s="282">
        <f t="shared" si="20"/>
        <v>43030.553452515189</v>
      </c>
      <c r="N72" s="282">
        <f t="shared" si="20"/>
        <v>53946.914605525628</v>
      </c>
      <c r="O72" s="282">
        <f t="shared" si="20"/>
        <v>68530.055432968831</v>
      </c>
      <c r="P72" s="282">
        <f t="shared" si="20"/>
        <v>78441.060267108347</v>
      </c>
    </row>
    <row r="74" spans="3:16" x14ac:dyDescent="0.2">
      <c r="C74" t="s">
        <v>222</v>
      </c>
      <c r="F74" s="223" t="s">
        <v>216</v>
      </c>
      <c r="J74" s="275">
        <f t="shared" ref="J74:P74" si="21">J49*J60</f>
        <v>2581.9784640000034</v>
      </c>
      <c r="K74" s="275">
        <f t="shared" ca="1" si="21"/>
        <v>2113.8824678400038</v>
      </c>
      <c r="L74" s="275">
        <f t="shared" ca="1" si="21"/>
        <v>2093.5566748800038</v>
      </c>
      <c r="M74" s="275">
        <f t="shared" ca="1" si="21"/>
        <v>2073.2308819200034</v>
      </c>
      <c r="N74" s="275">
        <f t="shared" ca="1" si="21"/>
        <v>2052.9050889600035</v>
      </c>
      <c r="O74" s="275">
        <f t="shared" ca="1" si="21"/>
        <v>2032.5792960000035</v>
      </c>
      <c r="P74" s="275">
        <f t="shared" ca="1" si="21"/>
        <v>2032.5792960000035</v>
      </c>
    </row>
    <row r="76" spans="3:16" s="2" customFormat="1" x14ac:dyDescent="0.2">
      <c r="C76" s="2" t="s">
        <v>223</v>
      </c>
      <c r="F76" s="239" t="s">
        <v>216</v>
      </c>
      <c r="J76" s="284">
        <f>J68+J72+J74</f>
        <v>54820.392871999997</v>
      </c>
      <c r="K76" s="284">
        <f t="shared" ref="K76:P76" ca="1" si="22">K68+K72+K74</f>
        <v>64265.368893466053</v>
      </c>
      <c r="L76" s="284">
        <f t="shared" ca="1" si="22"/>
        <v>78319.011713973712</v>
      </c>
      <c r="M76" s="284">
        <f t="shared" ca="1" si="22"/>
        <v>91856.516340529299</v>
      </c>
      <c r="N76" s="284">
        <f t="shared" ca="1" si="22"/>
        <v>120221.49351358596</v>
      </c>
      <c r="O76" s="284">
        <f t="shared" ca="1" si="22"/>
        <v>158437.13809962093</v>
      </c>
      <c r="P76" s="284">
        <f t="shared" ca="1" si="22"/>
        <v>183231.9621781747</v>
      </c>
    </row>
    <row r="77" spans="3:16" x14ac:dyDescent="0.2">
      <c r="C77" t="s">
        <v>224</v>
      </c>
      <c r="F77" s="223" t="s">
        <v>216</v>
      </c>
      <c r="J77" s="287">
        <f>'Historical Data'!Q19</f>
        <v>3624.76</v>
      </c>
      <c r="K77" s="275">
        <f>J77*(1+Assumptions!$H$38)</f>
        <v>3733.5028000000002</v>
      </c>
      <c r="L77" s="275">
        <f>K77*(1+Assumptions!$H$38)</f>
        <v>3845.5078840000001</v>
      </c>
      <c r="M77" s="275">
        <f>L77*(1+Assumptions!$H$38)</f>
        <v>3960.8731205200002</v>
      </c>
      <c r="N77" s="275">
        <f>M77*(1+Assumptions!$H$38)</f>
        <v>4079.6993141356002</v>
      </c>
      <c r="O77" s="275">
        <f>N77*(1+Assumptions!$H$38)</f>
        <v>4202.0902935596687</v>
      </c>
      <c r="P77" s="275">
        <f>O77*(1+Assumptions!$H$38)</f>
        <v>4328.1530023664591</v>
      </c>
    </row>
    <row r="79" spans="3:16" ht="16" thickBot="1" x14ac:dyDescent="0.25">
      <c r="C79" s="2" t="s">
        <v>226</v>
      </c>
      <c r="F79" s="239" t="s">
        <v>216</v>
      </c>
      <c r="J79" s="283">
        <f>J76+J77</f>
        <v>58445.152871999999</v>
      </c>
      <c r="K79" s="283">
        <f t="shared" ref="K79:P79" ca="1" si="23">K76+K77</f>
        <v>67998.871693466048</v>
      </c>
      <c r="L79" s="283">
        <f t="shared" ca="1" si="23"/>
        <v>82164.519597973718</v>
      </c>
      <c r="M79" s="283">
        <f t="shared" ca="1" si="23"/>
        <v>95817.389461049301</v>
      </c>
      <c r="N79" s="283">
        <f t="shared" ca="1" si="23"/>
        <v>124301.19282772156</v>
      </c>
      <c r="O79" s="283">
        <f t="shared" ca="1" si="23"/>
        <v>162639.22839318062</v>
      </c>
      <c r="P79" s="283">
        <f t="shared" ca="1" si="23"/>
        <v>187560.11518054115</v>
      </c>
    </row>
    <row r="80" spans="3:16" ht="16" thickTop="1" x14ac:dyDescent="0.2"/>
    <row r="81" spans="2:16" x14ac:dyDescent="0.2">
      <c r="C81" s="39" t="s">
        <v>227</v>
      </c>
      <c r="J81" s="39">
        <f>ROUND(J76/'Historical Data'!Q8,3)</f>
        <v>1.0109999999999999</v>
      </c>
    </row>
    <row r="84" spans="2:16" ht="15" customHeight="1" x14ac:dyDescent="0.2">
      <c r="B84" s="47"/>
      <c r="C84" s="47"/>
      <c r="D84" s="47"/>
      <c r="E84" s="47"/>
      <c r="F84" s="47"/>
      <c r="G84" s="47"/>
      <c r="H84" s="47"/>
      <c r="I84" s="47"/>
      <c r="J84" s="47"/>
      <c r="K84" s="47"/>
      <c r="L84" s="47"/>
      <c r="M84" s="47"/>
      <c r="N84" s="47"/>
      <c r="O84" s="47"/>
      <c r="P84" s="289" t="str">
        <f>P36</f>
        <v>CURRENTLY RUNNING: BASE CASE SCENARIO</v>
      </c>
    </row>
    <row r="85" spans="2:16" ht="20" customHeight="1" x14ac:dyDescent="0.2">
      <c r="B85" s="243" t="str">
        <f>B37</f>
        <v>Adani Power</v>
      </c>
      <c r="C85" s="5"/>
      <c r="D85" s="5"/>
      <c r="E85" s="5"/>
      <c r="F85" s="212"/>
      <c r="G85" s="5"/>
      <c r="H85" s="5"/>
      <c r="I85" s="5"/>
      <c r="J85" s="5"/>
      <c r="K85" s="5"/>
      <c r="L85" s="5"/>
      <c r="M85" s="5"/>
      <c r="N85" s="5"/>
      <c r="O85" s="5"/>
      <c r="P85" s="5"/>
    </row>
    <row r="86" spans="2:16" ht="18" x14ac:dyDescent="0.2">
      <c r="B86" s="488" t="s">
        <v>228</v>
      </c>
      <c r="C86" s="489"/>
      <c r="D86" s="489"/>
      <c r="E86" s="489"/>
      <c r="F86" s="490"/>
      <c r="G86" s="489"/>
      <c r="H86" s="489"/>
      <c r="I86" s="489"/>
      <c r="J86" s="489"/>
      <c r="K86" s="489"/>
      <c r="L86" s="489"/>
      <c r="M86" s="489"/>
      <c r="N86" s="489"/>
      <c r="O86" s="489"/>
      <c r="P86" s="491"/>
    </row>
    <row r="87" spans="2:16" ht="3" customHeight="1" thickBot="1" x14ac:dyDescent="0.25">
      <c r="B87" s="1"/>
      <c r="C87" s="1"/>
      <c r="D87" s="1"/>
      <c r="E87" s="1"/>
      <c r="F87" s="1"/>
      <c r="G87" s="1"/>
      <c r="H87" s="1"/>
      <c r="I87" s="1"/>
      <c r="J87" s="1"/>
      <c r="K87" s="1"/>
      <c r="L87" s="1"/>
      <c r="M87" s="1"/>
      <c r="N87" s="1"/>
      <c r="O87" s="1"/>
      <c r="P87" s="1"/>
    </row>
    <row r="88" spans="2:16" ht="16" thickTop="1" x14ac:dyDescent="0.2">
      <c r="B88" s="39" t="s">
        <v>7</v>
      </c>
    </row>
    <row r="89" spans="2:16" x14ac:dyDescent="0.2">
      <c r="K89" s="247" t="str">
        <f>K41</f>
        <v>Projected</v>
      </c>
      <c r="L89" s="249"/>
      <c r="M89" s="249"/>
      <c r="N89" s="249"/>
      <c r="O89" s="249"/>
      <c r="P89" s="249"/>
    </row>
    <row r="90" spans="2:16" x14ac:dyDescent="0.2">
      <c r="H90" s="245">
        <f>H42</f>
        <v>2024</v>
      </c>
      <c r="I90" s="245">
        <f t="shared" ref="I90:P90" si="24">I42</f>
        <v>2025</v>
      </c>
      <c r="J90" s="245">
        <f t="shared" si="24"/>
        <v>2026</v>
      </c>
      <c r="K90" s="246">
        <f t="shared" si="24"/>
        <v>2027</v>
      </c>
      <c r="L90" s="246">
        <f t="shared" si="24"/>
        <v>2028</v>
      </c>
      <c r="M90" s="246">
        <f t="shared" si="24"/>
        <v>2029</v>
      </c>
      <c r="N90" s="246">
        <f t="shared" si="24"/>
        <v>2030</v>
      </c>
      <c r="O90" s="246">
        <f t="shared" si="24"/>
        <v>2031</v>
      </c>
      <c r="P90" s="246">
        <f t="shared" si="24"/>
        <v>2032</v>
      </c>
    </row>
    <row r="91" spans="2:16" x14ac:dyDescent="0.2">
      <c r="B91" s="2" t="s">
        <v>229</v>
      </c>
    </row>
    <row r="92" spans="2:16" x14ac:dyDescent="0.2">
      <c r="C92" t="s">
        <v>173</v>
      </c>
      <c r="F92" s="223" t="s">
        <v>174</v>
      </c>
      <c r="J92" s="290">
        <f t="shared" ref="J92:P92" si="25">J11</f>
        <v>18000</v>
      </c>
      <c r="K92" s="290">
        <f t="shared" si="25"/>
        <v>19610</v>
      </c>
      <c r="L92" s="290">
        <f t="shared" si="25"/>
        <v>22270</v>
      </c>
      <c r="M92" s="290">
        <f t="shared" si="25"/>
        <v>24670</v>
      </c>
      <c r="N92" s="290">
        <f t="shared" si="25"/>
        <v>29870</v>
      </c>
      <c r="O92" s="290">
        <f t="shared" si="25"/>
        <v>36670</v>
      </c>
      <c r="P92" s="290">
        <f t="shared" si="25"/>
        <v>40670</v>
      </c>
    </row>
    <row r="93" spans="2:16" x14ac:dyDescent="0.2">
      <c r="C93" t="s">
        <v>230</v>
      </c>
      <c r="F93" s="223" t="s">
        <v>202</v>
      </c>
      <c r="J93" s="36">
        <f t="shared" ref="J93:P93" si="26">J46+J53</f>
        <v>9930.6863999999987</v>
      </c>
      <c r="K93" s="36">
        <f t="shared" si="26"/>
        <v>10980.407712000004</v>
      </c>
      <c r="L93" s="36">
        <f t="shared" si="26"/>
        <v>12469.845984000003</v>
      </c>
      <c r="M93" s="36">
        <f t="shared" si="26"/>
        <v>13813.700064000002</v>
      </c>
      <c r="N93" s="36">
        <f t="shared" si="26"/>
        <v>16725.383904000002</v>
      </c>
      <c r="O93" s="36">
        <f t="shared" si="26"/>
        <v>20532.970464000005</v>
      </c>
      <c r="P93" s="36">
        <f t="shared" si="26"/>
        <v>22772.727264000001</v>
      </c>
    </row>
    <row r="94" spans="2:16" x14ac:dyDescent="0.2">
      <c r="C94" t="s">
        <v>231</v>
      </c>
      <c r="F94" s="223" t="s">
        <v>168</v>
      </c>
      <c r="J94" s="291">
        <f>Assumptions!$H$38</f>
        <v>0.03</v>
      </c>
      <c r="K94" s="291">
        <f ca="1">Scenarios!G51</f>
        <v>0.05</v>
      </c>
      <c r="L94" s="291">
        <f ca="1">Scenarios!H51</f>
        <v>4.7500000000000001E-2</v>
      </c>
      <c r="M94" s="291">
        <f ca="1">Scenarios!I51</f>
        <v>4.7500000000000001E-2</v>
      </c>
      <c r="N94" s="291">
        <f ca="1">Scenarios!J51</f>
        <v>4.4999999999999998E-2</v>
      </c>
      <c r="O94" s="291">
        <f ca="1">Scenarios!K51</f>
        <v>4.4999999999999998E-2</v>
      </c>
      <c r="P94" s="291">
        <f ca="1">Scenarios!L51</f>
        <v>4.4999999999999998E-2</v>
      </c>
    </row>
    <row r="95" spans="2:16" x14ac:dyDescent="0.2">
      <c r="C95" t="s">
        <v>212</v>
      </c>
      <c r="F95" s="223" t="s">
        <v>168</v>
      </c>
      <c r="J95" s="291">
        <f>Assumptions!$H$38</f>
        <v>0.03</v>
      </c>
      <c r="K95" s="291">
        <f>Assumptions!$H$38</f>
        <v>0.03</v>
      </c>
      <c r="L95" s="291">
        <f>Assumptions!$H$38</f>
        <v>0.03</v>
      </c>
      <c r="M95" s="291">
        <f>Assumptions!$H$38</f>
        <v>0.03</v>
      </c>
      <c r="N95" s="291">
        <f>Assumptions!$H$38</f>
        <v>0.03</v>
      </c>
      <c r="O95" s="291">
        <f>Assumptions!$H$38</f>
        <v>0.03</v>
      </c>
      <c r="P95" s="291">
        <f>Assumptions!$H$38</f>
        <v>0.03</v>
      </c>
    </row>
    <row r="97" spans="2:16" x14ac:dyDescent="0.2">
      <c r="B97" s="2" t="s">
        <v>232</v>
      </c>
    </row>
    <row r="98" spans="2:16" x14ac:dyDescent="0.2">
      <c r="C98" t="s">
        <v>233</v>
      </c>
      <c r="F98" s="223" t="s">
        <v>213</v>
      </c>
      <c r="J98" s="279">
        <f>'Historical Data'!Q11/Model!J93</f>
        <v>2.9371605169205628</v>
      </c>
      <c r="K98" s="275">
        <f t="shared" ref="K98:P98" si="27">J98*(1+K95)</f>
        <v>3.0252753324281798</v>
      </c>
      <c r="L98" s="275">
        <f t="shared" si="27"/>
        <v>3.1160335924010254</v>
      </c>
      <c r="M98" s="275">
        <f t="shared" si="27"/>
        <v>3.2095146001730561</v>
      </c>
      <c r="N98" s="275">
        <f t="shared" si="27"/>
        <v>3.3058000381782477</v>
      </c>
      <c r="O98" s="275">
        <f t="shared" si="27"/>
        <v>3.4049740393235952</v>
      </c>
      <c r="P98" s="275">
        <f t="shared" si="27"/>
        <v>3.5071232605033034</v>
      </c>
    </row>
    <row r="100" spans="2:16" x14ac:dyDescent="0.2">
      <c r="B100" s="2" t="s">
        <v>237</v>
      </c>
    </row>
    <row r="101" spans="2:16" x14ac:dyDescent="0.2">
      <c r="C101" t="s">
        <v>11</v>
      </c>
      <c r="F101" s="223" t="s">
        <v>236</v>
      </c>
      <c r="J101" s="36">
        <f>'Historical Data'!Q12/Model!J11</f>
        <v>0.14252166666666666</v>
      </c>
      <c r="K101" s="36">
        <f t="shared" ref="K101:P104" ca="1" si="28">J101*(1+K$94)</f>
        <v>0.14964775</v>
      </c>
      <c r="L101" s="36">
        <f t="shared" ca="1" si="28"/>
        <v>0.15675601812500001</v>
      </c>
      <c r="M101" s="36">
        <f t="shared" ca="1" si="28"/>
        <v>0.16420192898593752</v>
      </c>
      <c r="N101" s="36">
        <f t="shared" ca="1" si="28"/>
        <v>0.1715910157903047</v>
      </c>
      <c r="O101" s="36">
        <f t="shared" ca="1" si="28"/>
        <v>0.17931261150086839</v>
      </c>
      <c r="P101" s="36">
        <f t="shared" ca="1" si="28"/>
        <v>0.18738167901840744</v>
      </c>
    </row>
    <row r="102" spans="2:16" x14ac:dyDescent="0.2">
      <c r="C102" t="s">
        <v>15</v>
      </c>
      <c r="F102" s="223" t="s">
        <v>236</v>
      </c>
      <c r="J102" s="36">
        <f>'Historical Data'!Q16/Model!J11</f>
        <v>4.7656111111111107E-2</v>
      </c>
      <c r="K102" s="36">
        <f t="shared" ca="1" si="28"/>
        <v>5.0038916666666662E-2</v>
      </c>
      <c r="L102" s="36">
        <f t="shared" ca="1" si="28"/>
        <v>5.2415765208333333E-2</v>
      </c>
      <c r="M102" s="36">
        <f t="shared" ca="1" si="28"/>
        <v>5.4905514055729174E-2</v>
      </c>
      <c r="N102" s="36">
        <f t="shared" ca="1" si="28"/>
        <v>5.7376262188236986E-2</v>
      </c>
      <c r="O102" s="36">
        <f t="shared" ca="1" si="28"/>
        <v>5.9958193986707646E-2</v>
      </c>
      <c r="P102" s="36">
        <f t="shared" ca="1" si="28"/>
        <v>6.2656312716109483E-2</v>
      </c>
    </row>
    <row r="103" spans="2:16" x14ac:dyDescent="0.2">
      <c r="C103" t="s">
        <v>234</v>
      </c>
      <c r="F103" s="223" t="s">
        <v>236</v>
      </c>
      <c r="J103" s="36">
        <f>'Historical Data'!Q17/Model!J11</f>
        <v>3.2278333333333332E-2</v>
      </c>
      <c r="K103" s="36">
        <f t="shared" ca="1" si="28"/>
        <v>3.3892249999999999E-2</v>
      </c>
      <c r="L103" s="36">
        <f t="shared" ca="1" si="28"/>
        <v>3.5502131875000002E-2</v>
      </c>
      <c r="M103" s="36">
        <f t="shared" ca="1" si="28"/>
        <v>3.7188483139062506E-2</v>
      </c>
      <c r="N103" s="36">
        <f t="shared" ca="1" si="28"/>
        <v>3.8861964880320315E-2</v>
      </c>
      <c r="O103" s="36">
        <f t="shared" ca="1" si="28"/>
        <v>4.0610753299934729E-2</v>
      </c>
      <c r="P103" s="36">
        <f t="shared" ca="1" si="28"/>
        <v>4.2438237198431789E-2</v>
      </c>
    </row>
    <row r="104" spans="2:16" x14ac:dyDescent="0.2">
      <c r="C104" t="s">
        <v>17</v>
      </c>
      <c r="F104" s="223" t="s">
        <v>236</v>
      </c>
      <c r="J104" s="36">
        <f>'Historical Data'!Q18/Model!J11</f>
        <v>7.012111111111112E-2</v>
      </c>
      <c r="K104" s="36">
        <f t="shared" ca="1" si="28"/>
        <v>7.3627166666666674E-2</v>
      </c>
      <c r="L104" s="36">
        <f t="shared" ca="1" si="28"/>
        <v>7.7124457083333348E-2</v>
      </c>
      <c r="M104" s="36">
        <f t="shared" ca="1" si="28"/>
        <v>8.078786879479169E-2</v>
      </c>
      <c r="N104" s="36">
        <f t="shared" ca="1" si="28"/>
        <v>8.4423322890557304E-2</v>
      </c>
      <c r="O104" s="36">
        <f t="shared" ca="1" si="28"/>
        <v>8.822237242063237E-2</v>
      </c>
      <c r="P104" s="36">
        <f t="shared" ca="1" si="28"/>
        <v>9.2192379179560816E-2</v>
      </c>
    </row>
    <row r="105" spans="2:16" x14ac:dyDescent="0.2">
      <c r="C105" s="2" t="s">
        <v>235</v>
      </c>
      <c r="D105" s="2"/>
      <c r="E105" s="2"/>
      <c r="F105" s="239" t="s">
        <v>236</v>
      </c>
      <c r="G105" s="2"/>
      <c r="H105" s="2"/>
      <c r="I105" s="2"/>
      <c r="J105" s="29">
        <f>SUM(J101:J104)</f>
        <v>0.29257722222222221</v>
      </c>
      <c r="K105" s="29">
        <f t="shared" ref="K105:P105" ca="1" si="29">SUM(K101:K104)</f>
        <v>0.30720608333333332</v>
      </c>
      <c r="L105" s="29">
        <f t="shared" ca="1" si="29"/>
        <v>0.32179837229166669</v>
      </c>
      <c r="M105" s="29">
        <f t="shared" ca="1" si="29"/>
        <v>0.33708379497552088</v>
      </c>
      <c r="N105" s="29">
        <f t="shared" ca="1" si="29"/>
        <v>0.35225256574941932</v>
      </c>
      <c r="O105" s="29">
        <f t="shared" ca="1" si="29"/>
        <v>0.36810393120814311</v>
      </c>
      <c r="P105" s="29">
        <f t="shared" ca="1" si="29"/>
        <v>0.38466860811250947</v>
      </c>
    </row>
    <row r="107" spans="2:16" x14ac:dyDescent="0.2">
      <c r="B107" s="2" t="s">
        <v>238</v>
      </c>
    </row>
    <row r="108" spans="2:16" x14ac:dyDescent="0.2">
      <c r="C108" t="s">
        <v>10</v>
      </c>
      <c r="F108" s="223" t="s">
        <v>216</v>
      </c>
      <c r="J108" s="275">
        <f>J98*J93</f>
        <v>29168.02</v>
      </c>
      <c r="K108" s="275">
        <f t="shared" ref="K108:P108" si="30">K98*K93</f>
        <v>33218.756591117759</v>
      </c>
      <c r="L108" s="275">
        <f t="shared" si="30"/>
        <v>38856.458978211027</v>
      </c>
      <c r="M108" s="275">
        <f t="shared" si="30"/>
        <v>44335.272037819486</v>
      </c>
      <c r="N108" s="275">
        <f t="shared" si="30"/>
        <v>55290.774748389056</v>
      </c>
      <c r="O108" s="275">
        <f t="shared" si="30"/>
        <v>69914.231380118174</v>
      </c>
      <c r="P108" s="275">
        <f t="shared" si="30"/>
        <v>79866.761492672158</v>
      </c>
    </row>
    <row r="109" spans="2:16" x14ac:dyDescent="0.2">
      <c r="F109" s="223"/>
      <c r="J109" s="275"/>
      <c r="K109" s="275"/>
      <c r="L109" s="275"/>
      <c r="M109" s="275"/>
      <c r="N109" s="275"/>
      <c r="O109" s="275"/>
      <c r="P109" s="275"/>
    </row>
    <row r="110" spans="2:16" x14ac:dyDescent="0.2">
      <c r="C110" t="s">
        <v>11</v>
      </c>
      <c r="F110" s="223" t="s">
        <v>216</v>
      </c>
      <c r="J110" s="275">
        <f t="shared" ref="J110:P113" si="31">J101*J$92</f>
        <v>2565.39</v>
      </c>
      <c r="K110" s="275">
        <f t="shared" ca="1" si="31"/>
        <v>2934.5923775000001</v>
      </c>
      <c r="L110" s="275">
        <f t="shared" ca="1" si="31"/>
        <v>3490.9565236437502</v>
      </c>
      <c r="M110" s="275">
        <f t="shared" ca="1" si="31"/>
        <v>4050.8615880830789</v>
      </c>
      <c r="N110" s="275">
        <f t="shared" ca="1" si="31"/>
        <v>5125.4236416564008</v>
      </c>
      <c r="O110" s="275">
        <f t="shared" ca="1" si="31"/>
        <v>6575.3934637368438</v>
      </c>
      <c r="P110" s="275">
        <f t="shared" ca="1" si="31"/>
        <v>7620.8128856786307</v>
      </c>
    </row>
    <row r="111" spans="2:16" x14ac:dyDescent="0.2">
      <c r="C111" t="s">
        <v>15</v>
      </c>
      <c r="F111" s="223" t="s">
        <v>216</v>
      </c>
      <c r="J111" s="275">
        <f t="shared" si="31"/>
        <v>857.81</v>
      </c>
      <c r="K111" s="275">
        <f t="shared" ca="1" si="31"/>
        <v>981.26315583333326</v>
      </c>
      <c r="L111" s="275">
        <f t="shared" ca="1" si="31"/>
        <v>1167.2990911895834</v>
      </c>
      <c r="M111" s="275">
        <f t="shared" ca="1" si="31"/>
        <v>1354.5190317548388</v>
      </c>
      <c r="N111" s="275">
        <f t="shared" ca="1" si="31"/>
        <v>1713.8289515626388</v>
      </c>
      <c r="O111" s="275">
        <f t="shared" ca="1" si="31"/>
        <v>2198.6669734925695</v>
      </c>
      <c r="P111" s="275">
        <f t="shared" ca="1" si="31"/>
        <v>2548.2322381641725</v>
      </c>
    </row>
    <row r="112" spans="2:16" x14ac:dyDescent="0.2">
      <c r="C112" t="s">
        <v>234</v>
      </c>
      <c r="F112" s="223" t="s">
        <v>216</v>
      </c>
      <c r="J112" s="275">
        <f t="shared" si="31"/>
        <v>581.01</v>
      </c>
      <c r="K112" s="275">
        <f t="shared" ca="1" si="31"/>
        <v>664.62702249999995</v>
      </c>
      <c r="L112" s="275">
        <f t="shared" ca="1" si="31"/>
        <v>790.63247685625004</v>
      </c>
      <c r="M112" s="275">
        <f t="shared" ca="1" si="31"/>
        <v>917.43987904067205</v>
      </c>
      <c r="N112" s="275">
        <f t="shared" ca="1" si="31"/>
        <v>1160.8068909751678</v>
      </c>
      <c r="O112" s="275">
        <f t="shared" ca="1" si="31"/>
        <v>1489.1963235086066</v>
      </c>
      <c r="P112" s="275">
        <f t="shared" ca="1" si="31"/>
        <v>1725.9631068602209</v>
      </c>
    </row>
    <row r="113" spans="2:16" x14ac:dyDescent="0.2">
      <c r="C113" t="s">
        <v>17</v>
      </c>
      <c r="F113" s="223" t="s">
        <v>216</v>
      </c>
      <c r="J113" s="275">
        <f t="shared" si="31"/>
        <v>1262.18</v>
      </c>
      <c r="K113" s="275">
        <f t="shared" ca="1" si="31"/>
        <v>1443.8287383333334</v>
      </c>
      <c r="L113" s="275">
        <f t="shared" ca="1" si="31"/>
        <v>1717.5616592458337</v>
      </c>
      <c r="M113" s="275">
        <f t="shared" ca="1" si="31"/>
        <v>1993.0367231675109</v>
      </c>
      <c r="N113" s="275">
        <f t="shared" ca="1" si="31"/>
        <v>2521.7246547409468</v>
      </c>
      <c r="O113" s="275">
        <f t="shared" ca="1" si="31"/>
        <v>3235.1143966645891</v>
      </c>
      <c r="P113" s="275">
        <f t="shared" ca="1" si="31"/>
        <v>3749.4640612327385</v>
      </c>
    </row>
    <row r="114" spans="2:16" s="2" customFormat="1" x14ac:dyDescent="0.2">
      <c r="C114" s="2" t="s">
        <v>239</v>
      </c>
      <c r="F114" s="239" t="s">
        <v>216</v>
      </c>
      <c r="J114" s="292">
        <f t="shared" ref="J114:P114" si="32">SUM(J110:J113)</f>
        <v>5266.39</v>
      </c>
      <c r="K114" s="292">
        <f t="shared" ca="1" si="32"/>
        <v>6024.3112941666668</v>
      </c>
      <c r="L114" s="292">
        <f t="shared" ca="1" si="32"/>
        <v>7166.4497509354169</v>
      </c>
      <c r="M114" s="292">
        <f t="shared" ca="1" si="32"/>
        <v>8315.857222046101</v>
      </c>
      <c r="N114" s="292">
        <f t="shared" ca="1" si="32"/>
        <v>10521.784138935154</v>
      </c>
      <c r="O114" s="292">
        <f t="shared" ca="1" si="32"/>
        <v>13498.371157402607</v>
      </c>
      <c r="P114" s="292">
        <f t="shared" ca="1" si="32"/>
        <v>15644.472291935763</v>
      </c>
    </row>
    <row r="116" spans="2:16" ht="16" thickBot="1" x14ac:dyDescent="0.25">
      <c r="C116" t="s">
        <v>240</v>
      </c>
      <c r="F116" s="239" t="s">
        <v>216</v>
      </c>
      <c r="J116" s="283">
        <f t="shared" ref="J116:P116" si="33">J108+J114</f>
        <v>34434.410000000003</v>
      </c>
      <c r="K116" s="283">
        <f t="shared" ca="1" si="33"/>
        <v>39243.067885284428</v>
      </c>
      <c r="L116" s="283">
        <f t="shared" ca="1" si="33"/>
        <v>46022.908729146446</v>
      </c>
      <c r="M116" s="283">
        <f t="shared" ca="1" si="33"/>
        <v>52651.129259865585</v>
      </c>
      <c r="N116" s="283">
        <f t="shared" ca="1" si="33"/>
        <v>65812.558887324209</v>
      </c>
      <c r="O116" s="283">
        <f t="shared" ca="1" si="33"/>
        <v>83412.602537520783</v>
      </c>
      <c r="P116" s="283">
        <f t="shared" ca="1" si="33"/>
        <v>95511.233784607917</v>
      </c>
    </row>
    <row r="117" spans="2:16" ht="16" thickTop="1" x14ac:dyDescent="0.2"/>
    <row r="118" spans="2:16" x14ac:dyDescent="0.2">
      <c r="C118" s="39" t="s">
        <v>227</v>
      </c>
      <c r="J118" s="293">
        <f>ROUND(J116/('Historical Data'!Q11+'Historical Data'!Q12+'Historical Data'!Q16+'Historical Data'!Q17+'Historical Data'!Q18)-1,3)</f>
        <v>0</v>
      </c>
    </row>
    <row r="120" spans="2:16" x14ac:dyDescent="0.2">
      <c r="B120" s="34"/>
      <c r="C120" s="34"/>
      <c r="D120" s="34"/>
      <c r="E120" s="34"/>
      <c r="F120" s="34"/>
      <c r="G120" s="34"/>
      <c r="H120" s="34"/>
      <c r="I120" s="34"/>
      <c r="J120" s="34"/>
      <c r="K120" s="34"/>
      <c r="L120" s="34"/>
      <c r="M120" s="34"/>
      <c r="N120" s="34"/>
      <c r="O120" s="34"/>
      <c r="P120" s="34"/>
    </row>
    <row r="121" spans="2:16" x14ac:dyDescent="0.2">
      <c r="P121" s="289" t="str">
        <f>P84</f>
        <v>CURRENTLY RUNNING: BASE CASE SCENARIO</v>
      </c>
    </row>
    <row r="122" spans="2:16" ht="20" x14ac:dyDescent="0.2">
      <c r="B122" s="243" t="str">
        <f>B85</f>
        <v>Adani Power</v>
      </c>
      <c r="C122" s="5"/>
      <c r="D122" s="5"/>
      <c r="E122" s="5"/>
      <c r="F122" s="5"/>
      <c r="G122" s="5"/>
      <c r="H122" s="5"/>
      <c r="I122" s="5"/>
      <c r="J122" s="5"/>
      <c r="K122" s="5"/>
      <c r="L122" s="5"/>
      <c r="M122" s="5"/>
      <c r="N122" s="5"/>
      <c r="O122" s="5"/>
      <c r="P122" s="5"/>
    </row>
    <row r="123" spans="2:16" ht="18" x14ac:dyDescent="0.2">
      <c r="B123" s="488" t="s">
        <v>6</v>
      </c>
      <c r="C123" s="491"/>
      <c r="D123" s="491"/>
      <c r="E123" s="491"/>
      <c r="F123" s="491"/>
      <c r="G123" s="491"/>
      <c r="H123" s="491"/>
      <c r="I123" s="491"/>
      <c r="J123" s="491"/>
      <c r="K123" s="491"/>
      <c r="L123" s="491"/>
      <c r="M123" s="491"/>
      <c r="N123" s="491"/>
      <c r="O123" s="491"/>
      <c r="P123" s="491"/>
    </row>
    <row r="124" spans="2:16" ht="3" customHeight="1" thickBot="1" x14ac:dyDescent="0.25">
      <c r="B124" s="1"/>
      <c r="C124" s="1"/>
      <c r="D124" s="1"/>
      <c r="E124" s="1"/>
      <c r="F124" s="1"/>
      <c r="G124" s="1"/>
      <c r="H124" s="1"/>
      <c r="I124" s="1"/>
      <c r="J124" s="1"/>
      <c r="K124" s="1"/>
      <c r="L124" s="1"/>
      <c r="M124" s="1"/>
      <c r="N124" s="1"/>
      <c r="O124" s="1"/>
      <c r="P124" s="1"/>
    </row>
    <row r="125" spans="2:16" ht="16" thickTop="1" x14ac:dyDescent="0.2">
      <c r="B125" s="39" t="s">
        <v>7</v>
      </c>
    </row>
    <row r="126" spans="2:16" x14ac:dyDescent="0.2">
      <c r="K126" s="247" t="str">
        <f>K89</f>
        <v>Projected</v>
      </c>
      <c r="L126" s="247"/>
      <c r="M126" s="247"/>
      <c r="N126" s="247"/>
      <c r="O126" s="247"/>
      <c r="P126" s="247"/>
    </row>
    <row r="127" spans="2:16" x14ac:dyDescent="0.2">
      <c r="H127" s="245">
        <f>H90</f>
        <v>2024</v>
      </c>
      <c r="I127" s="245">
        <f t="shared" ref="I127:P127" si="34">I90</f>
        <v>2025</v>
      </c>
      <c r="J127" s="245">
        <f t="shared" si="34"/>
        <v>2026</v>
      </c>
      <c r="K127" s="246">
        <f t="shared" si="34"/>
        <v>2027</v>
      </c>
      <c r="L127" s="246">
        <f t="shared" si="34"/>
        <v>2028</v>
      </c>
      <c r="M127" s="246">
        <f t="shared" si="34"/>
        <v>2029</v>
      </c>
      <c r="N127" s="246">
        <f t="shared" si="34"/>
        <v>2030</v>
      </c>
      <c r="O127" s="246">
        <f t="shared" si="34"/>
        <v>2031</v>
      </c>
      <c r="P127" s="246">
        <f t="shared" si="34"/>
        <v>2032</v>
      </c>
    </row>
    <row r="128" spans="2:16" x14ac:dyDescent="0.2">
      <c r="B128" s="2" t="s">
        <v>214</v>
      </c>
    </row>
    <row r="129" spans="2:16" x14ac:dyDescent="0.2">
      <c r="C129" t="s">
        <v>9</v>
      </c>
      <c r="H129" s="335">
        <f>'Historical Data'!O8</f>
        <v>50351.25</v>
      </c>
      <c r="I129" s="335">
        <f>'Historical Data'!P8</f>
        <v>56203.09</v>
      </c>
      <c r="J129" s="336">
        <f>J76</f>
        <v>54820.392871999997</v>
      </c>
      <c r="K129" s="336">
        <f t="shared" ref="K129:P129" ca="1" si="35">K76</f>
        <v>64265.368893466053</v>
      </c>
      <c r="L129" s="336">
        <f t="shared" ca="1" si="35"/>
        <v>78319.011713973712</v>
      </c>
      <c r="M129" s="336">
        <f t="shared" ca="1" si="35"/>
        <v>91856.516340529299</v>
      </c>
      <c r="N129" s="336">
        <f t="shared" ca="1" si="35"/>
        <v>120221.49351358596</v>
      </c>
      <c r="O129" s="336">
        <f t="shared" ca="1" si="35"/>
        <v>158437.13809962093</v>
      </c>
      <c r="P129" s="336">
        <f t="shared" ca="1" si="35"/>
        <v>183231.9621781747</v>
      </c>
    </row>
    <row r="130" spans="2:16" x14ac:dyDescent="0.2">
      <c r="C130" s="355" t="s">
        <v>392</v>
      </c>
      <c r="D130" s="356"/>
      <c r="E130" s="356"/>
      <c r="F130" s="357" t="s">
        <v>168</v>
      </c>
      <c r="G130" s="356"/>
      <c r="H130" s="358"/>
      <c r="I130" s="359">
        <f>IFERROR(I129/H129-1,0)</f>
        <v>0.1162203520270102</v>
      </c>
      <c r="J130" s="359">
        <f t="shared" ref="J130:P130" si="36">IFERROR(J129/I129-1,0)</f>
        <v>-2.4601799082577092E-2</v>
      </c>
      <c r="K130" s="359">
        <f t="shared" ca="1" si="36"/>
        <v>0.17228946249106802</v>
      </c>
      <c r="L130" s="359">
        <f t="shared" ca="1" si="36"/>
        <v>0.21868143079991742</v>
      </c>
      <c r="M130" s="359">
        <f t="shared" ca="1" si="36"/>
        <v>0.17285081017104065</v>
      </c>
      <c r="N130" s="359">
        <f t="shared" ca="1" si="36"/>
        <v>0.30879656994504745</v>
      </c>
      <c r="O130" s="359">
        <f t="shared" ca="1" si="36"/>
        <v>0.31787697415118465</v>
      </c>
      <c r="P130" s="359">
        <f t="shared" ca="1" si="36"/>
        <v>0.15649628853409014</v>
      </c>
    </row>
    <row r="131" spans="2:16" x14ac:dyDescent="0.2">
      <c r="H131" s="335"/>
      <c r="I131" s="335"/>
      <c r="J131" s="336"/>
      <c r="K131" s="336"/>
      <c r="L131" s="336"/>
      <c r="M131" s="336"/>
      <c r="N131" s="336"/>
      <c r="O131" s="336"/>
      <c r="P131" s="336"/>
    </row>
    <row r="132" spans="2:16" x14ac:dyDescent="0.2">
      <c r="B132" s="2" t="s">
        <v>12</v>
      </c>
      <c r="H132" s="335"/>
      <c r="I132" s="335"/>
      <c r="J132" s="336"/>
      <c r="K132" s="336"/>
      <c r="L132" s="336"/>
      <c r="M132" s="336"/>
      <c r="N132" s="336"/>
      <c r="O132" s="336"/>
      <c r="P132" s="336"/>
    </row>
    <row r="133" spans="2:16" x14ac:dyDescent="0.2">
      <c r="C133" t="s">
        <v>10</v>
      </c>
      <c r="H133" s="335">
        <f>'Historical Data'!O11</f>
        <v>28452.639999999999</v>
      </c>
      <c r="I133" s="335">
        <f>'Historical Data'!P11</f>
        <v>30273.25</v>
      </c>
      <c r="J133" s="336">
        <f>J108</f>
        <v>29168.02</v>
      </c>
      <c r="K133" s="336">
        <f t="shared" ref="K133:P133" si="37">K108</f>
        <v>33218.756591117759</v>
      </c>
      <c r="L133" s="336">
        <f t="shared" si="37"/>
        <v>38856.458978211027</v>
      </c>
      <c r="M133" s="336">
        <f t="shared" si="37"/>
        <v>44335.272037819486</v>
      </c>
      <c r="N133" s="336">
        <f t="shared" si="37"/>
        <v>55290.774748389056</v>
      </c>
      <c r="O133" s="336">
        <f t="shared" si="37"/>
        <v>69914.231380118174</v>
      </c>
      <c r="P133" s="336">
        <f t="shared" si="37"/>
        <v>79866.761492672158</v>
      </c>
    </row>
    <row r="134" spans="2:16" x14ac:dyDescent="0.2">
      <c r="C134" t="s">
        <v>11</v>
      </c>
      <c r="H134" s="335">
        <f>'Historical Data'!O12</f>
        <v>1856.84</v>
      </c>
      <c r="I134" s="335">
        <f>'Historical Data'!P12</f>
        <v>2231.0500000000002</v>
      </c>
      <c r="J134" s="336">
        <f>J110</f>
        <v>2565.39</v>
      </c>
      <c r="K134" s="336">
        <f t="shared" ref="K134:P134" ca="1" si="38">K110</f>
        <v>2934.5923775000001</v>
      </c>
      <c r="L134" s="336">
        <f t="shared" ca="1" si="38"/>
        <v>3490.9565236437502</v>
      </c>
      <c r="M134" s="336">
        <f t="shared" ca="1" si="38"/>
        <v>4050.8615880830789</v>
      </c>
      <c r="N134" s="336">
        <f t="shared" ca="1" si="38"/>
        <v>5125.4236416564008</v>
      </c>
      <c r="O134" s="336">
        <f t="shared" ca="1" si="38"/>
        <v>6575.3934637368438</v>
      </c>
      <c r="P134" s="336">
        <f t="shared" ca="1" si="38"/>
        <v>7620.8128856786307</v>
      </c>
    </row>
    <row r="135" spans="2:16" x14ac:dyDescent="0.2">
      <c r="C135" s="355" t="s">
        <v>393</v>
      </c>
      <c r="D135" s="359"/>
      <c r="E135" s="359"/>
      <c r="F135" s="357" t="s">
        <v>168</v>
      </c>
      <c r="G135" s="359"/>
      <c r="H135" s="359">
        <f>IFERROR(SUM(H133:H134)/H129,0)</f>
        <v>0.60196082520294925</v>
      </c>
      <c r="I135" s="359">
        <f t="shared" ref="I135:P135" si="39">IFERROR(SUM(I133:I134)/I129,0)</f>
        <v>0.5783365291837157</v>
      </c>
      <c r="J135" s="359">
        <f t="shared" si="39"/>
        <v>0.57886141155708726</v>
      </c>
      <c r="K135" s="359">
        <f t="shared" ca="1" si="39"/>
        <v>0.56256347067033663</v>
      </c>
      <c r="L135" s="360">
        <f t="shared" ca="1" si="39"/>
        <v>0.54070416077912709</v>
      </c>
      <c r="M135" s="359">
        <f t="shared" ca="1" si="39"/>
        <v>0.52675776911162309</v>
      </c>
      <c r="N135" s="359">
        <f t="shared" ca="1" si="39"/>
        <v>0.50254074063069232</v>
      </c>
      <c r="O135" s="359">
        <f t="shared" ca="1" si="39"/>
        <v>0.48277585521495869</v>
      </c>
      <c r="P135" s="359">
        <f t="shared" ca="1" si="39"/>
        <v>0.47746895977284742</v>
      </c>
    </row>
    <row r="136" spans="2:16" x14ac:dyDescent="0.2">
      <c r="H136" s="335"/>
      <c r="I136" s="335"/>
      <c r="J136" s="336"/>
      <c r="K136" s="336"/>
      <c r="L136" s="336"/>
      <c r="M136" s="336"/>
      <c r="N136" s="336"/>
      <c r="O136" s="336"/>
      <c r="P136" s="336"/>
    </row>
    <row r="137" spans="2:16" x14ac:dyDescent="0.2">
      <c r="C137" s="2" t="s">
        <v>13</v>
      </c>
      <c r="H137" s="337">
        <f>H129-SUM(H133:H134)</f>
        <v>20041.77</v>
      </c>
      <c r="I137" s="337">
        <f>I129-SUM(I133:I134)</f>
        <v>23698.789999999997</v>
      </c>
      <c r="J137" s="337">
        <f>J129-SUM(J133:J134)</f>
        <v>23086.982871999997</v>
      </c>
      <c r="K137" s="337">
        <f t="shared" ref="K137:P137" ca="1" si="40">K129-SUM(K133:K134)</f>
        <v>28112.019924848297</v>
      </c>
      <c r="L137" s="337">
        <f t="shared" ca="1" si="40"/>
        <v>35971.596212118937</v>
      </c>
      <c r="M137" s="337">
        <f t="shared" ca="1" si="40"/>
        <v>43470.382714626736</v>
      </c>
      <c r="N137" s="337">
        <f t="shared" ca="1" si="40"/>
        <v>59805.295123540498</v>
      </c>
      <c r="O137" s="337">
        <f t="shared" ca="1" si="40"/>
        <v>81947.513255765924</v>
      </c>
      <c r="P137" s="337">
        <f t="shared" ca="1" si="40"/>
        <v>95744.387799823904</v>
      </c>
    </row>
    <row r="138" spans="2:16" x14ac:dyDescent="0.2">
      <c r="C138" s="355" t="s">
        <v>394</v>
      </c>
      <c r="D138" s="359"/>
      <c r="E138" s="359"/>
      <c r="F138" s="357" t="s">
        <v>168</v>
      </c>
      <c r="G138" s="359"/>
      <c r="H138" s="359">
        <f>IFERROR(H137/H129,0)</f>
        <v>0.39803917479705075</v>
      </c>
      <c r="I138" s="359">
        <f t="shared" ref="I138:P138" si="41">IFERROR(I137/I129,0)</f>
        <v>0.4216634708162843</v>
      </c>
      <c r="J138" s="359">
        <f t="shared" si="41"/>
        <v>0.4211385884429128</v>
      </c>
      <c r="K138" s="359">
        <f t="shared" ca="1" si="41"/>
        <v>0.43743652932966332</v>
      </c>
      <c r="L138" s="360">
        <f t="shared" ca="1" si="41"/>
        <v>0.45929583922087297</v>
      </c>
      <c r="M138" s="359">
        <f t="shared" ca="1" si="41"/>
        <v>0.47324223088837697</v>
      </c>
      <c r="N138" s="359">
        <f t="shared" ca="1" si="41"/>
        <v>0.49745925936930768</v>
      </c>
      <c r="O138" s="359">
        <f t="shared" ca="1" si="41"/>
        <v>0.51722414478504131</v>
      </c>
      <c r="P138" s="359">
        <f t="shared" ca="1" si="41"/>
        <v>0.52253104022715258</v>
      </c>
    </row>
    <row r="139" spans="2:16" x14ac:dyDescent="0.2">
      <c r="H139" s="336"/>
      <c r="I139" s="336"/>
      <c r="J139" s="336"/>
      <c r="K139" s="336"/>
      <c r="L139" s="336"/>
      <c r="M139" s="336"/>
      <c r="N139" s="336"/>
      <c r="O139" s="336"/>
      <c r="P139" s="336"/>
    </row>
    <row r="140" spans="2:16" x14ac:dyDescent="0.2">
      <c r="B140" s="2" t="s">
        <v>14</v>
      </c>
      <c r="H140" s="336"/>
      <c r="I140" s="336"/>
      <c r="J140" s="336"/>
      <c r="K140" s="336"/>
      <c r="L140" s="336"/>
      <c r="M140" s="336"/>
      <c r="N140" s="336"/>
      <c r="O140" s="336"/>
      <c r="P140" s="336"/>
    </row>
    <row r="141" spans="2:16" x14ac:dyDescent="0.2">
      <c r="C141" t="s">
        <v>15</v>
      </c>
      <c r="H141" s="335">
        <f>'Historical Data'!O16</f>
        <v>644.16999999999996</v>
      </c>
      <c r="I141" s="335">
        <f>'Historical Data'!P16</f>
        <v>786.63</v>
      </c>
      <c r="J141" s="336">
        <f>J111</f>
        <v>857.81</v>
      </c>
      <c r="K141" s="336">
        <f t="shared" ref="K141:P141" ca="1" si="42">K111</f>
        <v>981.26315583333326</v>
      </c>
      <c r="L141" s="336">
        <f t="shared" ca="1" si="42"/>
        <v>1167.2990911895834</v>
      </c>
      <c r="M141" s="336">
        <f t="shared" ca="1" si="42"/>
        <v>1354.5190317548388</v>
      </c>
      <c r="N141" s="336">
        <f t="shared" ca="1" si="42"/>
        <v>1713.8289515626388</v>
      </c>
      <c r="O141" s="336">
        <f t="shared" ca="1" si="42"/>
        <v>2198.6669734925695</v>
      </c>
      <c r="P141" s="336">
        <f t="shared" ca="1" si="42"/>
        <v>2548.2322381641725</v>
      </c>
    </row>
    <row r="142" spans="2:16" x14ac:dyDescent="0.2">
      <c r="C142" t="s">
        <v>16</v>
      </c>
      <c r="H142" s="335">
        <f>'Historical Data'!O17</f>
        <v>454.82</v>
      </c>
      <c r="I142" s="335">
        <f>'Historical Data'!P17</f>
        <v>543.57000000000005</v>
      </c>
      <c r="J142" s="336">
        <f>J112</f>
        <v>581.01</v>
      </c>
      <c r="K142" s="336">
        <f t="shared" ref="K142:P142" ca="1" si="43">K112</f>
        <v>664.62702249999995</v>
      </c>
      <c r="L142" s="336">
        <f t="shared" ca="1" si="43"/>
        <v>790.63247685625004</v>
      </c>
      <c r="M142" s="336">
        <f t="shared" ca="1" si="43"/>
        <v>917.43987904067205</v>
      </c>
      <c r="N142" s="336">
        <f t="shared" ca="1" si="43"/>
        <v>1160.8068909751678</v>
      </c>
      <c r="O142" s="336">
        <f t="shared" ca="1" si="43"/>
        <v>1489.1963235086066</v>
      </c>
      <c r="P142" s="336">
        <f t="shared" ca="1" si="43"/>
        <v>1725.9631068602209</v>
      </c>
    </row>
    <row r="143" spans="2:16" x14ac:dyDescent="0.2">
      <c r="C143" t="s">
        <v>17</v>
      </c>
      <c r="H143" s="335">
        <f>'Historical Data'!O18</f>
        <v>715.16</v>
      </c>
      <c r="I143" s="335">
        <f>'Historical Data'!P18</f>
        <v>950.26</v>
      </c>
      <c r="J143" s="336">
        <f>J113</f>
        <v>1262.18</v>
      </c>
      <c r="K143" s="336">
        <f t="shared" ref="K143:P143" ca="1" si="44">K113</f>
        <v>1443.8287383333334</v>
      </c>
      <c r="L143" s="336">
        <f t="shared" ca="1" si="44"/>
        <v>1717.5616592458337</v>
      </c>
      <c r="M143" s="336">
        <f t="shared" ca="1" si="44"/>
        <v>1993.0367231675109</v>
      </c>
      <c r="N143" s="336">
        <f t="shared" ca="1" si="44"/>
        <v>2521.7246547409468</v>
      </c>
      <c r="O143" s="336">
        <f t="shared" ca="1" si="44"/>
        <v>3235.1143966645891</v>
      </c>
      <c r="P143" s="336">
        <f t="shared" ca="1" si="44"/>
        <v>3749.4640612327385</v>
      </c>
    </row>
    <row r="144" spans="2:16" x14ac:dyDescent="0.2">
      <c r="C144" t="s">
        <v>18</v>
      </c>
      <c r="H144" s="335">
        <f>'Historical Data'!O19</f>
        <v>9883.31</v>
      </c>
      <c r="I144" s="335">
        <f>'Historical Data'!P19</f>
        <v>2589.85</v>
      </c>
      <c r="J144" s="336">
        <f>J77</f>
        <v>3624.76</v>
      </c>
      <c r="K144" s="336">
        <f t="shared" ref="K144:P144" si="45">K77</f>
        <v>3733.5028000000002</v>
      </c>
      <c r="L144" s="336">
        <f t="shared" si="45"/>
        <v>3845.5078840000001</v>
      </c>
      <c r="M144" s="336">
        <f t="shared" si="45"/>
        <v>3960.8731205200002</v>
      </c>
      <c r="N144" s="336">
        <f t="shared" si="45"/>
        <v>4079.6993141356002</v>
      </c>
      <c r="O144" s="336">
        <f t="shared" si="45"/>
        <v>4202.0902935596687</v>
      </c>
      <c r="P144" s="336">
        <f t="shared" si="45"/>
        <v>4328.1530023664591</v>
      </c>
    </row>
    <row r="145" spans="3:16" x14ac:dyDescent="0.2">
      <c r="C145" s="355" t="s">
        <v>395</v>
      </c>
      <c r="D145" s="359"/>
      <c r="E145" s="359"/>
      <c r="F145" s="357" t="s">
        <v>168</v>
      </c>
      <c r="G145" s="359"/>
      <c r="H145" s="359">
        <f>IFERROR(((SUM(H141:H143)-H144)/H129),0)</f>
        <v>-0.1602573918224473</v>
      </c>
      <c r="I145" s="359">
        <f t="shared" ref="I145:P145" si="46">IFERROR(((SUM(I141:I143)-I144)/I129),0)</f>
        <v>-5.5048574731389301E-3</v>
      </c>
      <c r="J145" s="359">
        <f t="shared" si="46"/>
        <v>-1.6850663623606005E-2</v>
      </c>
      <c r="K145" s="359">
        <f t="shared" ca="1" si="46"/>
        <v>-1.0017586367558964E-2</v>
      </c>
      <c r="L145" s="359">
        <f t="shared" ca="1" si="46"/>
        <v>-2.1707967578707184E-3</v>
      </c>
      <c r="M145" s="359">
        <f t="shared" ca="1" si="46"/>
        <v>3.3108431013819683E-3</v>
      </c>
      <c r="N145" s="359">
        <f t="shared" ca="1" si="46"/>
        <v>1.0951961622356326E-2</v>
      </c>
      <c r="O145" s="359">
        <f t="shared" ca="1" si="46"/>
        <v>1.7173293034334396E-2</v>
      </c>
      <c r="P145" s="359">
        <f t="shared" ca="1" si="46"/>
        <v>2.0168459475957388E-2</v>
      </c>
    </row>
    <row r="146" spans="3:16" x14ac:dyDescent="0.2">
      <c r="H146" s="335"/>
      <c r="I146" s="335"/>
      <c r="J146" s="336"/>
      <c r="K146" s="336"/>
      <c r="L146" s="336"/>
      <c r="M146" s="336"/>
      <c r="N146" s="336"/>
      <c r="O146" s="336"/>
      <c r="P146" s="336"/>
    </row>
    <row r="147" spans="3:16" x14ac:dyDescent="0.2">
      <c r="C147" s="2" t="s">
        <v>19</v>
      </c>
      <c r="H147" s="337">
        <f>H137-SUM(H141:H143)+H144</f>
        <v>28110.93</v>
      </c>
      <c r="I147" s="337">
        <f>I137-SUM(I141:I143)+I144</f>
        <v>24008.179999999997</v>
      </c>
      <c r="J147" s="337">
        <f>J137-SUM(J141:J143)+J144</f>
        <v>24010.742871999995</v>
      </c>
      <c r="K147" s="337">
        <f t="shared" ref="K147:P147" ca="1" si="47">K137-SUM(K141:K143)+K144</f>
        <v>28755.803808181634</v>
      </c>
      <c r="L147" s="337">
        <f t="shared" ca="1" si="47"/>
        <v>36141.610868827272</v>
      </c>
      <c r="M147" s="337">
        <f t="shared" ca="1" si="47"/>
        <v>43166.260201183715</v>
      </c>
      <c r="N147" s="337">
        <f t="shared" ca="1" si="47"/>
        <v>58488.633940397347</v>
      </c>
      <c r="O147" s="337">
        <f t="shared" ca="1" si="47"/>
        <v>79226.625855659819</v>
      </c>
      <c r="P147" s="337">
        <f t="shared" ca="1" si="47"/>
        <v>92048.881395933218</v>
      </c>
    </row>
    <row r="148" spans="3:16" x14ac:dyDescent="0.2">
      <c r="C148" s="355" t="s">
        <v>396</v>
      </c>
      <c r="D148" s="359"/>
      <c r="E148" s="359"/>
      <c r="F148" s="357" t="s">
        <v>168</v>
      </c>
      <c r="G148" s="359"/>
      <c r="H148" s="359">
        <f>IFERROR(H147/H129,0)</f>
        <v>0.558296566619498</v>
      </c>
      <c r="I148" s="359">
        <f t="shared" ref="I148:P148" si="48">IFERROR(I147/I129,0)</f>
        <v>0.42716832828942319</v>
      </c>
      <c r="J148" s="359">
        <f t="shared" si="48"/>
        <v>0.43798925206651879</v>
      </c>
      <c r="K148" s="359">
        <f t="shared" ca="1" si="48"/>
        <v>0.44745411569722238</v>
      </c>
      <c r="L148" s="360">
        <f t="shared" ca="1" si="48"/>
        <v>0.46146663597874371</v>
      </c>
      <c r="M148" s="359">
        <f t="shared" ca="1" si="48"/>
        <v>0.469931387786995</v>
      </c>
      <c r="N148" s="359">
        <f t="shared" ca="1" si="48"/>
        <v>0.48650729774695139</v>
      </c>
      <c r="O148" s="359">
        <f t="shared" ca="1" si="48"/>
        <v>0.50005085175070685</v>
      </c>
      <c r="P148" s="359">
        <f t="shared" ca="1" si="48"/>
        <v>0.50236258075119511</v>
      </c>
    </row>
    <row r="149" spans="3:16" x14ac:dyDescent="0.2">
      <c r="H149" s="336"/>
      <c r="I149" s="336"/>
      <c r="J149" s="336"/>
      <c r="K149" s="336"/>
      <c r="L149" s="336"/>
      <c r="M149" s="336"/>
      <c r="N149" s="336"/>
      <c r="O149" s="336"/>
      <c r="P149" s="336"/>
    </row>
    <row r="150" spans="3:16" x14ac:dyDescent="0.2">
      <c r="C150" t="s">
        <v>20</v>
      </c>
      <c r="H150" s="335">
        <f>'Historical Data'!O22</f>
        <v>3931.33</v>
      </c>
      <c r="I150" s="335">
        <f>'Historical Data'!P22</f>
        <v>4308.88</v>
      </c>
      <c r="J150" s="336">
        <f>J338</f>
        <v>4564.53</v>
      </c>
      <c r="K150" s="336">
        <f t="shared" ref="K150:P150" si="49">K338</f>
        <v>5130.3100000000004</v>
      </c>
      <c r="L150" s="336">
        <f t="shared" si="49"/>
        <v>6068.61</v>
      </c>
      <c r="M150" s="336">
        <f t="shared" si="49"/>
        <v>6924.35</v>
      </c>
      <c r="N150" s="336">
        <f t="shared" si="49"/>
        <v>8731.2900000000009</v>
      </c>
      <c r="O150" s="336">
        <f t="shared" si="49"/>
        <v>11089.43</v>
      </c>
      <c r="P150" s="336">
        <f t="shared" si="49"/>
        <v>12514.77</v>
      </c>
    </row>
    <row r="151" spans="3:16" x14ac:dyDescent="0.2">
      <c r="C151" s="355" t="s">
        <v>397</v>
      </c>
      <c r="D151" s="359"/>
      <c r="E151" s="359"/>
      <c r="F151" s="357" t="s">
        <v>168</v>
      </c>
      <c r="G151" s="359"/>
      <c r="H151" s="359">
        <f>IFERROR(H150/H129,0)</f>
        <v>7.8078101338099851E-2</v>
      </c>
      <c r="I151" s="359">
        <f t="shared" ref="I151:P151" si="50">IFERROR(I150/I129,0)</f>
        <v>7.6666247354015601E-2</v>
      </c>
      <c r="J151" s="359">
        <f t="shared" si="50"/>
        <v>8.3263358047391406E-2</v>
      </c>
      <c r="K151" s="359">
        <f t="shared" ca="1" si="50"/>
        <v>7.9830087157900159E-2</v>
      </c>
      <c r="L151" s="360">
        <f t="shared" ca="1" si="50"/>
        <v>7.7485783683825971E-2</v>
      </c>
      <c r="M151" s="359">
        <f t="shared" ca="1" si="50"/>
        <v>7.5382240431698264E-2</v>
      </c>
      <c r="N151" s="359">
        <f t="shared" ca="1" si="50"/>
        <v>7.2626697147239294E-2</v>
      </c>
      <c r="O151" s="359">
        <f t="shared" ca="1" si="50"/>
        <v>6.9992617469694957E-2</v>
      </c>
      <c r="P151" s="359">
        <f t="shared" ca="1" si="50"/>
        <v>6.8300147262684671E-2</v>
      </c>
    </row>
    <row r="152" spans="3:16" x14ac:dyDescent="0.2">
      <c r="H152" s="335"/>
      <c r="I152" s="335"/>
      <c r="J152" s="336"/>
      <c r="K152" s="336"/>
      <c r="L152" s="336"/>
      <c r="M152" s="336"/>
      <c r="N152" s="336"/>
      <c r="O152" s="336"/>
      <c r="P152" s="336"/>
    </row>
    <row r="153" spans="3:16" x14ac:dyDescent="0.2">
      <c r="C153" s="2" t="s">
        <v>21</v>
      </c>
      <c r="H153" s="337">
        <f>H147-H150</f>
        <v>24179.599999999999</v>
      </c>
      <c r="I153" s="337">
        <f>I147-I150</f>
        <v>19699.299999999996</v>
      </c>
      <c r="J153" s="337">
        <f>J147-J150</f>
        <v>19446.212871999996</v>
      </c>
      <c r="K153" s="337">
        <f t="shared" ref="K153:P153" ca="1" si="51">K147-K150</f>
        <v>23625.493808181633</v>
      </c>
      <c r="L153" s="337">
        <f t="shared" ca="1" si="51"/>
        <v>30073.000868827272</v>
      </c>
      <c r="M153" s="337">
        <f t="shared" ca="1" si="51"/>
        <v>36241.910201183717</v>
      </c>
      <c r="N153" s="337">
        <f t="shared" ca="1" si="51"/>
        <v>49757.343940397346</v>
      </c>
      <c r="O153" s="337">
        <f t="shared" ca="1" si="51"/>
        <v>68137.195855659811</v>
      </c>
      <c r="P153" s="337">
        <f t="shared" ca="1" si="51"/>
        <v>79534.111395933214</v>
      </c>
    </row>
    <row r="154" spans="3:16" x14ac:dyDescent="0.2">
      <c r="C154" s="355" t="s">
        <v>398</v>
      </c>
      <c r="D154" s="359"/>
      <c r="E154" s="359"/>
      <c r="F154" s="357" t="s">
        <v>168</v>
      </c>
      <c r="G154" s="359"/>
      <c r="H154" s="359">
        <f>IFERROR(H153/H129,0)</f>
        <v>0.48021846528139817</v>
      </c>
      <c r="I154" s="359">
        <f t="shared" ref="I154:P154" si="52">IFERROR(I153/I129,0)</f>
        <v>0.35050208093540758</v>
      </c>
      <c r="J154" s="359">
        <f t="shared" si="52"/>
        <v>0.35472589401912735</v>
      </c>
      <c r="K154" s="359">
        <f t="shared" ca="1" si="52"/>
        <v>0.36762402853932219</v>
      </c>
      <c r="L154" s="360">
        <f t="shared" ca="1" si="52"/>
        <v>0.38398085229491774</v>
      </c>
      <c r="M154" s="359">
        <f t="shared" ca="1" si="52"/>
        <v>0.39454914735529673</v>
      </c>
      <c r="N154" s="359">
        <f t="shared" ca="1" si="52"/>
        <v>0.4138806005997121</v>
      </c>
      <c r="O154" s="359">
        <f t="shared" ca="1" si="52"/>
        <v>0.43005823428101186</v>
      </c>
      <c r="P154" s="359">
        <f t="shared" ca="1" si="52"/>
        <v>0.43406243348851042</v>
      </c>
    </row>
    <row r="155" spans="3:16" x14ac:dyDescent="0.2">
      <c r="H155" s="336"/>
      <c r="I155" s="336"/>
      <c r="J155" s="336"/>
      <c r="K155" s="336"/>
      <c r="L155" s="336"/>
      <c r="M155" s="336"/>
      <c r="N155" s="336"/>
      <c r="O155" s="336"/>
      <c r="P155" s="336"/>
    </row>
    <row r="156" spans="3:16" x14ac:dyDescent="0.2">
      <c r="C156" t="s">
        <v>22</v>
      </c>
      <c r="H156" s="335">
        <f>'Historical Data'!O25</f>
        <v>3388.09</v>
      </c>
      <c r="I156" s="335">
        <f>'Historical Data'!P25</f>
        <v>3339.79</v>
      </c>
      <c r="J156" s="335">
        <f>'Historical Data'!Q25</f>
        <v>3366.83</v>
      </c>
      <c r="K156" s="336">
        <f>K421</f>
        <v>3356.634345562717</v>
      </c>
      <c r="L156" s="336">
        <f t="shared" ref="L156:P156" ca="1" si="53">L421</f>
        <v>4226.0973396289692</v>
      </c>
      <c r="M156" s="336">
        <f t="shared" ca="1" si="53"/>
        <v>5251.0157145793755</v>
      </c>
      <c r="N156" s="336">
        <f t="shared" ca="1" si="53"/>
        <v>6159.65333237915</v>
      </c>
      <c r="O156" s="336">
        <f t="shared" ca="1" si="53"/>
        <v>7926.3658981437429</v>
      </c>
      <c r="P156" s="336">
        <f t="shared" ca="1" si="53"/>
        <v>8349.4719926432845</v>
      </c>
    </row>
    <row r="157" spans="3:16" x14ac:dyDescent="0.2">
      <c r="C157" s="355" t="s">
        <v>399</v>
      </c>
      <c r="D157" s="359"/>
      <c r="E157" s="359"/>
      <c r="F157" s="357" t="s">
        <v>168</v>
      </c>
      <c r="G157" s="359"/>
      <c r="H157" s="359">
        <f>IFERROR(H156/H129,0)</f>
        <v>6.7289094113850201E-2</v>
      </c>
      <c r="I157" s="359">
        <f t="shared" ref="I157:P157" si="54">IFERROR(I156/I129,0)</f>
        <v>5.9423601086701819E-2</v>
      </c>
      <c r="J157" s="359">
        <f t="shared" si="54"/>
        <v>6.1415648878350861E-2</v>
      </c>
      <c r="K157" s="359">
        <f t="shared" ca="1" si="54"/>
        <v>5.22308422616709E-2</v>
      </c>
      <c r="L157" s="360">
        <f t="shared" ca="1" si="54"/>
        <v>5.3960044274600404E-2</v>
      </c>
      <c r="M157" s="359">
        <f t="shared" ca="1" si="54"/>
        <v>5.7165413231140591E-2</v>
      </c>
      <c r="N157" s="359">
        <f t="shared" ca="1" si="54"/>
        <v>5.1235874321284E-2</v>
      </c>
      <c r="O157" s="359">
        <f t="shared" ca="1" si="54"/>
        <v>5.002845919344908E-2</v>
      </c>
      <c r="P157" s="359">
        <f t="shared" ca="1" si="54"/>
        <v>4.5567770455485601E-2</v>
      </c>
    </row>
    <row r="158" spans="3:16" x14ac:dyDescent="0.2">
      <c r="F158" s="357"/>
      <c r="H158" s="335"/>
      <c r="I158" s="335"/>
      <c r="J158" s="335"/>
      <c r="K158" s="336"/>
      <c r="L158" s="336"/>
      <c r="M158" s="336"/>
      <c r="N158" s="336"/>
      <c r="O158" s="336"/>
      <c r="P158" s="336"/>
    </row>
    <row r="159" spans="3:16" x14ac:dyDescent="0.2">
      <c r="C159" s="2" t="s">
        <v>23</v>
      </c>
      <c r="H159" s="337">
        <f>H153-H156</f>
        <v>20791.509999999998</v>
      </c>
      <c r="I159" s="337">
        <f t="shared" ref="I159:P159" si="55">I153-I156</f>
        <v>16359.509999999995</v>
      </c>
      <c r="J159" s="337">
        <f t="shared" si="55"/>
        <v>16079.382871999996</v>
      </c>
      <c r="K159" s="337">
        <f t="shared" ca="1" si="55"/>
        <v>20268.859462618915</v>
      </c>
      <c r="L159" s="337">
        <f t="shared" ca="1" si="55"/>
        <v>25846.903529198302</v>
      </c>
      <c r="M159" s="337">
        <f t="shared" ca="1" si="55"/>
        <v>30990.894486604342</v>
      </c>
      <c r="N159" s="337">
        <f t="shared" ca="1" si="55"/>
        <v>43597.690608018194</v>
      </c>
      <c r="O159" s="337">
        <f t="shared" ca="1" si="55"/>
        <v>60210.829957516071</v>
      </c>
      <c r="P159" s="337">
        <f t="shared" ca="1" si="55"/>
        <v>71184.639403289926</v>
      </c>
    </row>
    <row r="160" spans="3:16" x14ac:dyDescent="0.2">
      <c r="C160" s="355" t="s">
        <v>400</v>
      </c>
      <c r="D160" s="359"/>
      <c r="E160" s="359"/>
      <c r="F160" s="357" t="s">
        <v>168</v>
      </c>
      <c r="G160" s="359"/>
      <c r="H160" s="359">
        <f>IFERROR(H159/H129,0)</f>
        <v>0.41292937116754797</v>
      </c>
      <c r="I160" s="359">
        <f t="shared" ref="I160:P160" si="56">IFERROR(I159/I129,0)</f>
        <v>0.29107847984870577</v>
      </c>
      <c r="J160" s="359">
        <f t="shared" si="56"/>
        <v>0.29331024514077653</v>
      </c>
      <c r="K160" s="359">
        <f t="shared" ca="1" si="56"/>
        <v>0.31539318627765128</v>
      </c>
      <c r="L160" s="360">
        <f t="shared" ca="1" si="56"/>
        <v>0.3300208080203173</v>
      </c>
      <c r="M160" s="359">
        <f t="shared" ca="1" si="56"/>
        <v>0.33738373412415618</v>
      </c>
      <c r="N160" s="359">
        <f t="shared" ca="1" si="56"/>
        <v>0.36264472627842809</v>
      </c>
      <c r="O160" s="359">
        <f t="shared" ca="1" si="56"/>
        <v>0.3800297750875628</v>
      </c>
      <c r="P160" s="359">
        <f t="shared" ca="1" si="56"/>
        <v>0.38849466303302482</v>
      </c>
    </row>
    <row r="161" spans="2:16" x14ac:dyDescent="0.2">
      <c r="H161" s="336"/>
      <c r="I161" s="336"/>
      <c r="J161" s="336"/>
      <c r="K161" s="336"/>
      <c r="L161" s="336"/>
      <c r="M161" s="336"/>
      <c r="N161" s="336"/>
      <c r="O161" s="336"/>
      <c r="P161" s="336"/>
    </row>
    <row r="162" spans="2:16" x14ac:dyDescent="0.2">
      <c r="C162" t="s">
        <v>24</v>
      </c>
      <c r="H162" s="335">
        <f>'Historical Data'!O28</f>
        <v>-37.28</v>
      </c>
      <c r="I162" s="335">
        <f>'Historical Data'!P28</f>
        <v>3609.9</v>
      </c>
      <c r="J162" s="335">
        <f>'Historical Data'!Q28</f>
        <v>2528.4299999999998</v>
      </c>
      <c r="K162" s="336">
        <f ca="1">K445</f>
        <v>5101.2665495519286</v>
      </c>
      <c r="L162" s="336">
        <f t="shared" ref="L162:P162" ca="1" si="57">L445</f>
        <v>6505.148680228629</v>
      </c>
      <c r="M162" s="336">
        <f t="shared" ca="1" si="57"/>
        <v>7799.7883243885817</v>
      </c>
      <c r="N162" s="336">
        <f t="shared" ca="1" si="57"/>
        <v>10972.666772226019</v>
      </c>
      <c r="O162" s="336">
        <f t="shared" ca="1" si="57"/>
        <v>15153.861683707646</v>
      </c>
      <c r="P162" s="336">
        <f t="shared" ca="1" si="57"/>
        <v>17915.75004502001</v>
      </c>
    </row>
    <row r="163" spans="2:16" x14ac:dyDescent="0.2">
      <c r="C163" s="355" t="s">
        <v>402</v>
      </c>
      <c r="D163" s="359"/>
      <c r="E163" s="359"/>
      <c r="F163" s="357" t="s">
        <v>168</v>
      </c>
      <c r="G163" s="359"/>
      <c r="H163" s="359">
        <f>IFERROR(H162/H159, 0)</f>
        <v>-1.7930395627830786E-3</v>
      </c>
      <c r="I163" s="359">
        <f t="shared" ref="I163:P163" si="58">IFERROR(I162/I159, 0)</f>
        <v>0.22066064325887519</v>
      </c>
      <c r="J163" s="359">
        <f t="shared" si="58"/>
        <v>0.15724670655133838</v>
      </c>
      <c r="K163" s="359">
        <f t="shared" ca="1" si="58"/>
        <v>0.25168000000000001</v>
      </c>
      <c r="L163" s="360">
        <f t="shared" ca="1" si="58"/>
        <v>0.25168000000000001</v>
      </c>
      <c r="M163" s="359">
        <f t="shared" ca="1" si="58"/>
        <v>0.25168000000000001</v>
      </c>
      <c r="N163" s="359">
        <f t="shared" ca="1" si="58"/>
        <v>0.25168000000000001</v>
      </c>
      <c r="O163" s="359">
        <f t="shared" ca="1" si="58"/>
        <v>0.25168000000000001</v>
      </c>
      <c r="P163" s="359">
        <f t="shared" ca="1" si="58"/>
        <v>0.25168000000000001</v>
      </c>
    </row>
    <row r="164" spans="2:16" x14ac:dyDescent="0.2">
      <c r="H164" s="336"/>
      <c r="I164" s="336"/>
      <c r="J164" s="336"/>
      <c r="K164" s="336"/>
      <c r="L164" s="336"/>
      <c r="M164" s="336"/>
      <c r="N164" s="336"/>
      <c r="O164" s="336"/>
      <c r="P164" s="336"/>
    </row>
    <row r="165" spans="2:16" ht="16" thickBot="1" x14ac:dyDescent="0.25">
      <c r="C165" s="2" t="s">
        <v>25</v>
      </c>
      <c r="H165" s="338">
        <f>H159-H162</f>
        <v>20828.789999999997</v>
      </c>
      <c r="I165" s="338">
        <f t="shared" ref="I165:P165" si="59">I159-I162</f>
        <v>12749.609999999995</v>
      </c>
      <c r="J165" s="338">
        <f t="shared" si="59"/>
        <v>13550.952871999996</v>
      </c>
      <c r="K165" s="338">
        <f t="shared" ca="1" si="59"/>
        <v>15167.592913066987</v>
      </c>
      <c r="L165" s="338">
        <f t="shared" ca="1" si="59"/>
        <v>19341.754848969671</v>
      </c>
      <c r="M165" s="338">
        <f t="shared" ca="1" si="59"/>
        <v>23191.106162215761</v>
      </c>
      <c r="N165" s="338">
        <f t="shared" ca="1" si="59"/>
        <v>32625.023835792177</v>
      </c>
      <c r="O165" s="338">
        <f t="shared" ca="1" si="59"/>
        <v>45056.968273808423</v>
      </c>
      <c r="P165" s="338">
        <f t="shared" ca="1" si="59"/>
        <v>53268.889358269917</v>
      </c>
    </row>
    <row r="166" spans="2:16" ht="16" thickTop="1" x14ac:dyDescent="0.2">
      <c r="C166" s="355" t="s">
        <v>401</v>
      </c>
      <c r="D166" s="359"/>
      <c r="E166" s="359"/>
      <c r="F166" s="357" t="s">
        <v>168</v>
      </c>
      <c r="G166" s="359"/>
      <c r="H166" s="359">
        <f>IFERROR(H165/H129,0)</f>
        <v>0.41366976986668647</v>
      </c>
      <c r="I166" s="359">
        <f t="shared" ref="I166:P166" si="60">IFERROR(I165/I129,0)</f>
        <v>0.2268489152464748</v>
      </c>
      <c r="J166" s="359">
        <f t="shared" si="60"/>
        <v>0.24718817509462371</v>
      </c>
      <c r="K166" s="359">
        <f t="shared" ca="1" si="60"/>
        <v>0.23601502915529202</v>
      </c>
      <c r="L166" s="360">
        <f t="shared" ca="1" si="60"/>
        <v>0.24696117105776383</v>
      </c>
      <c r="M166" s="359">
        <f t="shared" ca="1" si="60"/>
        <v>0.25247099591978855</v>
      </c>
      <c r="N166" s="359">
        <f t="shared" ca="1" si="60"/>
        <v>0.27137430156867332</v>
      </c>
      <c r="O166" s="359">
        <f t="shared" ca="1" si="60"/>
        <v>0.28438388129352499</v>
      </c>
      <c r="P166" s="359">
        <f t="shared" ca="1" si="60"/>
        <v>0.29071832624087313</v>
      </c>
    </row>
    <row r="167" spans="2:16" x14ac:dyDescent="0.2">
      <c r="C167" t="s">
        <v>324</v>
      </c>
      <c r="H167" s="335">
        <f>-'Historical Data'!O93</f>
        <v>0</v>
      </c>
      <c r="I167" s="335">
        <f>-'Historical Data'!P93</f>
        <v>-1326</v>
      </c>
      <c r="J167" s="335">
        <f>-J473</f>
        <v>-142.28500515599998</v>
      </c>
      <c r="K167" s="336">
        <f ca="1">-K473</f>
        <v>-159.25972558720338</v>
      </c>
      <c r="L167" s="336">
        <f t="shared" ref="L167:P167" ca="1" si="61">-L473</f>
        <v>-203.08842591418156</v>
      </c>
      <c r="M167" s="336">
        <f t="shared" ca="1" si="61"/>
        <v>-243.50661470326551</v>
      </c>
      <c r="N167" s="336">
        <f t="shared" ca="1" si="61"/>
        <v>-342.5627502758179</v>
      </c>
      <c r="O167" s="336">
        <f t="shared" ca="1" si="61"/>
        <v>-473.09816687498846</v>
      </c>
      <c r="P167" s="336">
        <f t="shared" ca="1" si="61"/>
        <v>-559.32333826183412</v>
      </c>
    </row>
    <row r="168" spans="2:16" x14ac:dyDescent="0.2">
      <c r="C168" s="2" t="s">
        <v>325</v>
      </c>
      <c r="H168" s="337">
        <f>H165+H167</f>
        <v>20828.789999999997</v>
      </c>
      <c r="I168" s="337">
        <f t="shared" ref="I168:P168" si="62">I165+I167</f>
        <v>11423.609999999995</v>
      </c>
      <c r="J168" s="337">
        <f t="shared" si="62"/>
        <v>13408.667866843996</v>
      </c>
      <c r="K168" s="337">
        <f t="shared" ca="1" si="62"/>
        <v>15008.333187479782</v>
      </c>
      <c r="L168" s="337">
        <f t="shared" ca="1" si="62"/>
        <v>19138.666423055489</v>
      </c>
      <c r="M168" s="337">
        <f t="shared" ca="1" si="62"/>
        <v>22947.599547512495</v>
      </c>
      <c r="N168" s="337">
        <f t="shared" ca="1" si="62"/>
        <v>32282.461085516359</v>
      </c>
      <c r="O168" s="337">
        <f t="shared" ca="1" si="62"/>
        <v>44583.870106933435</v>
      </c>
      <c r="P168" s="337">
        <f t="shared" ca="1" si="62"/>
        <v>52709.566020008082</v>
      </c>
    </row>
    <row r="169" spans="2:16" x14ac:dyDescent="0.2">
      <c r="C169" s="2"/>
      <c r="H169" s="339"/>
      <c r="I169" s="339"/>
      <c r="J169" s="339"/>
      <c r="K169" s="339"/>
      <c r="L169" s="339"/>
      <c r="M169" s="339"/>
      <c r="N169" s="339"/>
      <c r="O169" s="339"/>
      <c r="P169" s="339"/>
    </row>
    <row r="170" spans="2:16" x14ac:dyDescent="0.2">
      <c r="C170" t="s">
        <v>413</v>
      </c>
      <c r="H170" s="335">
        <f>'Historical Data'!O102</f>
        <v>1928.4694705000002</v>
      </c>
      <c r="I170" s="335">
        <f>'Historical Data'!P102</f>
        <v>1928.4694705000002</v>
      </c>
      <c r="J170" s="335">
        <f>'Historical Data'!Q102</f>
        <v>1928.4694704999999</v>
      </c>
      <c r="K170" s="336">
        <f>J170</f>
        <v>1928.4694704999999</v>
      </c>
      <c r="L170" s="336">
        <f t="shared" ref="L170:P170" si="63">K170</f>
        <v>1928.4694704999999</v>
      </c>
      <c r="M170" s="336">
        <f t="shared" si="63"/>
        <v>1928.4694704999999</v>
      </c>
      <c r="N170" s="336">
        <f t="shared" si="63"/>
        <v>1928.4694704999999</v>
      </c>
      <c r="O170" s="336">
        <f t="shared" si="63"/>
        <v>1928.4694704999999</v>
      </c>
      <c r="P170" s="336">
        <f t="shared" si="63"/>
        <v>1928.4694704999999</v>
      </c>
    </row>
    <row r="171" spans="2:16" x14ac:dyDescent="0.2">
      <c r="C171" s="2"/>
      <c r="H171" s="339"/>
      <c r="I171" s="339"/>
      <c r="J171" s="339"/>
      <c r="K171" s="339"/>
      <c r="L171" s="339"/>
      <c r="M171" s="339"/>
      <c r="N171" s="339"/>
      <c r="O171" s="339"/>
      <c r="P171" s="339"/>
    </row>
    <row r="172" spans="2:16" x14ac:dyDescent="0.2">
      <c r="C172" s="2" t="s">
        <v>119</v>
      </c>
      <c r="H172" s="362">
        <f>H168/H170</f>
        <v>10.800684334712155</v>
      </c>
      <c r="I172" s="362">
        <f t="shared" ref="I172:P172" si="64">I168/I170</f>
        <v>5.9236665006878022</v>
      </c>
      <c r="J172" s="362">
        <f t="shared" si="64"/>
        <v>6.9530101834422569</v>
      </c>
      <c r="K172" s="362">
        <f t="shared" ca="1" si="64"/>
        <v>7.7825101289202818</v>
      </c>
      <c r="L172" s="362">
        <f t="shared" ca="1" si="64"/>
        <v>9.9242776283584888</v>
      </c>
      <c r="M172" s="362">
        <f t="shared" ca="1" si="64"/>
        <v>11.899384407450745</v>
      </c>
      <c r="N172" s="362">
        <f t="shared" ca="1" si="64"/>
        <v>16.739938889022905</v>
      </c>
      <c r="O172" s="362">
        <f t="shared" ca="1" si="64"/>
        <v>23.118784501874455</v>
      </c>
      <c r="P172" s="362">
        <f t="shared" ca="1" si="64"/>
        <v>27.332331066844382</v>
      </c>
    </row>
    <row r="173" spans="2:16" x14ac:dyDescent="0.2">
      <c r="C173" s="355" t="s">
        <v>412</v>
      </c>
      <c r="D173" s="359"/>
      <c r="E173" s="359"/>
      <c r="F173" s="357" t="s">
        <v>168</v>
      </c>
      <c r="G173" s="359"/>
      <c r="H173" s="359"/>
      <c r="I173" s="359">
        <f>I172/H172-1</f>
        <v>-0.45154711339448927</v>
      </c>
      <c r="J173" s="359">
        <f t="shared" ref="J173:P173" si="65">J172/I172-1</f>
        <v>0.17376800038201612</v>
      </c>
      <c r="K173" s="359">
        <f t="shared" ca="1" si="65"/>
        <v>0.11930083857109519</v>
      </c>
      <c r="L173" s="360">
        <f t="shared" ca="1" si="65"/>
        <v>0.27520266134691784</v>
      </c>
      <c r="M173" s="359">
        <f t="shared" ca="1" si="65"/>
        <v>0.19901768703531775</v>
      </c>
      <c r="N173" s="359">
        <f t="shared" ca="1" si="65"/>
        <v>0.40679032761907163</v>
      </c>
      <c r="O173" s="359">
        <f t="shared" ca="1" si="65"/>
        <v>0.38105548981629989</v>
      </c>
      <c r="P173" s="359">
        <f t="shared" ca="1" si="65"/>
        <v>0.18225640559209744</v>
      </c>
    </row>
    <row r="174" spans="2:16" x14ac:dyDescent="0.2">
      <c r="C174" s="2"/>
      <c r="H174" s="339"/>
      <c r="I174" s="339"/>
      <c r="J174" s="339"/>
      <c r="K174" s="339"/>
      <c r="L174" s="339"/>
      <c r="M174" s="339"/>
      <c r="N174" s="339"/>
      <c r="O174" s="339"/>
      <c r="P174" s="339"/>
    </row>
    <row r="175" spans="2:16" x14ac:dyDescent="0.2">
      <c r="C175" s="2"/>
      <c r="H175" s="339"/>
      <c r="I175" s="339"/>
      <c r="J175" s="339"/>
      <c r="K175" s="339"/>
      <c r="L175" s="339"/>
      <c r="M175" s="339"/>
      <c r="N175" s="339"/>
      <c r="O175" s="339"/>
      <c r="P175" s="339"/>
    </row>
    <row r="176" spans="2:16" x14ac:dyDescent="0.2">
      <c r="B176" s="47"/>
      <c r="C176" s="47"/>
      <c r="D176" s="47"/>
      <c r="E176" s="47"/>
      <c r="F176" s="47"/>
      <c r="G176" s="47"/>
      <c r="H176" s="47"/>
      <c r="I176" s="47"/>
      <c r="J176" s="47"/>
      <c r="K176" s="47"/>
      <c r="L176" s="47"/>
      <c r="M176" s="47"/>
      <c r="N176" s="47"/>
      <c r="O176" s="47"/>
      <c r="P176" s="289" t="str">
        <f>P341</f>
        <v>CURRENTLY RUNNING: BASE CASE SCENARIO</v>
      </c>
    </row>
    <row r="177" spans="2:16" ht="20" x14ac:dyDescent="0.2">
      <c r="B177" s="243" t="str">
        <f>B342</f>
        <v>Adani Power</v>
      </c>
      <c r="C177" s="5"/>
      <c r="D177" s="5"/>
      <c r="E177" s="5"/>
      <c r="F177" s="5"/>
      <c r="G177" s="5"/>
      <c r="H177" s="5"/>
      <c r="I177" s="5"/>
      <c r="J177" s="5"/>
      <c r="K177" s="5"/>
      <c r="L177" s="5"/>
      <c r="M177" s="5"/>
      <c r="N177" s="5"/>
      <c r="O177" s="5"/>
      <c r="P177" s="5"/>
    </row>
    <row r="178" spans="2:16" ht="18" x14ac:dyDescent="0.2">
      <c r="B178" s="488" t="s">
        <v>71</v>
      </c>
      <c r="C178" s="491"/>
      <c r="D178" s="491"/>
      <c r="E178" s="491"/>
      <c r="F178" s="491"/>
      <c r="G178" s="491"/>
      <c r="H178" s="491"/>
      <c r="I178" s="491"/>
      <c r="J178" s="491"/>
      <c r="K178" s="491"/>
      <c r="L178" s="491"/>
      <c r="M178" s="491"/>
      <c r="N178" s="491"/>
      <c r="O178" s="491"/>
      <c r="P178" s="491"/>
    </row>
    <row r="179" spans="2:16" ht="3" customHeight="1" thickBot="1" x14ac:dyDescent="0.25">
      <c r="B179" s="1"/>
      <c r="C179" s="1"/>
      <c r="D179" s="1"/>
      <c r="E179" s="1"/>
      <c r="F179" s="343"/>
      <c r="G179" s="1"/>
      <c r="H179" s="1"/>
      <c r="I179" s="1"/>
      <c r="J179" s="344"/>
      <c r="K179" s="345"/>
      <c r="L179" s="345"/>
      <c r="M179" s="345"/>
      <c r="N179" s="345"/>
      <c r="O179" s="345"/>
      <c r="P179" s="345"/>
    </row>
    <row r="180" spans="2:16" ht="16" thickTop="1" x14ac:dyDescent="0.2">
      <c r="B180" s="39" t="s">
        <v>7</v>
      </c>
      <c r="C180" s="2"/>
      <c r="H180" s="339"/>
      <c r="I180" s="339"/>
      <c r="J180" s="339"/>
      <c r="K180" s="339"/>
      <c r="L180" s="339"/>
      <c r="M180" s="339"/>
      <c r="N180" s="339"/>
      <c r="O180" s="339"/>
      <c r="P180" s="339"/>
    </row>
    <row r="181" spans="2:16" x14ac:dyDescent="0.2">
      <c r="C181" s="2"/>
      <c r="H181" s="339"/>
      <c r="I181" s="339"/>
      <c r="J181" s="339"/>
      <c r="K181" s="247" t="str">
        <f>K126</f>
        <v>Projected</v>
      </c>
      <c r="L181" s="247"/>
      <c r="M181" s="247"/>
      <c r="N181" s="247"/>
      <c r="O181" s="247"/>
      <c r="P181" s="247"/>
    </row>
    <row r="182" spans="2:16" x14ac:dyDescent="0.2">
      <c r="C182" s="2"/>
      <c r="H182" s="245">
        <f>H127</f>
        <v>2024</v>
      </c>
      <c r="I182" s="245">
        <f>I127</f>
        <v>2025</v>
      </c>
      <c r="J182" s="245">
        <f>J127</f>
        <v>2026</v>
      </c>
      <c r="K182" s="246">
        <f>K127</f>
        <v>2027</v>
      </c>
      <c r="L182" s="246">
        <f>L127</f>
        <v>2028</v>
      </c>
      <c r="M182" s="246">
        <f>M127</f>
        <v>2029</v>
      </c>
      <c r="N182" s="246">
        <f>N127</f>
        <v>2030</v>
      </c>
      <c r="O182" s="246">
        <f>O127</f>
        <v>2031</v>
      </c>
      <c r="P182" s="246">
        <f>P127</f>
        <v>2032</v>
      </c>
    </row>
    <row r="183" spans="2:16" x14ac:dyDescent="0.2">
      <c r="B183" s="2" t="s">
        <v>326</v>
      </c>
      <c r="C183" s="2"/>
      <c r="H183" s="339"/>
      <c r="I183" s="339"/>
      <c r="J183" s="339"/>
      <c r="K183" s="339"/>
      <c r="L183" s="339"/>
      <c r="M183" s="339"/>
      <c r="N183" s="339"/>
      <c r="O183" s="339"/>
      <c r="P183" s="339"/>
    </row>
    <row r="184" spans="2:16" x14ac:dyDescent="0.2">
      <c r="C184" t="s">
        <v>73</v>
      </c>
      <c r="H184" s="335">
        <f t="shared" ref="H184:P184" si="66">H165</f>
        <v>20828.789999999997</v>
      </c>
      <c r="I184" s="335">
        <f t="shared" si="66"/>
        <v>12749.609999999995</v>
      </c>
      <c r="J184" s="336">
        <f t="shared" si="66"/>
        <v>13550.952871999996</v>
      </c>
      <c r="K184" s="336">
        <f t="shared" ca="1" si="66"/>
        <v>15167.592913066987</v>
      </c>
      <c r="L184" s="336">
        <f t="shared" ca="1" si="66"/>
        <v>19341.754848969671</v>
      </c>
      <c r="M184" s="336">
        <f t="shared" ca="1" si="66"/>
        <v>23191.106162215761</v>
      </c>
      <c r="N184" s="336">
        <f t="shared" ca="1" si="66"/>
        <v>32625.023835792177</v>
      </c>
      <c r="O184" s="336">
        <f t="shared" ca="1" si="66"/>
        <v>45056.968273808423</v>
      </c>
      <c r="P184" s="336">
        <f t="shared" ca="1" si="66"/>
        <v>53268.889358269917</v>
      </c>
    </row>
    <row r="185" spans="2:16" x14ac:dyDescent="0.2">
      <c r="C185" t="s">
        <v>74</v>
      </c>
      <c r="H185" s="335">
        <f t="shared" ref="H185:P185" si="67">H150</f>
        <v>3931.33</v>
      </c>
      <c r="I185" s="335">
        <f t="shared" si="67"/>
        <v>4308.88</v>
      </c>
      <c r="J185" s="336">
        <f t="shared" si="67"/>
        <v>4564.53</v>
      </c>
      <c r="K185" s="336">
        <f t="shared" si="67"/>
        <v>5130.3100000000004</v>
      </c>
      <c r="L185" s="336">
        <f t="shared" si="67"/>
        <v>6068.61</v>
      </c>
      <c r="M185" s="336">
        <f t="shared" si="67"/>
        <v>6924.35</v>
      </c>
      <c r="N185" s="336">
        <f t="shared" si="67"/>
        <v>8731.2900000000009</v>
      </c>
      <c r="O185" s="336">
        <f t="shared" si="67"/>
        <v>11089.43</v>
      </c>
      <c r="P185" s="336">
        <f t="shared" si="67"/>
        <v>12514.77</v>
      </c>
    </row>
    <row r="186" spans="2:16" x14ac:dyDescent="0.2">
      <c r="C186" t="s">
        <v>82</v>
      </c>
      <c r="H186" s="335">
        <f t="shared" ref="H186:P186" si="68">H156</f>
        <v>3388.09</v>
      </c>
      <c r="I186" s="335">
        <f t="shared" si="68"/>
        <v>3339.79</v>
      </c>
      <c r="J186" s="336">
        <f t="shared" si="68"/>
        <v>3366.83</v>
      </c>
      <c r="K186" s="336">
        <f t="shared" si="68"/>
        <v>3356.634345562717</v>
      </c>
      <c r="L186" s="336">
        <f t="shared" ca="1" si="68"/>
        <v>4226.0973396289692</v>
      </c>
      <c r="M186" s="336">
        <f t="shared" ca="1" si="68"/>
        <v>5251.0157145793755</v>
      </c>
      <c r="N186" s="336">
        <f t="shared" ca="1" si="68"/>
        <v>6159.65333237915</v>
      </c>
      <c r="O186" s="336">
        <f t="shared" ca="1" si="68"/>
        <v>7926.3658981437429</v>
      </c>
      <c r="P186" s="336">
        <f t="shared" ca="1" si="68"/>
        <v>8349.4719926432845</v>
      </c>
    </row>
    <row r="187" spans="2:16" x14ac:dyDescent="0.2">
      <c r="C187" t="s">
        <v>327</v>
      </c>
      <c r="H187" s="352">
        <v>0</v>
      </c>
      <c r="I187" s="352">
        <v>0</v>
      </c>
      <c r="J187" s="336">
        <f>J447</f>
        <v>613.84331084677092</v>
      </c>
      <c r="K187" s="336">
        <f ca="1">K445-K453</f>
        <v>112.9807791737403</v>
      </c>
      <c r="L187" s="336">
        <f t="shared" ref="L187:P187" ca="1" si="69">L445-L453</f>
        <v>2109.1045472632259</v>
      </c>
      <c r="M187" s="336">
        <f t="shared" ca="1" si="69"/>
        <v>2347.3049231384994</v>
      </c>
      <c r="N187" s="336">
        <f t="shared" ca="1" si="69"/>
        <v>4428.5514190492013</v>
      </c>
      <c r="O187" s="336">
        <f t="shared" ca="1" si="69"/>
        <v>6232.820428611627</v>
      </c>
      <c r="P187" s="336">
        <f t="shared" ca="1" si="69"/>
        <v>5801.8444075928655</v>
      </c>
    </row>
    <row r="188" spans="2:16" x14ac:dyDescent="0.2">
      <c r="C188" t="s">
        <v>328</v>
      </c>
      <c r="H188" s="335">
        <f>'Historical Data'!O123</f>
        <v>-4450.08</v>
      </c>
      <c r="I188" s="335">
        <f>'Historical Data'!P123</f>
        <v>-440.1</v>
      </c>
      <c r="J188" s="336">
        <f>J371</f>
        <v>-447.11</v>
      </c>
      <c r="K188" s="336">
        <f t="shared" ref="K188:P188" ca="1" si="70">K371</f>
        <v>-4410.9780540708525</v>
      </c>
      <c r="L188" s="336">
        <f t="shared" ca="1" si="70"/>
        <v>-6552.8591605753136</v>
      </c>
      <c r="M188" s="336">
        <f t="shared" ca="1" si="70"/>
        <v>-6313.4889799085358</v>
      </c>
      <c r="N188" s="336">
        <f t="shared" ca="1" si="70"/>
        <v>-13214.51829443383</v>
      </c>
      <c r="O188" s="336">
        <f t="shared" ca="1" si="70"/>
        <v>-17800.025322550857</v>
      </c>
      <c r="P188" s="336">
        <f t="shared" ca="1" si="70"/>
        <v>-11561.360370721508</v>
      </c>
    </row>
    <row r="189" spans="2:16" x14ac:dyDescent="0.2">
      <c r="C189" t="s">
        <v>91</v>
      </c>
      <c r="H189" s="352">
        <v>0</v>
      </c>
      <c r="I189" s="352">
        <v>0</v>
      </c>
      <c r="J189" s="352">
        <v>0</v>
      </c>
      <c r="K189" s="352">
        <v>0</v>
      </c>
      <c r="L189" s="352">
        <v>0</v>
      </c>
      <c r="M189" s="352">
        <v>0</v>
      </c>
      <c r="N189" s="352">
        <v>0</v>
      </c>
      <c r="O189" s="352">
        <v>0</v>
      </c>
      <c r="P189" s="352">
        <v>0</v>
      </c>
    </row>
    <row r="190" spans="2:16" x14ac:dyDescent="0.2">
      <c r="C190" s="2" t="s">
        <v>75</v>
      </c>
      <c r="H190" s="363">
        <f>'Historical Data'!O125</f>
        <v>14170.149999999998</v>
      </c>
      <c r="I190" s="363">
        <f>'Historical Data'!P125</f>
        <v>21501.109999999993</v>
      </c>
      <c r="J190" s="337">
        <f t="shared" ref="J190:P190" si="71">SUM(J184:J189)</f>
        <v>21649.046182846767</v>
      </c>
      <c r="K190" s="337">
        <f t="shared" ca="1" si="71"/>
        <v>19356.539983732593</v>
      </c>
      <c r="L190" s="337">
        <f t="shared" ca="1" si="71"/>
        <v>25192.707575286553</v>
      </c>
      <c r="M190" s="337">
        <f t="shared" ca="1" si="71"/>
        <v>31400.287820025107</v>
      </c>
      <c r="N190" s="337">
        <f t="shared" ca="1" si="71"/>
        <v>38730.000292786703</v>
      </c>
      <c r="O190" s="337">
        <f t="shared" ca="1" si="71"/>
        <v>52505.55927801293</v>
      </c>
      <c r="P190" s="337">
        <f t="shared" ca="1" si="71"/>
        <v>68373.615387784565</v>
      </c>
    </row>
    <row r="191" spans="2:16" x14ac:dyDescent="0.2">
      <c r="C191" s="2"/>
      <c r="H191" s="339"/>
      <c r="I191" s="339"/>
      <c r="J191" s="339"/>
      <c r="K191" s="339"/>
      <c r="L191" s="339"/>
      <c r="M191" s="339"/>
      <c r="N191" s="339"/>
      <c r="O191" s="339"/>
      <c r="P191" s="339"/>
    </row>
    <row r="192" spans="2:16" x14ac:dyDescent="0.2">
      <c r="B192" s="2" t="s">
        <v>329</v>
      </c>
      <c r="C192" s="2"/>
      <c r="H192" s="339"/>
      <c r="I192" s="339"/>
      <c r="J192" s="339"/>
      <c r="K192" s="339"/>
      <c r="L192" s="339"/>
      <c r="M192" s="339"/>
      <c r="N192" s="339"/>
      <c r="O192" s="339"/>
      <c r="P192" s="339"/>
    </row>
    <row r="193" spans="2:16" x14ac:dyDescent="0.2">
      <c r="C193" t="s">
        <v>93</v>
      </c>
      <c r="H193" s="335">
        <f>'Historical Data'!O129</f>
        <v>-2602.4499999999998</v>
      </c>
      <c r="I193" s="335">
        <f>'Historical Data'!P129</f>
        <v>-11559.04</v>
      </c>
      <c r="J193" s="336">
        <f>-J284</f>
        <v>-23350.09</v>
      </c>
      <c r="K193" s="336">
        <f t="shared" ref="K193:P193" si="72">-K284</f>
        <v>-28851.7</v>
      </c>
      <c r="L193" s="336">
        <f t="shared" si="72"/>
        <v>-41769.5</v>
      </c>
      <c r="M193" s="336">
        <f t="shared" si="72"/>
        <v>-47265.5</v>
      </c>
      <c r="N193" s="336">
        <f t="shared" si="72"/>
        <v>-35093.5</v>
      </c>
      <c r="O193" s="336">
        <f t="shared" si="72"/>
        <v>-15945.5</v>
      </c>
      <c r="P193" s="336">
        <f t="shared" si="72"/>
        <v>-5057.5</v>
      </c>
    </row>
    <row r="194" spans="2:16" x14ac:dyDescent="0.2">
      <c r="C194" t="s">
        <v>94</v>
      </c>
      <c r="H194" s="335">
        <f>'Historical Data'!O130</f>
        <v>0.56000000000000005</v>
      </c>
      <c r="I194" s="335">
        <f>'Historical Data'!P130</f>
        <v>15.16</v>
      </c>
      <c r="J194" s="336">
        <f>'Historical Data'!Q130</f>
        <v>19.399999999999999</v>
      </c>
      <c r="K194" s="352">
        <v>0</v>
      </c>
      <c r="L194" s="352">
        <v>0</v>
      </c>
      <c r="M194" s="352">
        <v>0</v>
      </c>
      <c r="N194" s="352">
        <v>0</v>
      </c>
      <c r="O194" s="352">
        <v>0</v>
      </c>
      <c r="P194" s="352">
        <v>0</v>
      </c>
    </row>
    <row r="195" spans="2:16" x14ac:dyDescent="0.2">
      <c r="C195" s="2" t="s">
        <v>95</v>
      </c>
      <c r="H195" s="364">
        <f>H193+H194</f>
        <v>-2601.89</v>
      </c>
      <c r="I195" s="364">
        <f t="shared" ref="I195:P195" si="73">I193+I194</f>
        <v>-11543.880000000001</v>
      </c>
      <c r="J195" s="339">
        <f>J193+J194</f>
        <v>-23330.69</v>
      </c>
      <c r="K195" s="339">
        <f t="shared" si="73"/>
        <v>-28851.7</v>
      </c>
      <c r="L195" s="339">
        <f t="shared" si="73"/>
        <v>-41769.5</v>
      </c>
      <c r="M195" s="339">
        <f t="shared" si="73"/>
        <v>-47265.5</v>
      </c>
      <c r="N195" s="339">
        <f t="shared" si="73"/>
        <v>-35093.5</v>
      </c>
      <c r="O195" s="339">
        <f t="shared" si="73"/>
        <v>-15945.5</v>
      </c>
      <c r="P195" s="339">
        <f t="shared" si="73"/>
        <v>-5057.5</v>
      </c>
    </row>
    <row r="196" spans="2:16" x14ac:dyDescent="0.2">
      <c r="C196" t="s">
        <v>77</v>
      </c>
      <c r="H196" s="335">
        <f>'Historical Data'!O133</f>
        <v>6084.2100000000009</v>
      </c>
      <c r="I196" s="335">
        <f>'Historical Data'!P133</f>
        <v>-5598.170000000001</v>
      </c>
      <c r="J196" s="353">
        <v>0</v>
      </c>
      <c r="K196" s="353">
        <v>0</v>
      </c>
      <c r="L196" s="353">
        <v>0</v>
      </c>
      <c r="M196" s="353">
        <v>0</v>
      </c>
      <c r="N196" s="353">
        <v>0</v>
      </c>
      <c r="O196" s="353">
        <v>0</v>
      </c>
      <c r="P196" s="353">
        <v>0</v>
      </c>
    </row>
    <row r="197" spans="2:16" x14ac:dyDescent="0.2">
      <c r="C197" s="2" t="s">
        <v>78</v>
      </c>
      <c r="H197" s="337">
        <f>H195+H196</f>
        <v>3482.3200000000011</v>
      </c>
      <c r="I197" s="337">
        <f t="shared" ref="I197:P197" si="74">I195+I196</f>
        <v>-17142.050000000003</v>
      </c>
      <c r="J197" s="337">
        <f t="shared" si="74"/>
        <v>-23330.69</v>
      </c>
      <c r="K197" s="337">
        <f t="shared" si="74"/>
        <v>-28851.7</v>
      </c>
      <c r="L197" s="337">
        <f t="shared" si="74"/>
        <v>-41769.5</v>
      </c>
      <c r="M197" s="337">
        <f t="shared" si="74"/>
        <v>-47265.5</v>
      </c>
      <c r="N197" s="337">
        <f t="shared" si="74"/>
        <v>-35093.5</v>
      </c>
      <c r="O197" s="337">
        <f t="shared" si="74"/>
        <v>-15945.5</v>
      </c>
      <c r="P197" s="337">
        <f t="shared" si="74"/>
        <v>-5057.5</v>
      </c>
    </row>
    <row r="198" spans="2:16" x14ac:dyDescent="0.2">
      <c r="C198" s="2"/>
      <c r="H198" s="339"/>
      <c r="I198" s="339"/>
      <c r="J198" s="339"/>
      <c r="K198" s="339"/>
      <c r="L198" s="339"/>
      <c r="M198" s="339"/>
      <c r="N198" s="339"/>
      <c r="O198" s="339"/>
      <c r="P198" s="339"/>
    </row>
    <row r="199" spans="2:16" x14ac:dyDescent="0.2">
      <c r="B199" s="2" t="s">
        <v>330</v>
      </c>
      <c r="C199" s="2"/>
      <c r="H199" s="339"/>
      <c r="I199" s="339"/>
      <c r="J199" s="339"/>
      <c r="K199" s="339"/>
      <c r="L199" s="339"/>
      <c r="M199" s="339"/>
      <c r="N199" s="339"/>
      <c r="O199" s="339"/>
      <c r="P199" s="339"/>
    </row>
    <row r="200" spans="2:16" x14ac:dyDescent="0.2">
      <c r="C200" t="s">
        <v>96</v>
      </c>
      <c r="H200" s="335">
        <f>'Historical Data'!O138</f>
        <v>24697.18</v>
      </c>
      <c r="I200" s="335">
        <f>'Historical Data'!P138</f>
        <v>6455.93</v>
      </c>
      <c r="J200" s="336">
        <f>J393</f>
        <v>0</v>
      </c>
      <c r="K200" s="331">
        <f t="shared" ref="K200:P200" ca="1" si="75">K393</f>
        <v>15744.292766267408</v>
      </c>
      <c r="L200" s="331">
        <f t="shared" ca="1" si="75"/>
        <v>26638.985059846171</v>
      </c>
      <c r="M200" s="331">
        <f t="shared" ca="1" si="75"/>
        <v>27707.093545194555</v>
      </c>
      <c r="N200" s="331">
        <f t="shared" ca="1" si="75"/>
        <v>10698.359023774487</v>
      </c>
      <c r="O200" s="331">
        <f t="shared" ca="1" si="75"/>
        <v>0</v>
      </c>
      <c r="P200" s="331">
        <f t="shared" ca="1" si="75"/>
        <v>0</v>
      </c>
    </row>
    <row r="201" spans="2:16" x14ac:dyDescent="0.2">
      <c r="C201" t="s">
        <v>97</v>
      </c>
      <c r="H201" s="335">
        <f>'Historical Data'!O139</f>
        <v>-36497.949999999997</v>
      </c>
      <c r="I201" s="335">
        <f>'Historical Data'!P139</f>
        <v>-7110.37</v>
      </c>
      <c r="J201" s="336">
        <f t="shared" ref="J201:P201" si="76">J392</f>
        <v>0</v>
      </c>
      <c r="K201" s="336">
        <f t="shared" si="76"/>
        <v>-3665</v>
      </c>
      <c r="L201" s="336">
        <f t="shared" si="76"/>
        <v>-4525</v>
      </c>
      <c r="M201" s="336">
        <f t="shared" si="76"/>
        <v>-4425</v>
      </c>
      <c r="N201" s="336">
        <f t="shared" si="76"/>
        <v>-4939</v>
      </c>
      <c r="O201" s="336">
        <f t="shared" si="76"/>
        <v>-8489</v>
      </c>
      <c r="P201" s="336">
        <f t="shared" si="76"/>
        <v>-5336</v>
      </c>
    </row>
    <row r="202" spans="2:16" x14ac:dyDescent="0.2">
      <c r="C202" t="s">
        <v>331</v>
      </c>
      <c r="H202" s="352">
        <v>0</v>
      </c>
      <c r="I202" s="352">
        <v>0</v>
      </c>
      <c r="J202" s="336">
        <f>J400</f>
        <v>0</v>
      </c>
      <c r="K202" s="336">
        <f t="shared" ref="K202:P202" si="77">K400</f>
        <v>0</v>
      </c>
      <c r="L202" s="336">
        <f t="shared" si="77"/>
        <v>0</v>
      </c>
      <c r="M202" s="336">
        <f t="shared" si="77"/>
        <v>0</v>
      </c>
      <c r="N202" s="336">
        <f t="shared" si="77"/>
        <v>0</v>
      </c>
      <c r="O202" s="336">
        <f t="shared" si="77"/>
        <v>0</v>
      </c>
      <c r="P202" s="336">
        <f t="shared" si="77"/>
        <v>0</v>
      </c>
    </row>
    <row r="203" spans="2:16" x14ac:dyDescent="0.2">
      <c r="C203" t="s">
        <v>98</v>
      </c>
      <c r="H203" s="335">
        <f>'Historical Data'!O140</f>
        <v>0</v>
      </c>
      <c r="I203" s="335">
        <f>'Historical Data'!P140</f>
        <v>250</v>
      </c>
      <c r="J203" s="352">
        <v>0</v>
      </c>
      <c r="K203" s="352">
        <v>0</v>
      </c>
      <c r="L203" s="352">
        <v>0</v>
      </c>
      <c r="M203" s="352">
        <v>0</v>
      </c>
      <c r="N203" s="352">
        <v>0</v>
      </c>
      <c r="O203" s="352">
        <v>0</v>
      </c>
      <c r="P203" s="352">
        <v>0</v>
      </c>
    </row>
    <row r="204" spans="2:16" x14ac:dyDescent="0.2">
      <c r="C204" t="s">
        <v>80</v>
      </c>
      <c r="H204" s="335">
        <f>'Historical Data'!O142</f>
        <v>0</v>
      </c>
      <c r="I204" s="335">
        <f>'Historical Data'!P142</f>
        <v>0</v>
      </c>
      <c r="J204" s="352">
        <v>0</v>
      </c>
      <c r="K204" s="352">
        <v>0</v>
      </c>
      <c r="L204" s="352">
        <v>0</v>
      </c>
      <c r="M204" s="352">
        <v>0</v>
      </c>
      <c r="N204" s="352">
        <v>0</v>
      </c>
      <c r="O204" s="352">
        <v>0</v>
      </c>
      <c r="P204" s="352">
        <v>0</v>
      </c>
    </row>
    <row r="205" spans="2:16" x14ac:dyDescent="0.2">
      <c r="C205" t="s">
        <v>100</v>
      </c>
      <c r="H205" s="335">
        <f>'Historical Data'!O143</f>
        <v>-3430.86</v>
      </c>
      <c r="I205" s="335">
        <f>'Historical Data'!P143</f>
        <v>-3407.66</v>
      </c>
      <c r="J205" s="336">
        <f>-J418</f>
        <v>-4510.4527500000004</v>
      </c>
      <c r="K205" s="336">
        <f t="shared" ref="K205:P205" si="78">-K418</f>
        <v>-4510.4527500000004</v>
      </c>
      <c r="L205" s="336">
        <f t="shared" ca="1" si="78"/>
        <v>-5537.1926351327293</v>
      </c>
      <c r="M205" s="336">
        <f t="shared" ca="1" si="78"/>
        <v>-7416.8813652196532</v>
      </c>
      <c r="N205" s="336">
        <f t="shared" ca="1" si="78"/>
        <v>-9395.859316561191</v>
      </c>
      <c r="O205" s="336">
        <f t="shared" ca="1" si="78"/>
        <v>-9885.4048335820244</v>
      </c>
      <c r="P205" s="336">
        <f t="shared" ca="1" si="78"/>
        <v>-9163.8398335820239</v>
      </c>
    </row>
    <row r="206" spans="2:16" x14ac:dyDescent="0.2">
      <c r="C206" t="s">
        <v>101</v>
      </c>
      <c r="H206" s="335">
        <f>'Historical Data'!O144</f>
        <v>-1632.4</v>
      </c>
      <c r="I206" s="335">
        <f>'Historical Data'!P144</f>
        <v>-863.35</v>
      </c>
      <c r="J206" s="336">
        <f>'Historical Data'!Q47-J210-J190-J197-SUM(J200:J205)</f>
        <v>6998.5365671532309</v>
      </c>
      <c r="K206" s="352">
        <v>0</v>
      </c>
      <c r="L206" s="352">
        <v>0</v>
      </c>
      <c r="M206" s="352">
        <v>0</v>
      </c>
      <c r="N206" s="352">
        <v>0</v>
      </c>
      <c r="O206" s="352">
        <v>0</v>
      </c>
      <c r="P206" s="352">
        <v>0</v>
      </c>
    </row>
    <row r="207" spans="2:16" x14ac:dyDescent="0.2">
      <c r="C207" s="2" t="s">
        <v>81</v>
      </c>
      <c r="H207" s="337">
        <f t="shared" ref="H207:I207" si="79">SUM(H200:H206)</f>
        <v>-16864.03</v>
      </c>
      <c r="I207" s="337">
        <f t="shared" si="79"/>
        <v>-4675.45</v>
      </c>
      <c r="J207" s="337">
        <f>SUM(J200:J206)</f>
        <v>2488.0838171532305</v>
      </c>
      <c r="K207" s="337">
        <f t="shared" ref="K207:P207" ca="1" si="80">SUM(K200:K206)</f>
        <v>7568.8400162674079</v>
      </c>
      <c r="L207" s="337">
        <f t="shared" ca="1" si="80"/>
        <v>16576.792424713443</v>
      </c>
      <c r="M207" s="337">
        <f t="shared" ca="1" si="80"/>
        <v>15865.212179974902</v>
      </c>
      <c r="N207" s="337">
        <f t="shared" ca="1" si="80"/>
        <v>-3636.5002927867044</v>
      </c>
      <c r="O207" s="337">
        <f t="shared" ca="1" si="80"/>
        <v>-18374.404833582026</v>
      </c>
      <c r="P207" s="337">
        <f t="shared" ca="1" si="80"/>
        <v>-14499.839833582024</v>
      </c>
    </row>
    <row r="208" spans="2:16" x14ac:dyDescent="0.2">
      <c r="C208" s="2"/>
      <c r="H208" s="339"/>
      <c r="I208" s="339"/>
      <c r="J208" s="339"/>
      <c r="K208" s="339"/>
      <c r="L208" s="339"/>
      <c r="M208" s="339"/>
      <c r="N208" s="339"/>
      <c r="O208" s="339"/>
      <c r="P208" s="339"/>
    </row>
    <row r="209" spans="2:16" ht="16" thickBot="1" x14ac:dyDescent="0.25">
      <c r="C209" s="2" t="s">
        <v>332</v>
      </c>
      <c r="H209" s="338">
        <f>H190+H197+H207</f>
        <v>788.43999999999869</v>
      </c>
      <c r="I209" s="338">
        <f t="shared" ref="I209" si="81">I190+I197+I207</f>
        <v>-316.39000000000942</v>
      </c>
      <c r="J209" s="338">
        <f>J190+J197+J207</f>
        <v>806.43999999999869</v>
      </c>
      <c r="K209" s="338">
        <f t="shared" ref="K209:P209" ca="1" si="82">K190+K197+K207</f>
        <v>-1926.3199999999997</v>
      </c>
      <c r="L209" s="338">
        <f t="shared" ca="1" si="82"/>
        <v>0</v>
      </c>
      <c r="M209" s="338">
        <f t="shared" ca="1" si="82"/>
        <v>0</v>
      </c>
      <c r="N209" s="338">
        <f t="shared" ca="1" si="82"/>
        <v>0</v>
      </c>
      <c r="O209" s="338">
        <f t="shared" ca="1" si="82"/>
        <v>18185.654444430904</v>
      </c>
      <c r="P209" s="338">
        <f t="shared" ca="1" si="82"/>
        <v>48816.275554202541</v>
      </c>
    </row>
    <row r="210" spans="2:16" ht="16" thickTop="1" x14ac:dyDescent="0.2">
      <c r="C210" t="s">
        <v>333</v>
      </c>
      <c r="H210" s="364">
        <f>'Historical Data'!O149</f>
        <v>349.31999999999698</v>
      </c>
      <c r="I210" s="339">
        <f>H211</f>
        <v>1137.7599999999957</v>
      </c>
      <c r="J210" s="339">
        <f>'Historical Data'!P47</f>
        <v>6119.88</v>
      </c>
      <c r="K210" s="339">
        <f>J211</f>
        <v>6926.3199999999988</v>
      </c>
      <c r="L210" s="339">
        <f t="shared" ref="L210:P210" ca="1" si="83">K211</f>
        <v>4999.9999999999991</v>
      </c>
      <c r="M210" s="339">
        <f t="shared" ca="1" si="83"/>
        <v>4999.9999999999991</v>
      </c>
      <c r="N210" s="339">
        <f t="shared" ca="1" si="83"/>
        <v>4999.9999999999991</v>
      </c>
      <c r="O210" s="339">
        <f t="shared" ca="1" si="83"/>
        <v>4999.9999999999991</v>
      </c>
      <c r="P210" s="339">
        <f t="shared" ca="1" si="83"/>
        <v>23185.654444430904</v>
      </c>
    </row>
    <row r="211" spans="2:16" x14ac:dyDescent="0.2">
      <c r="C211" t="s">
        <v>334</v>
      </c>
      <c r="H211" s="339">
        <f>H210+H209</f>
        <v>1137.7599999999957</v>
      </c>
      <c r="I211" s="339">
        <f>I210+I209</f>
        <v>821.36999999998625</v>
      </c>
      <c r="J211" s="339">
        <f>J210+J209</f>
        <v>6926.3199999999988</v>
      </c>
      <c r="K211" s="339">
        <f ca="1">K210+K209</f>
        <v>4999.9999999999991</v>
      </c>
      <c r="L211" s="339">
        <f t="shared" ref="L211:P211" ca="1" si="84">L210+L209</f>
        <v>4999.9999999999991</v>
      </c>
      <c r="M211" s="339">
        <f t="shared" ca="1" si="84"/>
        <v>4999.9999999999991</v>
      </c>
      <c r="N211" s="339">
        <f t="shared" ca="1" si="84"/>
        <v>4999.9999999999991</v>
      </c>
      <c r="O211" s="339">
        <f t="shared" ca="1" si="84"/>
        <v>23185.654444430904</v>
      </c>
      <c r="P211" s="339">
        <f t="shared" ca="1" si="84"/>
        <v>72001.929998633452</v>
      </c>
    </row>
    <row r="212" spans="2:16" x14ac:dyDescent="0.2">
      <c r="C212" s="2"/>
      <c r="H212" s="339"/>
      <c r="I212" s="339"/>
      <c r="J212" s="339"/>
      <c r="K212" s="339"/>
      <c r="L212" s="339"/>
      <c r="M212" s="339"/>
      <c r="N212" s="339"/>
      <c r="O212" s="339"/>
      <c r="P212" s="339"/>
    </row>
    <row r="213" spans="2:16" x14ac:dyDescent="0.2">
      <c r="C213" s="39" t="s">
        <v>335</v>
      </c>
      <c r="J213" s="336">
        <f>ROUND(J211-J413,2)</f>
        <v>0</v>
      </c>
      <c r="K213" s="336">
        <f t="shared" ref="K213:P213" ca="1" si="85">ROUND(K211-K413,2)</f>
        <v>0</v>
      </c>
      <c r="L213" s="336">
        <f t="shared" ca="1" si="85"/>
        <v>0</v>
      </c>
      <c r="M213" s="336">
        <f t="shared" ca="1" si="85"/>
        <v>0</v>
      </c>
      <c r="N213" s="336">
        <f t="shared" ca="1" si="85"/>
        <v>0</v>
      </c>
      <c r="O213" s="336">
        <f t="shared" ca="1" si="85"/>
        <v>0</v>
      </c>
      <c r="P213" s="336">
        <f t="shared" ca="1" si="85"/>
        <v>0</v>
      </c>
    </row>
    <row r="214" spans="2:16" x14ac:dyDescent="0.2">
      <c r="C214" s="39"/>
    </row>
    <row r="215" spans="2:16" x14ac:dyDescent="0.2">
      <c r="B215" s="47"/>
      <c r="C215" s="47"/>
      <c r="D215" s="47"/>
      <c r="E215" s="47"/>
      <c r="F215" s="47"/>
      <c r="G215" s="47"/>
      <c r="H215" s="47"/>
      <c r="I215" s="47"/>
      <c r="J215" s="47"/>
      <c r="K215" s="47"/>
      <c r="L215" s="47"/>
      <c r="M215" s="47"/>
      <c r="N215" s="47"/>
      <c r="O215" s="47"/>
      <c r="P215" s="289" t="str">
        <f>P176</f>
        <v>CURRENTLY RUNNING: BASE CASE SCENARIO</v>
      </c>
    </row>
    <row r="216" spans="2:16" ht="20" x14ac:dyDescent="0.2">
      <c r="B216" s="243" t="str">
        <f>B177</f>
        <v>Adani Power</v>
      </c>
      <c r="C216" s="5"/>
      <c r="D216" s="5"/>
      <c r="E216" s="5"/>
      <c r="F216" s="5"/>
      <c r="G216" s="5"/>
      <c r="H216" s="5"/>
      <c r="I216" s="5"/>
      <c r="J216" s="5"/>
      <c r="K216" s="5"/>
      <c r="L216" s="5"/>
      <c r="M216" s="5"/>
      <c r="N216" s="5"/>
      <c r="O216" s="5"/>
      <c r="P216" s="5"/>
    </row>
    <row r="217" spans="2:16" ht="18" x14ac:dyDescent="0.2">
      <c r="B217" s="488" t="s">
        <v>26</v>
      </c>
      <c r="C217" s="491"/>
      <c r="D217" s="491"/>
      <c r="E217" s="491"/>
      <c r="F217" s="491"/>
      <c r="G217" s="491"/>
      <c r="H217" s="491"/>
      <c r="I217" s="491"/>
      <c r="J217" s="491"/>
      <c r="K217" s="491"/>
      <c r="L217" s="491"/>
      <c r="M217" s="491"/>
      <c r="N217" s="491"/>
      <c r="O217" s="491"/>
      <c r="P217" s="491"/>
    </row>
    <row r="218" spans="2:16" ht="3" customHeight="1" thickBot="1" x14ac:dyDescent="0.25">
      <c r="B218" s="1"/>
      <c r="C218" s="346"/>
      <c r="D218" s="1"/>
      <c r="E218" s="1"/>
      <c r="F218" s="1"/>
      <c r="G218" s="1"/>
      <c r="H218" s="1"/>
      <c r="I218" s="1"/>
      <c r="J218" s="1"/>
      <c r="K218" s="1"/>
      <c r="L218" s="1"/>
      <c r="M218" s="1"/>
      <c r="N218" s="1"/>
      <c r="O218" s="1"/>
      <c r="P218" s="1"/>
    </row>
    <row r="219" spans="2:16" ht="16" thickTop="1" x14ac:dyDescent="0.2">
      <c r="C219" s="39"/>
    </row>
    <row r="220" spans="2:16" x14ac:dyDescent="0.2">
      <c r="C220" s="39"/>
      <c r="K220" s="247" t="str">
        <f>K181</f>
        <v>Projected</v>
      </c>
      <c r="L220" s="247"/>
      <c r="M220" s="247"/>
      <c r="N220" s="247"/>
      <c r="O220" s="247"/>
      <c r="P220" s="247"/>
    </row>
    <row r="221" spans="2:16" x14ac:dyDescent="0.2">
      <c r="C221" s="39"/>
      <c r="H221" s="245">
        <f>H182</f>
        <v>2024</v>
      </c>
      <c r="I221" s="245">
        <f>I182</f>
        <v>2025</v>
      </c>
      <c r="J221" s="245">
        <f>J182</f>
        <v>2026</v>
      </c>
      <c r="K221" s="246">
        <f>K182</f>
        <v>2027</v>
      </c>
      <c r="L221" s="246">
        <f>L182</f>
        <v>2028</v>
      </c>
      <c r="M221" s="246">
        <f>M182</f>
        <v>2029</v>
      </c>
      <c r="N221" s="246">
        <f>N182</f>
        <v>2030</v>
      </c>
      <c r="O221" s="246">
        <f>O182</f>
        <v>2031</v>
      </c>
      <c r="P221" s="246">
        <f>P182</f>
        <v>2032</v>
      </c>
    </row>
    <row r="222" spans="2:16" x14ac:dyDescent="0.2">
      <c r="B222" s="2" t="s">
        <v>53</v>
      </c>
      <c r="C222" s="39"/>
    </row>
    <row r="223" spans="2:16" x14ac:dyDescent="0.2">
      <c r="C223" t="s">
        <v>33</v>
      </c>
      <c r="H223" s="302">
        <f>'Historical Data'!O40</f>
        <v>4142.1000000000004</v>
      </c>
      <c r="I223" s="302">
        <f>'Historical Data'!P40</f>
        <v>3317.28</v>
      </c>
      <c r="J223" s="302">
        <f>'Historical Data'!Q40</f>
        <v>3623.48</v>
      </c>
      <c r="K223" s="261">
        <f>K363</f>
        <v>4126.6942402255409</v>
      </c>
      <c r="L223" s="261">
        <f t="shared" ref="L223:P223" si="86">L363</f>
        <v>4827.0538068188416</v>
      </c>
      <c r="M223" s="261">
        <f t="shared" si="86"/>
        <v>5507.6748961224712</v>
      </c>
      <c r="N223" s="261">
        <f t="shared" si="86"/>
        <v>6868.6532882688916</v>
      </c>
      <c r="O223" s="261">
        <f t="shared" si="86"/>
        <v>8685.2936579593206</v>
      </c>
      <c r="P223" s="261">
        <f t="shared" si="86"/>
        <v>9921.6749348590583</v>
      </c>
    </row>
    <row r="224" spans="2:16" x14ac:dyDescent="0.2">
      <c r="C224" t="s">
        <v>27</v>
      </c>
      <c r="H224" s="302">
        <f>'Historical Data'!O45</f>
        <v>11677</v>
      </c>
      <c r="I224" s="302">
        <f>'Historical Data'!P45</f>
        <v>13022</v>
      </c>
      <c r="J224" s="302">
        <f>'Historical Data'!Q45</f>
        <v>11792</v>
      </c>
      <c r="K224" s="331">
        <f ca="1">K364</f>
        <v>13823.637341694674</v>
      </c>
      <c r="L224" s="331">
        <f t="shared" ref="L224:P224" ca="1" si="87">L364</f>
        <v>16846.610134435632</v>
      </c>
      <c r="M224" s="331">
        <f t="shared" ca="1" si="87"/>
        <v>19758.560344808495</v>
      </c>
      <c r="N224" s="331">
        <f t="shared" ca="1" si="87"/>
        <v>25859.936006337593</v>
      </c>
      <c r="O224" s="331">
        <f t="shared" ca="1" si="87"/>
        <v>34080.214215775457</v>
      </c>
      <c r="P224" s="331">
        <f t="shared" ca="1" si="87"/>
        <v>39413.641252991059</v>
      </c>
    </row>
    <row r="225" spans="2:16" x14ac:dyDescent="0.2">
      <c r="C225" t="s">
        <v>31</v>
      </c>
      <c r="H225" s="302">
        <f>'Historical Data'!O47</f>
        <v>7211.76</v>
      </c>
      <c r="I225" s="302">
        <f>'Historical Data'!P47</f>
        <v>6119.88</v>
      </c>
      <c r="J225" s="302">
        <f>'Historical Data'!Q47</f>
        <v>6926.32</v>
      </c>
      <c r="K225" s="336">
        <f ca="1">K211</f>
        <v>4999.9999999999991</v>
      </c>
      <c r="L225" s="336">
        <f t="shared" ref="L225:P225" ca="1" si="88">L211</f>
        <v>4999.9999999999991</v>
      </c>
      <c r="M225" s="336">
        <f t="shared" ca="1" si="88"/>
        <v>4999.9999999999991</v>
      </c>
      <c r="N225" s="336">
        <f t="shared" ca="1" si="88"/>
        <v>4999.9999999999991</v>
      </c>
      <c r="O225" s="336">
        <f t="shared" ca="1" si="88"/>
        <v>23185.654444430904</v>
      </c>
      <c r="P225" s="336">
        <f t="shared" ca="1" si="88"/>
        <v>72001.929998633452</v>
      </c>
    </row>
    <row r="226" spans="2:16" x14ac:dyDescent="0.2">
      <c r="C226" t="s">
        <v>32</v>
      </c>
      <c r="H226" s="302">
        <f>'Historical Data'!O48</f>
        <v>1242</v>
      </c>
      <c r="I226" s="302">
        <f>'Historical Data'!P48</f>
        <v>1057</v>
      </c>
      <c r="J226" s="302">
        <f>'Historical Data'!Q48</f>
        <v>1479</v>
      </c>
      <c r="K226" s="331">
        <f ca="1">K365</f>
        <v>1752.351942670098</v>
      </c>
      <c r="L226" s="331">
        <f t="shared" ref="L226:P226" ca="1" si="89">L365</f>
        <v>2135.5587727582097</v>
      </c>
      <c r="M226" s="331">
        <f t="shared" ca="1" si="89"/>
        <v>2504.6918367973399</v>
      </c>
      <c r="N226" s="331">
        <f t="shared" ca="1" si="89"/>
        <v>3278.1320847697193</v>
      </c>
      <c r="O226" s="331">
        <f t="shared" ca="1" si="89"/>
        <v>4320.174792744232</v>
      </c>
      <c r="P226" s="331">
        <f t="shared" ca="1" si="89"/>
        <v>4996.2661136272363</v>
      </c>
    </row>
    <row r="227" spans="2:16" x14ac:dyDescent="0.2">
      <c r="C227" t="s">
        <v>34</v>
      </c>
      <c r="H227" s="302">
        <f>'Historical Data'!O49</f>
        <v>3421</v>
      </c>
      <c r="I227" s="302">
        <f>'Historical Data'!P49</f>
        <v>6902</v>
      </c>
      <c r="J227" s="302">
        <f>'Historical Data'!Q49</f>
        <v>11677</v>
      </c>
      <c r="K227" s="331">
        <f ca="1">K366</f>
        <v>13835.168109911248</v>
      </c>
      <c r="L227" s="331">
        <f t="shared" ref="L227:P227" ca="1" si="90">L366</f>
        <v>16860.662467544029</v>
      </c>
      <c r="M227" s="331">
        <f t="shared" ca="1" si="90"/>
        <v>19775.041635079473</v>
      </c>
      <c r="N227" s="331">
        <f t="shared" ca="1" si="90"/>
        <v>25881.506662512518</v>
      </c>
      <c r="O227" s="331">
        <f t="shared" ca="1" si="90"/>
        <v>34108.641686865725</v>
      </c>
      <c r="P227" s="331">
        <f t="shared" ca="1" si="90"/>
        <v>39446.517517799359</v>
      </c>
    </row>
    <row r="228" spans="2:16" x14ac:dyDescent="0.2">
      <c r="C228" s="2" t="s">
        <v>35</v>
      </c>
      <c r="H228" s="303">
        <f>SUM(H223:H227)</f>
        <v>27693.86</v>
      </c>
      <c r="I228" s="303">
        <f t="shared" ref="I228:P228" si="91">SUM(I223:I227)</f>
        <v>30418.16</v>
      </c>
      <c r="J228" s="303">
        <f t="shared" si="91"/>
        <v>35497.800000000003</v>
      </c>
      <c r="K228" s="303">
        <f t="shared" ca="1" si="91"/>
        <v>38537.85163450156</v>
      </c>
      <c r="L228" s="303">
        <f t="shared" ca="1" si="91"/>
        <v>45669.885181556718</v>
      </c>
      <c r="M228" s="303">
        <f t="shared" ca="1" si="91"/>
        <v>52545.968712807779</v>
      </c>
      <c r="N228" s="303">
        <f t="shared" ca="1" si="91"/>
        <v>66888.228041888724</v>
      </c>
      <c r="O228" s="303">
        <f t="shared" ca="1" si="91"/>
        <v>104379.97879777564</v>
      </c>
      <c r="P228" s="303">
        <f t="shared" ca="1" si="91"/>
        <v>165780.02981791017</v>
      </c>
    </row>
    <row r="229" spans="2:16" x14ac:dyDescent="0.2">
      <c r="C229" s="39"/>
      <c r="H229" s="261"/>
      <c r="I229" s="261"/>
      <c r="J229" s="261"/>
      <c r="K229" s="261"/>
      <c r="L229" s="261"/>
      <c r="M229" s="261"/>
      <c r="N229" s="261"/>
      <c r="O229" s="261"/>
      <c r="P229" s="261"/>
    </row>
    <row r="230" spans="2:16" x14ac:dyDescent="0.2">
      <c r="C230" t="s">
        <v>46</v>
      </c>
      <c r="H230" s="302">
        <f>'Historical Data'!O63</f>
        <v>90710</v>
      </c>
      <c r="I230" s="302">
        <f>'Historical Data'!P63</f>
        <v>101112</v>
      </c>
      <c r="J230" s="261">
        <f>J300</f>
        <v>101975.88053225103</v>
      </c>
      <c r="K230" s="261">
        <f>K300</f>
        <v>127484.38053225103</v>
      </c>
      <c r="L230" s="261">
        <f t="shared" ref="L230:P230" si="92">L300</f>
        <v>148757.88053225103</v>
      </c>
      <c r="M230" s="261">
        <f t="shared" si="92"/>
        <v>170151.38053225103</v>
      </c>
      <c r="N230" s="261">
        <f t="shared" si="92"/>
        <v>238844.88053225103</v>
      </c>
      <c r="O230" s="261">
        <f t="shared" si="92"/>
        <v>287718.38053225103</v>
      </c>
      <c r="P230" s="261">
        <f t="shared" si="92"/>
        <v>309911.88053225103</v>
      </c>
    </row>
    <row r="231" spans="2:16" x14ac:dyDescent="0.2">
      <c r="C231" t="s">
        <v>47</v>
      </c>
      <c r="H231" s="302">
        <f>-'Historical Data'!O65</f>
        <v>-27694.15</v>
      </c>
      <c r="I231" s="302">
        <f>-'Historical Data'!P65</f>
        <v>-31814.550000000003</v>
      </c>
      <c r="J231" s="302">
        <f>-'Historical Data'!Q65</f>
        <v>-36317.539999999994</v>
      </c>
      <c r="K231" s="261">
        <f t="shared" ref="K231:P231" si="93">J231-K150</f>
        <v>-41447.849999999991</v>
      </c>
      <c r="L231" s="261">
        <f t="shared" si="93"/>
        <v>-47516.459999999992</v>
      </c>
      <c r="M231" s="261">
        <f t="shared" si="93"/>
        <v>-54440.80999999999</v>
      </c>
      <c r="N231" s="261">
        <f t="shared" si="93"/>
        <v>-63172.099999999991</v>
      </c>
      <c r="O231" s="261">
        <f t="shared" si="93"/>
        <v>-74261.53</v>
      </c>
      <c r="P231" s="261">
        <f t="shared" si="93"/>
        <v>-86776.3</v>
      </c>
    </row>
    <row r="232" spans="2:16" x14ac:dyDescent="0.2">
      <c r="C232" s="2" t="s">
        <v>48</v>
      </c>
      <c r="H232" s="303">
        <f>H230+H231</f>
        <v>63015.85</v>
      </c>
      <c r="I232" s="303">
        <f>I230+I231</f>
        <v>69297.45</v>
      </c>
      <c r="J232" s="303">
        <f>J230+J231</f>
        <v>65658.340532251037</v>
      </c>
      <c r="K232" s="303">
        <f>K230+K231</f>
        <v>86036.530532251039</v>
      </c>
      <c r="L232" s="303">
        <f t="shared" ref="L232:P232" si="94">L230+L231</f>
        <v>101241.42053225104</v>
      </c>
      <c r="M232" s="303">
        <f t="shared" si="94"/>
        <v>115710.57053225103</v>
      </c>
      <c r="N232" s="303">
        <f t="shared" si="94"/>
        <v>175672.78053225105</v>
      </c>
      <c r="O232" s="303">
        <f t="shared" si="94"/>
        <v>213456.85053225103</v>
      </c>
      <c r="P232" s="303">
        <f t="shared" si="94"/>
        <v>223135.58053225104</v>
      </c>
    </row>
    <row r="233" spans="2:16" x14ac:dyDescent="0.2">
      <c r="C233" t="s">
        <v>49</v>
      </c>
      <c r="H233" s="302">
        <f>'Historical Data'!O68</f>
        <v>925.12</v>
      </c>
      <c r="I233" s="302">
        <f>'Historical Data'!P68</f>
        <v>12104.42</v>
      </c>
      <c r="J233" s="261">
        <f>J291</f>
        <v>35053.46</v>
      </c>
      <c r="K233" s="261">
        <f>K291</f>
        <v>39550.478404437286</v>
      </c>
      <c r="L233" s="261">
        <f t="shared" ref="L233:P233" ca="1" si="95">L291</f>
        <v>61357.573699941044</v>
      </c>
      <c r="M233" s="261">
        <f t="shared" ca="1" si="95"/>
        <v>89395.43935058132</v>
      </c>
      <c r="N233" s="261">
        <f t="shared" ca="1" si="95"/>
        <v>59031.645334763365</v>
      </c>
      <c r="O233" s="261">
        <f t="shared" ca="1" si="95"/>
        <v>28062.684270201644</v>
      </c>
      <c r="P233" s="261">
        <f t="shared" ca="1" si="95"/>
        <v>11741.052111140383</v>
      </c>
    </row>
    <row r="234" spans="2:16" x14ac:dyDescent="0.2">
      <c r="C234" t="s">
        <v>50</v>
      </c>
      <c r="H234" s="302">
        <f>'Historical Data'!O69</f>
        <v>373.51</v>
      </c>
      <c r="I234" s="302">
        <f>'Historical Data'!P69</f>
        <v>1097.21</v>
      </c>
      <c r="J234" s="302">
        <f>'Historical Data'!Q69</f>
        <v>1515.99</v>
      </c>
      <c r="K234" s="261">
        <f>J234</f>
        <v>1515.99</v>
      </c>
      <c r="L234" s="261">
        <f t="shared" ref="L234:P234" si="96">K234</f>
        <v>1515.99</v>
      </c>
      <c r="M234" s="261">
        <f t="shared" si="96"/>
        <v>1515.99</v>
      </c>
      <c r="N234" s="261">
        <f t="shared" si="96"/>
        <v>1515.99</v>
      </c>
      <c r="O234" s="261">
        <f t="shared" si="96"/>
        <v>1515.99</v>
      </c>
      <c r="P234" s="261">
        <f t="shared" si="96"/>
        <v>1515.99</v>
      </c>
    </row>
    <row r="235" spans="2:16" x14ac:dyDescent="0.2">
      <c r="C235" s="2" t="s">
        <v>336</v>
      </c>
      <c r="H235" s="303">
        <f>H232+H233+H234</f>
        <v>64314.48</v>
      </c>
      <c r="I235" s="303">
        <f t="shared" ref="I235:P235" si="97">I232+I233+I234</f>
        <v>82499.08</v>
      </c>
      <c r="J235" s="303">
        <f t="shared" si="97"/>
        <v>102227.79053225105</v>
      </c>
      <c r="K235" s="303">
        <f t="shared" si="97"/>
        <v>127102.99893668834</v>
      </c>
      <c r="L235" s="303">
        <f t="shared" ca="1" si="97"/>
        <v>164114.98423219207</v>
      </c>
      <c r="M235" s="303">
        <f t="shared" ca="1" si="97"/>
        <v>206621.99988283234</v>
      </c>
      <c r="N235" s="303">
        <f t="shared" ca="1" si="97"/>
        <v>236220.41586701441</v>
      </c>
      <c r="O235" s="303">
        <f t="shared" ca="1" si="97"/>
        <v>243035.52480245265</v>
      </c>
      <c r="P235" s="303">
        <f t="shared" ca="1" si="97"/>
        <v>236392.62264339143</v>
      </c>
    </row>
    <row r="236" spans="2:16" x14ac:dyDescent="0.2">
      <c r="C236" s="39"/>
      <c r="H236" s="261"/>
      <c r="I236" s="261"/>
      <c r="J236" s="261"/>
      <c r="K236" s="261"/>
      <c r="L236" s="261"/>
      <c r="M236" s="261"/>
      <c r="N236" s="261"/>
      <c r="O236" s="261"/>
      <c r="P236" s="261"/>
    </row>
    <row r="237" spans="2:16" ht="16" thickBot="1" x14ac:dyDescent="0.25">
      <c r="C237" s="2" t="s">
        <v>337</v>
      </c>
      <c r="H237" s="304">
        <f>H228+H235</f>
        <v>92008.34</v>
      </c>
      <c r="I237" s="304">
        <f t="shared" ref="I237:P237" si="98">I228+I235</f>
        <v>112917.24</v>
      </c>
      <c r="J237" s="304">
        <f t="shared" si="98"/>
        <v>137725.59053225105</v>
      </c>
      <c r="K237" s="304">
        <f t="shared" ca="1" si="98"/>
        <v>165640.85057118989</v>
      </c>
      <c r="L237" s="304">
        <f t="shared" ca="1" si="98"/>
        <v>209784.86941374879</v>
      </c>
      <c r="M237" s="304">
        <f t="shared" ca="1" si="98"/>
        <v>259167.96859564012</v>
      </c>
      <c r="N237" s="304">
        <f t="shared" ca="1" si="98"/>
        <v>303108.64390890312</v>
      </c>
      <c r="O237" s="304">
        <f t="shared" ca="1" si="98"/>
        <v>347415.50360022829</v>
      </c>
      <c r="P237" s="304">
        <f t="shared" ca="1" si="98"/>
        <v>402172.65246130159</v>
      </c>
    </row>
    <row r="238" spans="2:16" ht="16" thickTop="1" x14ac:dyDescent="0.2">
      <c r="C238" s="39"/>
      <c r="H238" s="261"/>
      <c r="I238" s="261"/>
      <c r="J238" s="261"/>
      <c r="K238" s="261"/>
      <c r="L238" s="261"/>
      <c r="M238" s="261"/>
      <c r="N238" s="261"/>
      <c r="O238" s="261"/>
      <c r="P238" s="261"/>
    </row>
    <row r="239" spans="2:16" x14ac:dyDescent="0.2">
      <c r="B239" s="2" t="s">
        <v>54</v>
      </c>
      <c r="C239" s="39"/>
      <c r="H239" s="261"/>
      <c r="I239" s="261"/>
      <c r="J239" s="261"/>
      <c r="K239" s="261"/>
      <c r="L239" s="261"/>
      <c r="M239" s="261"/>
      <c r="N239" s="261"/>
      <c r="O239" s="261"/>
      <c r="P239" s="261"/>
    </row>
    <row r="240" spans="2:16" x14ac:dyDescent="0.2">
      <c r="C240" t="s">
        <v>57</v>
      </c>
      <c r="H240" s="302">
        <f>'Historical Data'!O77</f>
        <v>7862</v>
      </c>
      <c r="I240" s="302">
        <f>'Historical Data'!P77</f>
        <v>10688</v>
      </c>
      <c r="J240" s="302">
        <f>'Historical Data'!Q77</f>
        <v>10726</v>
      </c>
      <c r="K240" s="261">
        <f>K401</f>
        <v>8033</v>
      </c>
      <c r="L240" s="261">
        <f t="shared" ref="L240:P240" si="99">L401</f>
        <v>8033</v>
      </c>
      <c r="M240" s="261">
        <f t="shared" si="99"/>
        <v>8033</v>
      </c>
      <c r="N240" s="261">
        <f t="shared" si="99"/>
        <v>8033</v>
      </c>
      <c r="O240" s="261">
        <f t="shared" si="99"/>
        <v>8033</v>
      </c>
      <c r="P240" s="261">
        <f t="shared" si="99"/>
        <v>8033</v>
      </c>
    </row>
    <row r="241" spans="3:18" x14ac:dyDescent="0.2">
      <c r="C241" t="s">
        <v>58</v>
      </c>
      <c r="H241" s="302">
        <f>'Historical Data'!O78</f>
        <v>3609</v>
      </c>
      <c r="I241" s="302">
        <f>'Historical Data'!P78</f>
        <v>2978</v>
      </c>
      <c r="J241" s="302">
        <f>'Historical Data'!Q78</f>
        <v>2841</v>
      </c>
      <c r="K241" s="261">
        <f>K367</f>
        <v>3235.5465840796041</v>
      </c>
      <c r="L241" s="261">
        <f t="shared" ref="L241:P241" si="100">L367</f>
        <v>3784.6655329054747</v>
      </c>
      <c r="M241" s="261">
        <f t="shared" si="100"/>
        <v>4318.3084713821909</v>
      </c>
      <c r="N241" s="261">
        <f t="shared" si="100"/>
        <v>5385.3875257961745</v>
      </c>
      <c r="O241" s="261">
        <f t="shared" si="100"/>
        <v>6809.7296748601984</v>
      </c>
      <c r="P241" s="261">
        <f t="shared" si="100"/>
        <v>7779.1179998053221</v>
      </c>
    </row>
    <row r="242" spans="3:18" x14ac:dyDescent="0.2">
      <c r="C242" t="s">
        <v>59</v>
      </c>
      <c r="H242" s="302">
        <f>'Historical Data'!O79</f>
        <v>5</v>
      </c>
      <c r="I242" s="302">
        <f>'Historical Data'!P79</f>
        <v>21</v>
      </c>
      <c r="J242" s="302">
        <f>'Historical Data'!Q79</f>
        <v>116</v>
      </c>
      <c r="K242" s="261">
        <f ca="1">K368</f>
        <v>137.43936805255672</v>
      </c>
      <c r="L242" s="261">
        <f t="shared" ref="L242:P242" ca="1" si="101">L368</f>
        <v>167.49480570652625</v>
      </c>
      <c r="M242" s="261">
        <f t="shared" ca="1" si="101"/>
        <v>196.44641857234038</v>
      </c>
      <c r="N242" s="261">
        <f t="shared" ca="1" si="101"/>
        <v>257.1083988054682</v>
      </c>
      <c r="O242" s="261">
        <f t="shared" ca="1" si="101"/>
        <v>338.83723864660647</v>
      </c>
      <c r="P242" s="261">
        <f t="shared" ca="1" si="101"/>
        <v>391.86400891194012</v>
      </c>
    </row>
    <row r="243" spans="3:18" x14ac:dyDescent="0.2">
      <c r="C243" s="2" t="s">
        <v>66</v>
      </c>
      <c r="H243" s="303">
        <f t="shared" ref="H243:I243" si="102">SUM(H240:H242)</f>
        <v>11476</v>
      </c>
      <c r="I243" s="303">
        <f t="shared" si="102"/>
        <v>13687</v>
      </c>
      <c r="J243" s="303">
        <f>SUM(J240:J242)</f>
        <v>13683</v>
      </c>
      <c r="K243" s="303">
        <f t="shared" ref="K243:P243" ca="1" si="103">SUM(K240:K242)</f>
        <v>11405.985952132161</v>
      </c>
      <c r="L243" s="303">
        <f t="shared" ca="1" si="103"/>
        <v>11985.160338612</v>
      </c>
      <c r="M243" s="303">
        <f t="shared" ca="1" si="103"/>
        <v>12547.754889954533</v>
      </c>
      <c r="N243" s="303">
        <f t="shared" ca="1" si="103"/>
        <v>13675.495924601642</v>
      </c>
      <c r="O243" s="303">
        <f t="shared" ca="1" si="103"/>
        <v>15181.566913506806</v>
      </c>
      <c r="P243" s="303">
        <f t="shared" ca="1" si="103"/>
        <v>16203.982008717263</v>
      </c>
      <c r="R243" s="261"/>
    </row>
    <row r="244" spans="3:18" x14ac:dyDescent="0.2">
      <c r="C244" s="39"/>
      <c r="H244" s="261"/>
      <c r="I244" s="261"/>
      <c r="J244" s="261"/>
      <c r="K244" s="261"/>
      <c r="L244" s="261"/>
      <c r="M244" s="261"/>
      <c r="N244" s="261"/>
      <c r="O244" s="261"/>
      <c r="P244" s="261"/>
    </row>
    <row r="245" spans="3:18" x14ac:dyDescent="0.2">
      <c r="C245" t="s">
        <v>60</v>
      </c>
      <c r="H245" s="302">
        <f>'Historical Data'!O82</f>
        <v>26595</v>
      </c>
      <c r="I245" s="302">
        <f>'Historical Data'!P82</f>
        <v>27647</v>
      </c>
      <c r="J245" s="302">
        <f>'Historical Data'!Q82</f>
        <v>42830</v>
      </c>
      <c r="K245" s="261">
        <f ca="1">K394</f>
        <v>57602.292766267405</v>
      </c>
      <c r="L245" s="261">
        <f t="shared" ref="L245:P245" ca="1" si="104">L394</f>
        <v>79716.277826113568</v>
      </c>
      <c r="M245" s="261">
        <f t="shared" ca="1" si="104"/>
        <v>102998.37137130812</v>
      </c>
      <c r="N245" s="261">
        <f t="shared" ca="1" si="104"/>
        <v>108757.73039508262</v>
      </c>
      <c r="O245" s="261">
        <f t="shared" ca="1" si="104"/>
        <v>100268.73039508262</v>
      </c>
      <c r="P245" s="261">
        <f t="shared" ca="1" si="104"/>
        <v>94932.730395082617</v>
      </c>
    </row>
    <row r="246" spans="3:18" x14ac:dyDescent="0.2">
      <c r="C246" t="s">
        <v>61</v>
      </c>
      <c r="H246" s="302">
        <f>'Historical Data'!O83</f>
        <v>431</v>
      </c>
      <c r="I246" s="302">
        <f>'Historical Data'!P83</f>
        <v>139</v>
      </c>
      <c r="J246" s="302">
        <f>'Historical Data'!Q83</f>
        <v>152</v>
      </c>
      <c r="K246" s="261">
        <f>J246</f>
        <v>152</v>
      </c>
      <c r="L246" s="261">
        <f t="shared" ref="L246:P246" si="105">K246</f>
        <v>152</v>
      </c>
      <c r="M246" s="261">
        <f t="shared" si="105"/>
        <v>152</v>
      </c>
      <c r="N246" s="261">
        <f t="shared" si="105"/>
        <v>152</v>
      </c>
      <c r="O246" s="261">
        <f t="shared" si="105"/>
        <v>152</v>
      </c>
      <c r="P246" s="261">
        <f t="shared" si="105"/>
        <v>152</v>
      </c>
    </row>
    <row r="247" spans="3:18" x14ac:dyDescent="0.2">
      <c r="C247" t="s">
        <v>62</v>
      </c>
      <c r="H247" s="302">
        <f>'Historical Data'!O84</f>
        <v>159</v>
      </c>
      <c r="I247" s="302">
        <f>'Historical Data'!P84</f>
        <v>1160</v>
      </c>
      <c r="J247" s="302">
        <f>'Historical Data'!Q84</f>
        <v>1115</v>
      </c>
      <c r="K247" s="261">
        <f>K407</f>
        <v>1114.75</v>
      </c>
      <c r="L247" s="261">
        <f t="shared" ref="L247:P247" si="106">L407</f>
        <v>1114.75</v>
      </c>
      <c r="M247" s="261">
        <f t="shared" si="106"/>
        <v>1114.75</v>
      </c>
      <c r="N247" s="261">
        <f t="shared" si="106"/>
        <v>1114.75</v>
      </c>
      <c r="O247" s="261">
        <f t="shared" si="106"/>
        <v>1114.75</v>
      </c>
      <c r="P247" s="261">
        <f t="shared" si="106"/>
        <v>1114.75</v>
      </c>
    </row>
    <row r="248" spans="3:18" x14ac:dyDescent="0.2">
      <c r="C248" t="s">
        <v>63</v>
      </c>
      <c r="H248" s="302">
        <f>'Historical Data'!O85</f>
        <v>-184</v>
      </c>
      <c r="I248" s="302">
        <f>'Historical Data'!P85</f>
        <v>-139</v>
      </c>
      <c r="J248" s="302">
        <f>'Historical Data'!Q85</f>
        <v>-152</v>
      </c>
      <c r="K248" s="261">
        <f>J248</f>
        <v>-152</v>
      </c>
      <c r="L248" s="261">
        <f t="shared" ref="L248:P248" si="107">K248</f>
        <v>-152</v>
      </c>
      <c r="M248" s="261">
        <f t="shared" si="107"/>
        <v>-152</v>
      </c>
      <c r="N248" s="261">
        <f t="shared" si="107"/>
        <v>-152</v>
      </c>
      <c r="O248" s="261">
        <f t="shared" si="107"/>
        <v>-152</v>
      </c>
      <c r="P248" s="261">
        <f t="shared" si="107"/>
        <v>-152</v>
      </c>
    </row>
    <row r="249" spans="3:18" x14ac:dyDescent="0.2">
      <c r="C249" t="s">
        <v>338</v>
      </c>
      <c r="H249" s="302">
        <v>0</v>
      </c>
      <c r="I249" s="302">
        <v>0</v>
      </c>
      <c r="J249" s="261">
        <f>Assumptions!O82</f>
        <v>5827.15</v>
      </c>
      <c r="K249" s="261">
        <f>K451</f>
        <v>7146.2157274332958</v>
      </c>
      <c r="L249" s="261">
        <f t="shared" ref="L249:P249" si="108">L451</f>
        <v>8198.8810064118425</v>
      </c>
      <c r="M249" s="261">
        <f t="shared" si="108"/>
        <v>9454.5539776236074</v>
      </c>
      <c r="N249" s="261">
        <f t="shared" si="108"/>
        <v>11506.179494753607</v>
      </c>
      <c r="O249" s="261">
        <f t="shared" si="108"/>
        <v>14546.135541034109</v>
      </c>
      <c r="P249" s="261">
        <f t="shared" si="108"/>
        <v>17694.181139812536</v>
      </c>
    </row>
    <row r="250" spans="3:18" x14ac:dyDescent="0.2">
      <c r="C250" t="s">
        <v>64</v>
      </c>
      <c r="H250" s="302">
        <f>H237-H243-H245-H246-H247-H248-H249-H255-H257</f>
        <v>10632.859999999993</v>
      </c>
      <c r="I250" s="302">
        <f t="shared" ref="I250" si="109">I237-I243-I245-I246-I247-I248-I249-I255-I257</f>
        <v>12750.150000000001</v>
      </c>
      <c r="J250" s="261">
        <f>J237-J243-J245-J246-J247-J248-J249-J255-J257</f>
        <v>7868.5605322510528</v>
      </c>
      <c r="K250" s="261">
        <f>J250</f>
        <v>7868.5605322510528</v>
      </c>
      <c r="L250" s="261">
        <f t="shared" ref="L250:P250" si="110">K250</f>
        <v>7868.5605322510528</v>
      </c>
      <c r="M250" s="261">
        <f t="shared" si="110"/>
        <v>7868.5605322510528</v>
      </c>
      <c r="N250" s="261">
        <f t="shared" si="110"/>
        <v>7868.5605322510528</v>
      </c>
      <c r="O250" s="261">
        <f t="shared" si="110"/>
        <v>7868.5605322510528</v>
      </c>
      <c r="P250" s="261">
        <f t="shared" si="110"/>
        <v>7868.5605322510528</v>
      </c>
    </row>
    <row r="251" spans="3:18" x14ac:dyDescent="0.2">
      <c r="C251" s="2" t="s">
        <v>67</v>
      </c>
      <c r="H251" s="303">
        <f t="shared" ref="H251:I251" si="111">SUM(H245:H250)</f>
        <v>37633.859999999993</v>
      </c>
      <c r="I251" s="303">
        <f t="shared" si="111"/>
        <v>41557.15</v>
      </c>
      <c r="J251" s="303">
        <f>SUM(J245:J250)</f>
        <v>57640.710532251054</v>
      </c>
      <c r="K251" s="303">
        <f t="shared" ref="K251:P251" ca="1" si="112">SUM(K245:K250)</f>
        <v>73731.819025951758</v>
      </c>
      <c r="L251" s="303">
        <f t="shared" ca="1" si="112"/>
        <v>96898.469364776465</v>
      </c>
      <c r="M251" s="303">
        <f t="shared" ca="1" si="112"/>
        <v>121436.23588118279</v>
      </c>
      <c r="N251" s="303">
        <f t="shared" ca="1" si="112"/>
        <v>129247.22042208728</v>
      </c>
      <c r="O251" s="303">
        <f t="shared" ca="1" si="112"/>
        <v>123798.17646836778</v>
      </c>
      <c r="P251" s="303">
        <f t="shared" ca="1" si="112"/>
        <v>121610.22206714621</v>
      </c>
    </row>
    <row r="252" spans="3:18" x14ac:dyDescent="0.2">
      <c r="C252" s="39"/>
      <c r="H252" s="261"/>
      <c r="I252" s="261"/>
      <c r="J252" s="261"/>
      <c r="K252" s="261"/>
      <c r="L252" s="261"/>
      <c r="M252" s="261"/>
      <c r="N252" s="261"/>
      <c r="O252" s="261"/>
      <c r="P252" s="261"/>
    </row>
    <row r="253" spans="3:18" x14ac:dyDescent="0.2">
      <c r="C253" t="s">
        <v>55</v>
      </c>
      <c r="H253" s="302">
        <f>'Historical Data'!O89</f>
        <v>3856.94</v>
      </c>
      <c r="I253" s="302">
        <f>'Historical Data'!P89</f>
        <v>3856.94</v>
      </c>
      <c r="J253" s="302">
        <f>'Historical Data'!Q89</f>
        <v>3856.94</v>
      </c>
      <c r="K253" s="261">
        <f>J253</f>
        <v>3856.94</v>
      </c>
      <c r="L253" s="261">
        <f t="shared" ref="L253:P253" si="113">K253</f>
        <v>3856.94</v>
      </c>
      <c r="M253" s="261">
        <f t="shared" si="113"/>
        <v>3856.94</v>
      </c>
      <c r="N253" s="261">
        <f t="shared" si="113"/>
        <v>3856.94</v>
      </c>
      <c r="O253" s="261">
        <f t="shared" si="113"/>
        <v>3856.94</v>
      </c>
      <c r="P253" s="261">
        <f t="shared" si="113"/>
        <v>3856.94</v>
      </c>
    </row>
    <row r="254" spans="3:18" x14ac:dyDescent="0.2">
      <c r="C254" t="s">
        <v>56</v>
      </c>
      <c r="H254" s="302">
        <f>'Historical Data'!O90</f>
        <v>39041.54</v>
      </c>
      <c r="I254" s="302">
        <f>'Historical Data'!P90</f>
        <v>52490.15</v>
      </c>
      <c r="J254" s="302">
        <f>'Historical Data'!Q90</f>
        <v>61079.94</v>
      </c>
      <c r="K254" s="261">
        <f ca="1">K469</f>
        <v>76088.27318747979</v>
      </c>
      <c r="L254" s="261">
        <f t="shared" ref="L254:P254" ca="1" si="114">L469</f>
        <v>95226.939610535279</v>
      </c>
      <c r="M254" s="261">
        <f t="shared" ca="1" si="114"/>
        <v>118174.53915804777</v>
      </c>
      <c r="N254" s="261">
        <f t="shared" ca="1" si="114"/>
        <v>150457.00024356414</v>
      </c>
      <c r="O254" s="261">
        <f t="shared" ca="1" si="114"/>
        <v>195040.87035049757</v>
      </c>
      <c r="P254" s="261">
        <f t="shared" ca="1" si="114"/>
        <v>247750.43637050566</v>
      </c>
    </row>
    <row r="255" spans="3:18" x14ac:dyDescent="0.2">
      <c r="C255" s="2" t="s">
        <v>68</v>
      </c>
      <c r="H255" s="303">
        <f t="shared" ref="H255:I255" si="115">SUM(H253:H254)</f>
        <v>42898.48</v>
      </c>
      <c r="I255" s="303">
        <f t="shared" si="115"/>
        <v>56347.090000000004</v>
      </c>
      <c r="J255" s="303">
        <f>SUM(J253:J254)</f>
        <v>64936.880000000005</v>
      </c>
      <c r="K255" s="303">
        <f t="shared" ref="K255:P255" ca="1" si="116">SUM(K253:K254)</f>
        <v>79945.213187479792</v>
      </c>
      <c r="L255" s="303">
        <f t="shared" ca="1" si="116"/>
        <v>99083.879610535281</v>
      </c>
      <c r="M255" s="303">
        <f t="shared" ca="1" si="116"/>
        <v>122031.47915804778</v>
      </c>
      <c r="N255" s="303">
        <f t="shared" ca="1" si="116"/>
        <v>154313.94024356414</v>
      </c>
      <c r="O255" s="303">
        <f t="shared" ca="1" si="116"/>
        <v>198897.81035049757</v>
      </c>
      <c r="P255" s="303">
        <f t="shared" ca="1" si="116"/>
        <v>251607.37637050566</v>
      </c>
    </row>
    <row r="256" spans="3:18" x14ac:dyDescent="0.2">
      <c r="C256" s="39"/>
      <c r="H256" s="261"/>
      <c r="I256" s="261"/>
      <c r="J256" s="261"/>
      <c r="K256" s="261"/>
      <c r="L256" s="261"/>
      <c r="M256" s="261"/>
      <c r="N256" s="261"/>
      <c r="O256" s="261"/>
      <c r="P256" s="261"/>
    </row>
    <row r="257" spans="2:16" x14ac:dyDescent="0.2">
      <c r="C257" t="s">
        <v>65</v>
      </c>
      <c r="H257" s="302">
        <f>'Historical Data'!O93</f>
        <v>0</v>
      </c>
      <c r="I257" s="302">
        <f>'Historical Data'!P93</f>
        <v>1326</v>
      </c>
      <c r="J257" s="302">
        <f>'Historical Data'!Q93</f>
        <v>1465</v>
      </c>
      <c r="K257" s="261">
        <f ca="1">K474</f>
        <v>1627.5447307432032</v>
      </c>
      <c r="L257" s="261">
        <f t="shared" ref="L257:P257" ca="1" si="117">L474</f>
        <v>1830.6331566573847</v>
      </c>
      <c r="M257" s="261">
        <f t="shared" ca="1" si="117"/>
        <v>2074.1397713606502</v>
      </c>
      <c r="N257" s="261">
        <f t="shared" ca="1" si="117"/>
        <v>2416.7025216364682</v>
      </c>
      <c r="O257" s="261">
        <f t="shared" ca="1" si="117"/>
        <v>2889.8006885114564</v>
      </c>
      <c r="P257" s="261">
        <f t="shared" ca="1" si="117"/>
        <v>3449.1240267732906</v>
      </c>
    </row>
    <row r="258" spans="2:16" x14ac:dyDescent="0.2">
      <c r="C258" s="39"/>
      <c r="H258" s="261"/>
      <c r="I258" s="261"/>
      <c r="J258" s="261"/>
      <c r="K258" s="261"/>
      <c r="L258" s="261"/>
      <c r="M258" s="261"/>
      <c r="N258" s="261"/>
      <c r="O258" s="261"/>
      <c r="P258" s="261"/>
    </row>
    <row r="259" spans="2:16" ht="16" thickBot="1" x14ac:dyDescent="0.25">
      <c r="C259" s="2" t="s">
        <v>339</v>
      </c>
      <c r="H259" s="304">
        <f t="shared" ref="H259" si="118">H243+H251+H257+H255</f>
        <v>92008.34</v>
      </c>
      <c r="I259" s="304">
        <f>I243+I251+I257+I255</f>
        <v>112917.24</v>
      </c>
      <c r="J259" s="304">
        <f>J243+J251+J257+J255</f>
        <v>137725.59053225105</v>
      </c>
      <c r="K259" s="304">
        <f t="shared" ref="K259:P259" ca="1" si="119">K243+K251+K257+K255</f>
        <v>166710.56289630692</v>
      </c>
      <c r="L259" s="304">
        <f t="shared" ca="1" si="119"/>
        <v>209798.14247058111</v>
      </c>
      <c r="M259" s="304">
        <f t="shared" ca="1" si="119"/>
        <v>258089.60970054573</v>
      </c>
      <c r="N259" s="304">
        <f t="shared" ca="1" si="119"/>
        <v>299653.3591118895</v>
      </c>
      <c r="O259" s="304">
        <f t="shared" ca="1" si="119"/>
        <v>340767.35442088358</v>
      </c>
      <c r="P259" s="304">
        <f t="shared" ca="1" si="119"/>
        <v>392870.7044731424</v>
      </c>
    </row>
    <row r="260" spans="2:16" ht="16" thickTop="1" x14ac:dyDescent="0.2">
      <c r="C260" s="39"/>
    </row>
    <row r="261" spans="2:16" x14ac:dyDescent="0.2">
      <c r="C261" s="39" t="s">
        <v>340</v>
      </c>
      <c r="H261" s="261">
        <f t="shared" ref="H261:I261" si="120">ROUND(H237-H259,0)</f>
        <v>0</v>
      </c>
      <c r="I261" s="261">
        <f t="shared" si="120"/>
        <v>0</v>
      </c>
      <c r="J261" s="261">
        <f>ROUND(J237-J259,0)</f>
        <v>0</v>
      </c>
      <c r="K261" s="261">
        <f t="shared" ref="K261:P261" ca="1" si="121">ROUND(K237-K259,0)</f>
        <v>-1070</v>
      </c>
      <c r="L261" s="261">
        <f t="shared" ca="1" si="121"/>
        <v>-13</v>
      </c>
      <c r="M261" s="261">
        <f t="shared" ca="1" si="121"/>
        <v>1078</v>
      </c>
      <c r="N261" s="261">
        <f t="shared" ca="1" si="121"/>
        <v>3455</v>
      </c>
      <c r="O261" s="261">
        <f t="shared" ca="1" si="121"/>
        <v>6648</v>
      </c>
      <c r="P261" s="261">
        <f t="shared" ca="1" si="121"/>
        <v>9302</v>
      </c>
    </row>
    <row r="262" spans="2:16" x14ac:dyDescent="0.2">
      <c r="C262" s="39"/>
    </row>
    <row r="263" spans="2:16" x14ac:dyDescent="0.2">
      <c r="C263" s="39"/>
    </row>
    <row r="264" spans="2:16" x14ac:dyDescent="0.2">
      <c r="B264" s="47"/>
      <c r="C264" s="47"/>
      <c r="D264" s="47"/>
      <c r="E264" s="47"/>
      <c r="F264" s="47"/>
      <c r="G264" s="47"/>
      <c r="H264" s="47"/>
      <c r="I264" s="47"/>
      <c r="J264" s="47"/>
      <c r="K264" s="47"/>
      <c r="L264" s="47"/>
      <c r="M264" s="47"/>
      <c r="N264" s="47"/>
      <c r="O264" s="47"/>
      <c r="P264" s="347" t="str">
        <f>P84</f>
        <v>CURRENTLY RUNNING: BASE CASE SCENARIO</v>
      </c>
    </row>
    <row r="265" spans="2:16" ht="20" x14ac:dyDescent="0.2">
      <c r="B265" s="243" t="str">
        <f>B85</f>
        <v>Adani Power</v>
      </c>
      <c r="C265" s="5"/>
      <c r="D265" s="5"/>
      <c r="E265" s="5"/>
      <c r="F265" s="5"/>
      <c r="G265" s="5"/>
      <c r="H265" s="5"/>
      <c r="I265" s="5"/>
      <c r="J265" s="5"/>
      <c r="K265" s="5"/>
      <c r="L265" s="5"/>
      <c r="M265" s="5"/>
      <c r="N265" s="5"/>
      <c r="O265" s="5"/>
      <c r="P265" s="5"/>
    </row>
    <row r="266" spans="2:16" ht="18" x14ac:dyDescent="0.2">
      <c r="B266" s="488" t="s">
        <v>241</v>
      </c>
      <c r="C266" s="491"/>
      <c r="D266" s="491"/>
      <c r="E266" s="491"/>
      <c r="F266" s="491"/>
      <c r="G266" s="491"/>
      <c r="H266" s="491"/>
      <c r="I266" s="491"/>
      <c r="J266" s="491"/>
      <c r="K266" s="491"/>
      <c r="L266" s="491"/>
      <c r="M266" s="491"/>
      <c r="N266" s="491"/>
      <c r="O266" s="491"/>
      <c r="P266" s="491"/>
    </row>
    <row r="267" spans="2:16" ht="3" customHeight="1" thickBot="1" x14ac:dyDescent="0.25">
      <c r="B267" s="208"/>
      <c r="C267" s="208"/>
      <c r="D267" s="208"/>
      <c r="E267" s="208"/>
      <c r="F267" s="208"/>
      <c r="G267" s="208"/>
      <c r="H267" s="208"/>
      <c r="I267" s="208"/>
      <c r="J267" s="208"/>
      <c r="K267" s="208"/>
      <c r="L267" s="208"/>
      <c r="M267" s="208"/>
      <c r="N267" s="208"/>
      <c r="O267" s="208"/>
      <c r="P267" s="208"/>
    </row>
    <row r="268" spans="2:16" ht="16" thickTop="1" x14ac:dyDescent="0.2">
      <c r="B268" s="39" t="s">
        <v>7</v>
      </c>
    </row>
    <row r="269" spans="2:16" x14ac:dyDescent="0.2">
      <c r="K269" s="247" t="str">
        <f>K89</f>
        <v>Projected</v>
      </c>
      <c r="L269" s="247"/>
      <c r="M269" s="247"/>
      <c r="N269" s="247"/>
      <c r="O269" s="247"/>
      <c r="P269" s="247"/>
    </row>
    <row r="270" spans="2:16" x14ac:dyDescent="0.2">
      <c r="H270" s="245">
        <f>H90</f>
        <v>2024</v>
      </c>
      <c r="I270" s="245">
        <f>I90</f>
        <v>2025</v>
      </c>
      <c r="J270" s="245">
        <f>J90</f>
        <v>2026</v>
      </c>
      <c r="K270" s="246">
        <f>K90</f>
        <v>2027</v>
      </c>
      <c r="L270" s="246">
        <f>L90</f>
        <v>2028</v>
      </c>
      <c r="M270" s="246">
        <f>M90</f>
        <v>2029</v>
      </c>
      <c r="N270" s="246">
        <f>N90</f>
        <v>2030</v>
      </c>
      <c r="O270" s="246">
        <f>O90</f>
        <v>2031</v>
      </c>
      <c r="P270" s="246">
        <f>P90</f>
        <v>2032</v>
      </c>
    </row>
    <row r="271" spans="2:16" x14ac:dyDescent="0.2">
      <c r="B271" s="2" t="s">
        <v>242</v>
      </c>
    </row>
    <row r="272" spans="2:16" x14ac:dyDescent="0.2">
      <c r="C272" t="s">
        <v>254</v>
      </c>
      <c r="F272" s="223" t="s">
        <v>174</v>
      </c>
      <c r="J272" s="290">
        <f t="shared" ref="J272:P272" si="122">J9</f>
        <v>0</v>
      </c>
      <c r="K272" s="290">
        <f t="shared" si="122"/>
        <v>2920</v>
      </c>
      <c r="L272" s="290">
        <f t="shared" si="122"/>
        <v>2400</v>
      </c>
      <c r="M272" s="290">
        <f t="shared" si="122"/>
        <v>2400</v>
      </c>
      <c r="N272" s="290">
        <f t="shared" si="122"/>
        <v>8000</v>
      </c>
      <c r="O272" s="290">
        <f t="shared" si="122"/>
        <v>5600</v>
      </c>
      <c r="P272" s="290">
        <f t="shared" si="122"/>
        <v>2400</v>
      </c>
    </row>
    <row r="273" spans="2:18" x14ac:dyDescent="0.2">
      <c r="C273" t="s">
        <v>255</v>
      </c>
      <c r="F273" s="223" t="s">
        <v>216</v>
      </c>
      <c r="J273" s="305">
        <f>Assumptions!$H$55</f>
        <v>8.4</v>
      </c>
      <c r="K273" s="305">
        <f>Assumptions!$H$55</f>
        <v>8.4</v>
      </c>
      <c r="L273" s="305">
        <f>Assumptions!$H$55</f>
        <v>8.4</v>
      </c>
      <c r="M273" s="305">
        <f>Assumptions!$H$55</f>
        <v>8.4</v>
      </c>
      <c r="N273" s="305">
        <f>Assumptions!$H$55</f>
        <v>8.4</v>
      </c>
      <c r="O273" s="305">
        <f>Assumptions!$H$55</f>
        <v>8.4</v>
      </c>
      <c r="P273" s="305">
        <f>Assumptions!$H$55</f>
        <v>8.4</v>
      </c>
    </row>
    <row r="274" spans="2:18" x14ac:dyDescent="0.2">
      <c r="F274" s="223"/>
    </row>
    <row r="275" spans="2:18" x14ac:dyDescent="0.2">
      <c r="C275" s="2" t="s">
        <v>256</v>
      </c>
      <c r="F275" s="223"/>
    </row>
    <row r="276" spans="2:18" x14ac:dyDescent="0.2">
      <c r="C276" t="s">
        <v>257</v>
      </c>
      <c r="F276" s="223"/>
      <c r="K276" s="261">
        <f>N$9*K$273*Assumptions!$H$60</f>
        <v>10080</v>
      </c>
      <c r="L276" s="261">
        <f>O$9*L273*Assumptions!$H$60</f>
        <v>7056</v>
      </c>
      <c r="M276" s="261">
        <f>P$9*M273*Assumptions!$H$60</f>
        <v>3024</v>
      </c>
      <c r="N276" s="261">
        <f>Q$9*N273*Assumptions!$H$60</f>
        <v>0</v>
      </c>
      <c r="O276" s="261">
        <f>R$9*O273*Assumptions!$H$60</f>
        <v>0</v>
      </c>
      <c r="P276" s="261">
        <f>S$9*P273*Assumptions!$H$60</f>
        <v>0</v>
      </c>
    </row>
    <row r="277" spans="2:18" x14ac:dyDescent="0.2">
      <c r="C277" t="s">
        <v>258</v>
      </c>
      <c r="F277" s="223"/>
      <c r="K277" s="261">
        <f>M$9*K$273*Assumptions!$H$61</f>
        <v>7056</v>
      </c>
      <c r="L277" s="261">
        <f>N$9*L$273*Assumptions!$H$61</f>
        <v>23520</v>
      </c>
      <c r="M277" s="261">
        <f>O$9*M$273*Assumptions!$H$61</f>
        <v>16464</v>
      </c>
      <c r="N277" s="261">
        <f>P$9*N$273*Assumptions!$H$61</f>
        <v>7056</v>
      </c>
      <c r="O277" s="261">
        <f>Q$9*O$273*Assumptions!$H$61</f>
        <v>0</v>
      </c>
      <c r="P277" s="261">
        <f>R$9*P$273*Assumptions!$H$61</f>
        <v>0</v>
      </c>
    </row>
    <row r="278" spans="2:18" x14ac:dyDescent="0.2">
      <c r="C278" t="s">
        <v>259</v>
      </c>
      <c r="F278" s="223"/>
      <c r="K278" s="261">
        <f>L$9*K$273*Assumptions!$H$62</f>
        <v>7056</v>
      </c>
      <c r="L278" s="261">
        <f>M$9*L$273*Assumptions!$H$62</f>
        <v>7056</v>
      </c>
      <c r="M278" s="261">
        <f>N$9*M$273*Assumptions!$H$62</f>
        <v>23520</v>
      </c>
      <c r="N278" s="261">
        <f>O$9*N$273*Assumptions!$H$62</f>
        <v>16464</v>
      </c>
      <c r="O278" s="261">
        <f>P$9*O$273*Assumptions!$H$62</f>
        <v>7056</v>
      </c>
      <c r="P278" s="261">
        <f>Q$9*P$273*Assumptions!$H$62</f>
        <v>0</v>
      </c>
    </row>
    <row r="279" spans="2:18" x14ac:dyDescent="0.2">
      <c r="C279" t="s">
        <v>260</v>
      </c>
      <c r="F279" s="223"/>
      <c r="K279" s="275">
        <f>K$9*K$273*Assumptions!$H$63</f>
        <v>3679.2</v>
      </c>
      <c r="L279" s="275">
        <f>L$9*L$273*Assumptions!$H$63</f>
        <v>3024</v>
      </c>
      <c r="M279" s="275">
        <f>M$9*M$273*Assumptions!$H$63</f>
        <v>3024</v>
      </c>
      <c r="N279" s="275">
        <f>N$9*N$273*Assumptions!$H$63</f>
        <v>10080</v>
      </c>
      <c r="O279" s="275">
        <f>O$9*O$273*Assumptions!$H$63</f>
        <v>7056</v>
      </c>
      <c r="P279" s="275">
        <f>P$9*P$273*Assumptions!$H$63</f>
        <v>3024</v>
      </c>
    </row>
    <row r="280" spans="2:18" x14ac:dyDescent="0.2">
      <c r="C280" s="2" t="s">
        <v>261</v>
      </c>
      <c r="D280" s="2"/>
      <c r="E280" s="2"/>
      <c r="F280" s="239" t="s">
        <v>216</v>
      </c>
      <c r="G280" s="2"/>
      <c r="H280" s="2"/>
      <c r="I280" s="2"/>
      <c r="J280" s="303">
        <f>-'Historical Data'!Q129-J282</f>
        <v>22450.09</v>
      </c>
      <c r="K280" s="303">
        <f t="shared" ref="K280:P280" si="123">SUM(K276:K279)</f>
        <v>27871.200000000001</v>
      </c>
      <c r="L280" s="303">
        <f t="shared" si="123"/>
        <v>40656</v>
      </c>
      <c r="M280" s="303">
        <f t="shared" si="123"/>
        <v>46032</v>
      </c>
      <c r="N280" s="303">
        <f t="shared" si="123"/>
        <v>33600</v>
      </c>
      <c r="O280" s="303">
        <f t="shared" si="123"/>
        <v>14112</v>
      </c>
      <c r="P280" s="303">
        <f t="shared" si="123"/>
        <v>3024</v>
      </c>
      <c r="R280" s="261"/>
    </row>
    <row r="281" spans="2:18" x14ac:dyDescent="0.2">
      <c r="F281" s="223"/>
    </row>
    <row r="282" spans="2:18" x14ac:dyDescent="0.2">
      <c r="C282" t="s">
        <v>262</v>
      </c>
      <c r="F282" s="223" t="s">
        <v>216</v>
      </c>
      <c r="J282" s="261">
        <f>J92*Assumptions!$H$58</f>
        <v>900</v>
      </c>
      <c r="K282" s="261">
        <f>K92*Assumptions!$H$58</f>
        <v>980.5</v>
      </c>
      <c r="L282" s="261">
        <f>L92*Assumptions!$H$58</f>
        <v>1113.5</v>
      </c>
      <c r="M282" s="261">
        <f>M92*Assumptions!$H$58</f>
        <v>1233.5</v>
      </c>
      <c r="N282" s="261">
        <f>N92*Assumptions!$H$58</f>
        <v>1493.5</v>
      </c>
      <c r="O282" s="261">
        <f>O92*Assumptions!$H$58</f>
        <v>1833.5</v>
      </c>
      <c r="P282" s="261">
        <f>P92*Assumptions!$H$58</f>
        <v>2033.5</v>
      </c>
    </row>
    <row r="283" spans="2:18" x14ac:dyDescent="0.2">
      <c r="F283" s="223"/>
    </row>
    <row r="284" spans="2:18" ht="16" thickBot="1" x14ac:dyDescent="0.25">
      <c r="C284" s="2" t="s">
        <v>263</v>
      </c>
      <c r="D284" s="2"/>
      <c r="E284" s="2"/>
      <c r="F284" s="239" t="s">
        <v>216</v>
      </c>
      <c r="G284" s="2"/>
      <c r="H284" s="2"/>
      <c r="I284" s="2"/>
      <c r="J284" s="304">
        <f t="shared" ref="J284:P284" si="124">J280+J282</f>
        <v>23350.09</v>
      </c>
      <c r="K284" s="304">
        <f t="shared" si="124"/>
        <v>28851.7</v>
      </c>
      <c r="L284" s="304">
        <f t="shared" si="124"/>
        <v>41769.5</v>
      </c>
      <c r="M284" s="304">
        <f t="shared" si="124"/>
        <v>47265.5</v>
      </c>
      <c r="N284" s="304">
        <f t="shared" si="124"/>
        <v>35093.5</v>
      </c>
      <c r="O284" s="304">
        <f t="shared" si="124"/>
        <v>15945.5</v>
      </c>
      <c r="P284" s="304">
        <f t="shared" si="124"/>
        <v>5057.5</v>
      </c>
    </row>
    <row r="285" spans="2:18" ht="16" thickTop="1" x14ac:dyDescent="0.2"/>
    <row r="286" spans="2:18" x14ac:dyDescent="0.2">
      <c r="B286" s="2" t="s">
        <v>264</v>
      </c>
    </row>
    <row r="287" spans="2:18" x14ac:dyDescent="0.2">
      <c r="C287" t="s">
        <v>247</v>
      </c>
      <c r="F287" s="223" t="s">
        <v>216</v>
      </c>
      <c r="J287" s="302">
        <f>'Historical Data'!P68</f>
        <v>12104.42</v>
      </c>
      <c r="K287" s="261">
        <f t="shared" ref="K287:P287" si="125">J291</f>
        <v>35053.46</v>
      </c>
      <c r="L287" s="261">
        <f t="shared" si="125"/>
        <v>39550.478404437286</v>
      </c>
      <c r="M287" s="261">
        <f t="shared" ca="1" si="125"/>
        <v>61357.573699941044</v>
      </c>
      <c r="N287" s="261">
        <f t="shared" ca="1" si="125"/>
        <v>89395.43935058132</v>
      </c>
      <c r="O287" s="261">
        <f t="shared" ca="1" si="125"/>
        <v>59031.645334763365</v>
      </c>
      <c r="P287" s="261">
        <f t="shared" ca="1" si="125"/>
        <v>28062.684270201644</v>
      </c>
    </row>
    <row r="288" spans="2:18" x14ac:dyDescent="0.2">
      <c r="C288" t="s">
        <v>265</v>
      </c>
      <c r="F288" s="223" t="s">
        <v>216</v>
      </c>
      <c r="J288" s="290">
        <f>J280</f>
        <v>22450.09</v>
      </c>
      <c r="K288" s="290">
        <f t="shared" ref="K288:P288" si="126">K280</f>
        <v>27871.200000000001</v>
      </c>
      <c r="L288" s="290">
        <f t="shared" si="126"/>
        <v>40656</v>
      </c>
      <c r="M288" s="290">
        <f t="shared" si="126"/>
        <v>46032</v>
      </c>
      <c r="N288" s="290">
        <f t="shared" si="126"/>
        <v>33600</v>
      </c>
      <c r="O288" s="290">
        <f t="shared" si="126"/>
        <v>14112</v>
      </c>
      <c r="P288" s="290">
        <f t="shared" si="126"/>
        <v>3024</v>
      </c>
    </row>
    <row r="289" spans="2:16" x14ac:dyDescent="0.2">
      <c r="C289" t="s">
        <v>266</v>
      </c>
      <c r="F289" s="223" t="s">
        <v>216</v>
      </c>
      <c r="J289" s="261">
        <f xml:space="preserve"> -J420</f>
        <v>482.23053225101978</v>
      </c>
      <c r="K289" s="261">
        <f t="shared" ref="K289:P289" si="127" xml:space="preserve"> -K420</f>
        <v>1153.8184044372833</v>
      </c>
      <c r="L289" s="261">
        <f t="shared" ca="1" si="127"/>
        <v>1311.0952955037599</v>
      </c>
      <c r="M289" s="261">
        <f t="shared" ca="1" si="127"/>
        <v>2165.8656506402776</v>
      </c>
      <c r="N289" s="261">
        <f t="shared" ca="1" si="127"/>
        <v>3236.2059841820414</v>
      </c>
      <c r="O289" s="261">
        <f t="shared" ca="1" si="127"/>
        <v>1959.0389354382812</v>
      </c>
      <c r="P289" s="261">
        <f t="shared" ca="1" si="127"/>
        <v>814.36784093873928</v>
      </c>
    </row>
    <row r="290" spans="2:16" x14ac:dyDescent="0.2">
      <c r="C290" t="s">
        <v>267</v>
      </c>
      <c r="F290" s="223" t="s">
        <v>216</v>
      </c>
      <c r="J290" s="261">
        <f>-(J287+J288+J289-'Historical Data'!Q68)</f>
        <v>16.719467748975148</v>
      </c>
      <c r="K290" s="261">
        <f t="shared" ref="K290:P290" si="128">-K272*K273</f>
        <v>-24528</v>
      </c>
      <c r="L290" s="261">
        <f t="shared" si="128"/>
        <v>-20160</v>
      </c>
      <c r="M290" s="261">
        <f t="shared" si="128"/>
        <v>-20160</v>
      </c>
      <c r="N290" s="261">
        <f t="shared" si="128"/>
        <v>-67200</v>
      </c>
      <c r="O290" s="261">
        <f t="shared" si="128"/>
        <v>-47040</v>
      </c>
      <c r="P290" s="261">
        <f t="shared" si="128"/>
        <v>-20160</v>
      </c>
    </row>
    <row r="291" spans="2:16" s="2" customFormat="1" ht="16" thickBot="1" x14ac:dyDescent="0.25">
      <c r="C291" s="2" t="s">
        <v>268</v>
      </c>
      <c r="F291" s="239" t="s">
        <v>216</v>
      </c>
      <c r="J291" s="304">
        <f>SUM(J287:J290)</f>
        <v>35053.46</v>
      </c>
      <c r="K291" s="304">
        <f t="shared" ref="K291:P291" si="129">SUM(K287:K290)</f>
        <v>39550.478404437286</v>
      </c>
      <c r="L291" s="304">
        <f t="shared" ca="1" si="129"/>
        <v>61357.573699941044</v>
      </c>
      <c r="M291" s="304">
        <f t="shared" ca="1" si="129"/>
        <v>89395.43935058132</v>
      </c>
      <c r="N291" s="304">
        <f t="shared" ca="1" si="129"/>
        <v>59031.645334763365</v>
      </c>
      <c r="O291" s="304">
        <f t="shared" ca="1" si="129"/>
        <v>28062.684270201644</v>
      </c>
      <c r="P291" s="304">
        <f t="shared" ca="1" si="129"/>
        <v>11741.052111140383</v>
      </c>
    </row>
    <row r="292" spans="2:16" ht="16" thickTop="1" x14ac:dyDescent="0.2"/>
    <row r="293" spans="2:16" x14ac:dyDescent="0.2">
      <c r="C293" s="39" t="s">
        <v>227</v>
      </c>
      <c r="J293" s="293">
        <f>ROUND(J291-'Historical Data'!Q68,1)</f>
        <v>0</v>
      </c>
    </row>
    <row r="295" spans="2:16" x14ac:dyDescent="0.2">
      <c r="B295" s="2" t="s">
        <v>269</v>
      </c>
    </row>
    <row r="296" spans="2:16" x14ac:dyDescent="0.2">
      <c r="C296" t="s">
        <v>270</v>
      </c>
      <c r="F296" s="223" t="s">
        <v>216</v>
      </c>
      <c r="J296" s="302">
        <f>'Historical Data'!P63</f>
        <v>101112</v>
      </c>
      <c r="K296" s="261">
        <f t="shared" ref="K296:P296" si="130">J300</f>
        <v>101975.88053225103</v>
      </c>
      <c r="L296" s="261">
        <f t="shared" si="130"/>
        <v>127484.38053225103</v>
      </c>
      <c r="M296" s="261">
        <f t="shared" si="130"/>
        <v>148757.88053225103</v>
      </c>
      <c r="N296" s="261">
        <f t="shared" si="130"/>
        <v>170151.38053225103</v>
      </c>
      <c r="O296" s="261">
        <f t="shared" si="130"/>
        <v>238844.88053225103</v>
      </c>
      <c r="P296" s="261">
        <f t="shared" si="130"/>
        <v>287718.38053225103</v>
      </c>
    </row>
    <row r="297" spans="2:16" x14ac:dyDescent="0.2">
      <c r="C297" t="s">
        <v>272</v>
      </c>
      <c r="F297" s="223" t="s">
        <v>216</v>
      </c>
      <c r="J297" s="290">
        <f>-J290</f>
        <v>-16.719467748975148</v>
      </c>
      <c r="K297" s="290">
        <f t="shared" ref="K297:P297" si="131">-K290</f>
        <v>24528</v>
      </c>
      <c r="L297" s="290">
        <f t="shared" si="131"/>
        <v>20160</v>
      </c>
      <c r="M297" s="290">
        <f t="shared" si="131"/>
        <v>20160</v>
      </c>
      <c r="N297" s="290">
        <f t="shared" si="131"/>
        <v>67200</v>
      </c>
      <c r="O297" s="290">
        <f t="shared" si="131"/>
        <v>47040</v>
      </c>
      <c r="P297" s="290">
        <f t="shared" si="131"/>
        <v>20160</v>
      </c>
    </row>
    <row r="298" spans="2:16" x14ac:dyDescent="0.2">
      <c r="C298" t="s">
        <v>273</v>
      </c>
      <c r="F298" s="223" t="s">
        <v>216</v>
      </c>
      <c r="J298" s="290">
        <f>J282</f>
        <v>900</v>
      </c>
      <c r="K298" s="290">
        <f t="shared" ref="K298:P298" si="132">K282</f>
        <v>980.5</v>
      </c>
      <c r="L298" s="290">
        <f t="shared" si="132"/>
        <v>1113.5</v>
      </c>
      <c r="M298" s="290">
        <f t="shared" si="132"/>
        <v>1233.5</v>
      </c>
      <c r="N298" s="290">
        <f t="shared" si="132"/>
        <v>1493.5</v>
      </c>
      <c r="O298" s="290">
        <f t="shared" si="132"/>
        <v>1833.5</v>
      </c>
      <c r="P298" s="290">
        <f t="shared" si="132"/>
        <v>2033.5</v>
      </c>
    </row>
    <row r="299" spans="2:16" x14ac:dyDescent="0.2">
      <c r="C299" t="s">
        <v>274</v>
      </c>
      <c r="F299" s="223" t="s">
        <v>216</v>
      </c>
      <c r="J299" s="302">
        <f>-'Historical Data'!Q130</f>
        <v>-19.399999999999999</v>
      </c>
      <c r="K299" s="354">
        <v>0</v>
      </c>
      <c r="L299" s="354">
        <v>0</v>
      </c>
      <c r="M299" s="354">
        <v>0</v>
      </c>
      <c r="N299" s="354">
        <v>0</v>
      </c>
      <c r="O299" s="354">
        <v>0</v>
      </c>
      <c r="P299" s="354">
        <v>0</v>
      </c>
    </row>
    <row r="300" spans="2:16" s="2" customFormat="1" ht="16" thickBot="1" x14ac:dyDescent="0.25">
      <c r="C300" s="2" t="s">
        <v>271</v>
      </c>
      <c r="F300" s="239" t="s">
        <v>216</v>
      </c>
      <c r="J300" s="304">
        <f>SUM(J296:J299)</f>
        <v>101975.88053225103</v>
      </c>
      <c r="K300" s="304">
        <f t="shared" ref="K300:P300" si="133">SUM(K296:K299)</f>
        <v>127484.38053225103</v>
      </c>
      <c r="L300" s="304">
        <f t="shared" si="133"/>
        <v>148757.88053225103</v>
      </c>
      <c r="M300" s="304">
        <f t="shared" si="133"/>
        <v>170151.38053225103</v>
      </c>
      <c r="N300" s="304">
        <f t="shared" si="133"/>
        <v>238844.88053225103</v>
      </c>
      <c r="O300" s="304">
        <f t="shared" si="133"/>
        <v>287718.38053225103</v>
      </c>
      <c r="P300" s="304">
        <f t="shared" si="133"/>
        <v>309911.88053225103</v>
      </c>
    </row>
    <row r="301" spans="2:16" ht="16" thickTop="1" x14ac:dyDescent="0.2"/>
    <row r="302" spans="2:16" x14ac:dyDescent="0.2">
      <c r="B302" s="34"/>
      <c r="C302" s="34"/>
      <c r="D302" s="34"/>
      <c r="E302" s="34"/>
      <c r="F302" s="34"/>
      <c r="G302" s="34"/>
      <c r="H302" s="34"/>
      <c r="I302" s="34"/>
      <c r="J302" s="34"/>
      <c r="K302" s="34"/>
      <c r="L302" s="34"/>
      <c r="M302" s="34"/>
      <c r="N302" s="34"/>
      <c r="O302" s="34"/>
      <c r="P302" s="34"/>
    </row>
    <row r="303" spans="2:16" x14ac:dyDescent="0.2">
      <c r="P303" s="289" t="str">
        <f>P264</f>
        <v>CURRENTLY RUNNING: BASE CASE SCENARIO</v>
      </c>
    </row>
    <row r="304" spans="2:16" ht="20" x14ac:dyDescent="0.2">
      <c r="B304" s="243" t="str">
        <f>B265</f>
        <v>Adani Power</v>
      </c>
      <c r="C304" s="5"/>
      <c r="D304" s="5"/>
      <c r="E304" s="5"/>
      <c r="F304" s="5"/>
      <c r="G304" s="5"/>
      <c r="H304" s="5"/>
      <c r="I304" s="5"/>
      <c r="J304" s="5"/>
      <c r="K304" s="5"/>
      <c r="L304" s="5"/>
      <c r="M304" s="5"/>
      <c r="N304" s="5"/>
      <c r="O304" s="5"/>
      <c r="P304" s="5"/>
    </row>
    <row r="305" spans="2:17" ht="18" x14ac:dyDescent="0.2">
      <c r="B305" s="488" t="s">
        <v>275</v>
      </c>
      <c r="C305" s="491"/>
      <c r="D305" s="491"/>
      <c r="E305" s="491"/>
      <c r="F305" s="491"/>
      <c r="G305" s="491"/>
      <c r="H305" s="491"/>
      <c r="I305" s="491"/>
      <c r="J305" s="491"/>
      <c r="K305" s="491"/>
      <c r="L305" s="491"/>
      <c r="M305" s="491"/>
      <c r="N305" s="491"/>
      <c r="O305" s="491"/>
      <c r="P305" s="491"/>
    </row>
    <row r="306" spans="2:17" ht="3" customHeight="1" thickBot="1" x14ac:dyDescent="0.25">
      <c r="B306" s="208"/>
      <c r="C306" s="208"/>
      <c r="D306" s="208"/>
      <c r="E306" s="208"/>
      <c r="F306" s="208"/>
      <c r="G306" s="208"/>
      <c r="H306" s="208"/>
      <c r="I306" s="208"/>
      <c r="J306" s="208"/>
      <c r="K306" s="208"/>
      <c r="L306" s="208"/>
      <c r="M306" s="208"/>
      <c r="N306" s="208"/>
      <c r="O306" s="208"/>
      <c r="P306" s="208"/>
    </row>
    <row r="307" spans="2:17" ht="16" thickTop="1" x14ac:dyDescent="0.2">
      <c r="B307" s="39" t="s">
        <v>7</v>
      </c>
    </row>
    <row r="308" spans="2:17" x14ac:dyDescent="0.2">
      <c r="K308" s="247" t="str">
        <f>K269</f>
        <v>Projected</v>
      </c>
      <c r="L308" s="247"/>
      <c r="M308" s="247"/>
      <c r="N308" s="247"/>
      <c r="O308" s="247"/>
      <c r="P308" s="247"/>
    </row>
    <row r="309" spans="2:17" x14ac:dyDescent="0.2">
      <c r="H309" s="245">
        <f>H270</f>
        <v>2024</v>
      </c>
      <c r="I309" s="245">
        <f>I270</f>
        <v>2025</v>
      </c>
      <c r="J309" s="245">
        <f>J270</f>
        <v>2026</v>
      </c>
      <c r="K309" s="246">
        <f>K270</f>
        <v>2027</v>
      </c>
      <c r="L309" s="246">
        <f>L270</f>
        <v>2028</v>
      </c>
      <c r="M309" s="246">
        <f>M270</f>
        <v>2029</v>
      </c>
      <c r="N309" s="246">
        <f>N270</f>
        <v>2030</v>
      </c>
      <c r="O309" s="246">
        <f>O270</f>
        <v>2031</v>
      </c>
      <c r="P309" s="246">
        <f>P270</f>
        <v>2032</v>
      </c>
    </row>
    <row r="311" spans="2:17" x14ac:dyDescent="0.2">
      <c r="B311" s="306" t="s">
        <v>276</v>
      </c>
      <c r="C311" s="47"/>
      <c r="D311" s="47"/>
      <c r="E311" s="47"/>
      <c r="F311" s="310">
        <f>Assumptions!O37</f>
        <v>15.204513936812774</v>
      </c>
    </row>
    <row r="312" spans="2:17" x14ac:dyDescent="0.2">
      <c r="B312" s="307" t="s">
        <v>277</v>
      </c>
      <c r="C312" s="34"/>
      <c r="D312" s="308"/>
      <c r="E312" s="309"/>
      <c r="F312" s="311">
        <f>Assumptions!O38</f>
        <v>25</v>
      </c>
    </row>
    <row r="314" spans="2:17" x14ac:dyDescent="0.2">
      <c r="B314" s="2" t="s">
        <v>278</v>
      </c>
    </row>
    <row r="315" spans="2:17" x14ac:dyDescent="0.2">
      <c r="C315" t="s">
        <v>279</v>
      </c>
      <c r="J315" s="302">
        <f>'Historical Data'!P66</f>
        <v>69297.45</v>
      </c>
      <c r="K315" s="261">
        <f t="shared" ref="K315:P315" si="134">J317</f>
        <v>69401.460000000006</v>
      </c>
      <c r="L315" s="261">
        <f t="shared" si="134"/>
        <v>64836.930000000008</v>
      </c>
      <c r="M315" s="261">
        <f t="shared" si="134"/>
        <v>60272.400000000009</v>
      </c>
      <c r="N315" s="261">
        <f t="shared" si="134"/>
        <v>55707.87000000001</v>
      </c>
      <c r="O315" s="261">
        <f t="shared" si="134"/>
        <v>51143.340000000011</v>
      </c>
      <c r="P315" s="261">
        <f t="shared" si="134"/>
        <v>46578.810000000012</v>
      </c>
    </row>
    <row r="316" spans="2:17" x14ac:dyDescent="0.2">
      <c r="C316" t="s">
        <v>280</v>
      </c>
      <c r="J316" s="302">
        <f>'Historical Data'!Q22</f>
        <v>4564.53</v>
      </c>
      <c r="K316" s="261">
        <f t="shared" ref="K316:P316" si="135">MIN($J$317/$F$311,J317)</f>
        <v>4564.53</v>
      </c>
      <c r="L316" s="261">
        <f t="shared" si="135"/>
        <v>4564.53</v>
      </c>
      <c r="M316" s="261">
        <f t="shared" si="135"/>
        <v>4564.53</v>
      </c>
      <c r="N316" s="261">
        <f t="shared" si="135"/>
        <v>4564.53</v>
      </c>
      <c r="O316" s="261">
        <f t="shared" si="135"/>
        <v>4564.53</v>
      </c>
      <c r="P316" s="261">
        <f t="shared" si="135"/>
        <v>4564.53</v>
      </c>
    </row>
    <row r="317" spans="2:17" x14ac:dyDescent="0.2">
      <c r="C317" s="2" t="s">
        <v>281</v>
      </c>
      <c r="D317" s="2"/>
      <c r="E317" s="2"/>
      <c r="F317" s="2"/>
      <c r="G317" s="2"/>
      <c r="H317" s="2"/>
      <c r="I317" s="2"/>
      <c r="J317" s="312">
        <f>'Historical Data'!Q66</f>
        <v>69401.460000000006</v>
      </c>
      <c r="K317" s="303">
        <f t="shared" ref="K317:P317" si="136">K315-K316</f>
        <v>64836.930000000008</v>
      </c>
      <c r="L317" s="303">
        <f t="shared" si="136"/>
        <v>60272.400000000009</v>
      </c>
      <c r="M317" s="303">
        <f t="shared" si="136"/>
        <v>55707.87000000001</v>
      </c>
      <c r="N317" s="303">
        <f t="shared" si="136"/>
        <v>51143.340000000011</v>
      </c>
      <c r="O317" s="303">
        <f t="shared" si="136"/>
        <v>46578.810000000012</v>
      </c>
      <c r="P317" s="303">
        <f t="shared" si="136"/>
        <v>42014.280000000013</v>
      </c>
    </row>
    <row r="319" spans="2:17" x14ac:dyDescent="0.2">
      <c r="B319" s="2" t="s">
        <v>282</v>
      </c>
    </row>
    <row r="320" spans="2:17" x14ac:dyDescent="0.2">
      <c r="C320" s="314">
        <f>K309</f>
        <v>2027</v>
      </c>
      <c r="K320" s="315">
        <f>-K290</f>
        <v>24528</v>
      </c>
      <c r="L320" s="261">
        <f>K320</f>
        <v>24528</v>
      </c>
      <c r="M320" s="261">
        <f t="shared" ref="M320:P322" si="137">L320</f>
        <v>24528</v>
      </c>
      <c r="N320" s="261">
        <f t="shared" si="137"/>
        <v>24528</v>
      </c>
      <c r="O320" s="261">
        <f t="shared" si="137"/>
        <v>24528</v>
      </c>
      <c r="P320" s="261">
        <f t="shared" si="137"/>
        <v>24528</v>
      </c>
      <c r="Q320" s="261"/>
    </row>
    <row r="321" spans="2:17" x14ac:dyDescent="0.2">
      <c r="C321" s="314">
        <f>C320+1</f>
        <v>2028</v>
      </c>
      <c r="K321" s="313"/>
      <c r="L321" s="261">
        <f>-L290</f>
        <v>20160</v>
      </c>
      <c r="M321" s="261">
        <f t="shared" si="137"/>
        <v>20160</v>
      </c>
      <c r="N321" s="261">
        <f t="shared" si="137"/>
        <v>20160</v>
      </c>
      <c r="O321" s="261">
        <f t="shared" si="137"/>
        <v>20160</v>
      </c>
      <c r="P321" s="261">
        <f>O321</f>
        <v>20160</v>
      </c>
      <c r="Q321" s="261"/>
    </row>
    <row r="322" spans="2:17" x14ac:dyDescent="0.2">
      <c r="C322" s="314">
        <f>C321+1</f>
        <v>2029</v>
      </c>
      <c r="K322" s="313"/>
      <c r="L322" s="313"/>
      <c r="M322" s="261">
        <f>-M290</f>
        <v>20160</v>
      </c>
      <c r="N322" s="261">
        <f t="shared" si="137"/>
        <v>20160</v>
      </c>
      <c r="O322" s="261">
        <f t="shared" si="137"/>
        <v>20160</v>
      </c>
      <c r="P322" s="261">
        <f t="shared" si="137"/>
        <v>20160</v>
      </c>
      <c r="Q322" s="261"/>
    </row>
    <row r="323" spans="2:17" x14ac:dyDescent="0.2">
      <c r="C323" s="314">
        <f>C322+1</f>
        <v>2030</v>
      </c>
      <c r="K323" s="313"/>
      <c r="L323" s="313"/>
      <c r="M323" s="313"/>
      <c r="N323" s="261">
        <f>-N290</f>
        <v>67200</v>
      </c>
      <c r="O323" s="261">
        <f>N323</f>
        <v>67200</v>
      </c>
      <c r="P323" s="261">
        <f>O323</f>
        <v>67200</v>
      </c>
      <c r="Q323" s="261"/>
    </row>
    <row r="324" spans="2:17" x14ac:dyDescent="0.2">
      <c r="C324" s="314">
        <f>C323+1</f>
        <v>2031</v>
      </c>
      <c r="K324" s="313"/>
      <c r="L324" s="313"/>
      <c r="M324" s="313"/>
      <c r="N324" s="313"/>
      <c r="O324" s="261">
        <f>-O290</f>
        <v>47040</v>
      </c>
      <c r="P324" s="261">
        <f>O324</f>
        <v>47040</v>
      </c>
      <c r="Q324" s="261"/>
    </row>
    <row r="325" spans="2:17" x14ac:dyDescent="0.2">
      <c r="C325" s="314">
        <f>C324+1</f>
        <v>2032</v>
      </c>
      <c r="K325" s="313"/>
      <c r="L325" s="313"/>
      <c r="M325" s="313"/>
      <c r="N325" s="313"/>
      <c r="O325" s="313"/>
      <c r="P325" s="261">
        <f>-P290</f>
        <v>20160</v>
      </c>
      <c r="Q325" s="261"/>
    </row>
    <row r="326" spans="2:17" x14ac:dyDescent="0.2">
      <c r="Q326" s="261"/>
    </row>
    <row r="327" spans="2:17" x14ac:dyDescent="0.2">
      <c r="B327" s="2" t="s">
        <v>283</v>
      </c>
    </row>
    <row r="328" spans="2:17" x14ac:dyDescent="0.2">
      <c r="C328" s="314">
        <f t="shared" ref="C328:C333" si="138">C320</f>
        <v>2027</v>
      </c>
      <c r="K328" s="315">
        <f>K320/$F$312/2</f>
        <v>490.56</v>
      </c>
      <c r="L328" s="315">
        <f>$K$320/$F$312</f>
        <v>981.12</v>
      </c>
      <c r="M328" s="315">
        <f>$K$320/$F$312</f>
        <v>981.12</v>
      </c>
      <c r="N328" s="315">
        <f>$K$320/$F$312</f>
        <v>981.12</v>
      </c>
      <c r="O328" s="315">
        <f>$K$320/$F$312</f>
        <v>981.12</v>
      </c>
      <c r="P328" s="315">
        <f>$K$320/$F$312</f>
        <v>981.12</v>
      </c>
    </row>
    <row r="329" spans="2:17" x14ac:dyDescent="0.2">
      <c r="C329" s="314">
        <f t="shared" si="138"/>
        <v>2028</v>
      </c>
      <c r="K329" s="313"/>
      <c r="L329" s="315">
        <f>L321/$F$312/2</f>
        <v>403.2</v>
      </c>
      <c r="M329" s="315">
        <f>$L$321/$F$312</f>
        <v>806.4</v>
      </c>
      <c r="N329" s="315">
        <f>$L$321/$F$312</f>
        <v>806.4</v>
      </c>
      <c r="O329" s="315">
        <f>$L$321/$F$312</f>
        <v>806.4</v>
      </c>
      <c r="P329" s="315">
        <f>$L$321/$F$312</f>
        <v>806.4</v>
      </c>
    </row>
    <row r="330" spans="2:17" x14ac:dyDescent="0.2">
      <c r="C330" s="314">
        <f t="shared" si="138"/>
        <v>2029</v>
      </c>
      <c r="K330" s="313"/>
      <c r="L330" s="313"/>
      <c r="M330" s="315">
        <f>M322/$F$312/2</f>
        <v>403.2</v>
      </c>
      <c r="N330" s="315">
        <f>$M$322/$F$312</f>
        <v>806.4</v>
      </c>
      <c r="O330" s="315">
        <f>$M$322/$F$312</f>
        <v>806.4</v>
      </c>
      <c r="P330" s="315">
        <f>$M$322/$F$312</f>
        <v>806.4</v>
      </c>
    </row>
    <row r="331" spans="2:17" x14ac:dyDescent="0.2">
      <c r="C331" s="314">
        <f t="shared" si="138"/>
        <v>2030</v>
      </c>
      <c r="K331" s="313"/>
      <c r="L331" s="313"/>
      <c r="M331" s="313"/>
      <c r="N331" s="315">
        <f>N323/$F$312/2</f>
        <v>1344</v>
      </c>
      <c r="O331" s="315">
        <f>$N$323/$F$312</f>
        <v>2688</v>
      </c>
      <c r="P331" s="315">
        <f>$N$323/$F$312</f>
        <v>2688</v>
      </c>
    </row>
    <row r="332" spans="2:17" x14ac:dyDescent="0.2">
      <c r="C332" s="314">
        <f t="shared" si="138"/>
        <v>2031</v>
      </c>
      <c r="K332" s="313"/>
      <c r="L332" s="313"/>
      <c r="M332" s="313"/>
      <c r="N332" s="313"/>
      <c r="O332" s="275">
        <f>O324/$F$312/2</f>
        <v>940.8</v>
      </c>
      <c r="P332" s="315">
        <f>$O$324/$F$312</f>
        <v>1881.6</v>
      </c>
    </row>
    <row r="333" spans="2:17" x14ac:dyDescent="0.2">
      <c r="C333" s="314">
        <f t="shared" si="138"/>
        <v>2032</v>
      </c>
      <c r="K333" s="313"/>
      <c r="L333" s="313"/>
      <c r="M333" s="313"/>
      <c r="N333" s="313"/>
      <c r="O333" s="313"/>
      <c r="P333" s="315">
        <f>P325/$F$312/2</f>
        <v>403.2</v>
      </c>
    </row>
    <row r="334" spans="2:17" x14ac:dyDescent="0.2">
      <c r="C334" s="2" t="s">
        <v>284</v>
      </c>
      <c r="D334" s="2"/>
      <c r="E334" s="2"/>
      <c r="F334" s="2"/>
      <c r="G334" s="2"/>
      <c r="H334" s="2"/>
      <c r="I334" s="2"/>
      <c r="J334" s="2"/>
      <c r="K334" s="317">
        <f t="shared" ref="K334:P334" si="139">SUM(K328:K333)</f>
        <v>490.56</v>
      </c>
      <c r="L334" s="317">
        <f t="shared" si="139"/>
        <v>1384.32</v>
      </c>
      <c r="M334" s="317">
        <f t="shared" si="139"/>
        <v>2190.7199999999998</v>
      </c>
      <c r="N334" s="317">
        <f t="shared" si="139"/>
        <v>3937.92</v>
      </c>
      <c r="O334" s="317">
        <f t="shared" si="139"/>
        <v>6222.72</v>
      </c>
      <c r="P334" s="317">
        <f t="shared" si="139"/>
        <v>7566.72</v>
      </c>
    </row>
    <row r="336" spans="2:17" x14ac:dyDescent="0.2">
      <c r="C336" t="s">
        <v>285</v>
      </c>
      <c r="K336" s="316">
        <f>SUM($J$282:K282)/$F$312</f>
        <v>75.22</v>
      </c>
      <c r="L336" s="316">
        <f>SUM($J$282:L282)/$F$312</f>
        <v>119.76</v>
      </c>
      <c r="M336" s="316">
        <f>SUM($J$282:M282)/$F$312</f>
        <v>169.1</v>
      </c>
      <c r="N336" s="316">
        <f>SUM($J$282:N282)/$F$312</f>
        <v>228.84</v>
      </c>
      <c r="O336" s="316">
        <f>SUM($J$282:O282)/$F$312</f>
        <v>302.18</v>
      </c>
      <c r="P336" s="316">
        <f>SUM($J$282:P282)/$F$312</f>
        <v>383.52</v>
      </c>
    </row>
    <row r="338" spans="2:16" ht="16" thickBot="1" x14ac:dyDescent="0.25">
      <c r="C338" s="2" t="s">
        <v>286</v>
      </c>
      <c r="J338" s="318">
        <f t="shared" ref="J338:P338" si="140">J316+J334+J336</f>
        <v>4564.53</v>
      </c>
      <c r="K338" s="318">
        <f>K316+K334+K336</f>
        <v>5130.3100000000004</v>
      </c>
      <c r="L338" s="318">
        <f>L316+L334+L336</f>
        <v>6068.61</v>
      </c>
      <c r="M338" s="318">
        <f>M316+M334+M336</f>
        <v>6924.35</v>
      </c>
      <c r="N338" s="318">
        <f>N316+N334+N336</f>
        <v>8731.2900000000009</v>
      </c>
      <c r="O338" s="318">
        <f t="shared" si="140"/>
        <v>11089.43</v>
      </c>
      <c r="P338" s="318">
        <f t="shared" si="140"/>
        <v>12514.77</v>
      </c>
    </row>
    <row r="339" spans="2:16" ht="16" thickTop="1" x14ac:dyDescent="0.2"/>
    <row r="341" spans="2:16" x14ac:dyDescent="0.2">
      <c r="B341" s="47"/>
      <c r="C341" s="47"/>
      <c r="D341" s="47"/>
      <c r="E341" s="47"/>
      <c r="F341" s="47"/>
      <c r="G341" s="47"/>
      <c r="H341" s="47"/>
      <c r="I341" s="47"/>
      <c r="J341" s="47"/>
      <c r="K341" s="47"/>
      <c r="L341" s="47"/>
      <c r="M341" s="47"/>
      <c r="N341" s="47"/>
      <c r="O341" s="47"/>
      <c r="P341" s="289" t="str">
        <f>P303</f>
        <v>CURRENTLY RUNNING: BASE CASE SCENARIO</v>
      </c>
    </row>
    <row r="342" spans="2:16" ht="20" x14ac:dyDescent="0.2">
      <c r="B342" s="243" t="str">
        <f>B304</f>
        <v>Adani Power</v>
      </c>
      <c r="C342" s="5"/>
      <c r="D342" s="5"/>
      <c r="E342" s="5"/>
      <c r="F342" s="5"/>
      <c r="G342" s="5"/>
      <c r="H342" s="5"/>
      <c r="I342" s="5"/>
      <c r="J342" s="5"/>
      <c r="K342" s="5"/>
      <c r="L342" s="5"/>
      <c r="M342" s="5"/>
      <c r="N342" s="5"/>
      <c r="O342" s="5"/>
      <c r="P342" s="5"/>
    </row>
    <row r="343" spans="2:16" ht="18" x14ac:dyDescent="0.2">
      <c r="B343" s="488" t="s">
        <v>306</v>
      </c>
      <c r="C343" s="491"/>
      <c r="D343" s="491"/>
      <c r="E343" s="491"/>
      <c r="F343" s="491"/>
      <c r="G343" s="491"/>
      <c r="H343" s="491"/>
      <c r="I343" s="491"/>
      <c r="J343" s="491"/>
      <c r="K343" s="491"/>
      <c r="L343" s="491"/>
      <c r="M343" s="491"/>
      <c r="N343" s="491"/>
      <c r="O343" s="491"/>
      <c r="P343" s="491"/>
    </row>
    <row r="344" spans="2:16" ht="3" customHeight="1" thickBot="1" x14ac:dyDescent="0.25">
      <c r="B344" s="1"/>
      <c r="C344" s="1"/>
      <c r="D344" s="1"/>
      <c r="E344" s="1"/>
      <c r="F344" s="1"/>
      <c r="G344" s="1"/>
      <c r="H344" s="1"/>
      <c r="I344" s="1"/>
      <c r="J344" s="1"/>
      <c r="K344" s="1"/>
      <c r="L344" s="1"/>
      <c r="M344" s="1"/>
      <c r="N344" s="1"/>
      <c r="O344" s="1"/>
      <c r="P344" s="1"/>
    </row>
    <row r="345" spans="2:16" ht="16" thickTop="1" x14ac:dyDescent="0.2"/>
    <row r="346" spans="2:16" x14ac:dyDescent="0.2">
      <c r="K346" s="247" t="str">
        <f>K308</f>
        <v>Projected</v>
      </c>
      <c r="L346" s="247"/>
      <c r="M346" s="247"/>
      <c r="N346" s="247"/>
      <c r="O346" s="247"/>
      <c r="P346" s="247"/>
    </row>
    <row r="347" spans="2:16" x14ac:dyDescent="0.2">
      <c r="H347" s="245">
        <f>H309</f>
        <v>2024</v>
      </c>
      <c r="I347" s="245">
        <f t="shared" ref="I347:P347" si="141">I309</f>
        <v>2025</v>
      </c>
      <c r="J347" s="245">
        <f t="shared" si="141"/>
        <v>2026</v>
      </c>
      <c r="K347" s="246">
        <f t="shared" si="141"/>
        <v>2027</v>
      </c>
      <c r="L347" s="246">
        <f t="shared" si="141"/>
        <v>2028</v>
      </c>
      <c r="M347" s="246">
        <f t="shared" si="141"/>
        <v>2029</v>
      </c>
      <c r="N347" s="246">
        <f t="shared" si="141"/>
        <v>2030</v>
      </c>
      <c r="O347" s="246">
        <f t="shared" si="141"/>
        <v>2031</v>
      </c>
      <c r="P347" s="246">
        <f t="shared" si="141"/>
        <v>2032</v>
      </c>
    </row>
    <row r="348" spans="2:16" x14ac:dyDescent="0.2">
      <c r="B348" s="325" t="s">
        <v>307</v>
      </c>
      <c r="C348" s="326"/>
      <c r="D348" s="326"/>
      <c r="E348" s="327">
        <v>365</v>
      </c>
    </row>
    <row r="350" spans="2:16" x14ac:dyDescent="0.2">
      <c r="B350" s="2" t="s">
        <v>229</v>
      </c>
    </row>
    <row r="351" spans="2:16" x14ac:dyDescent="0.2">
      <c r="C351" t="s">
        <v>223</v>
      </c>
      <c r="F351" s="223" t="s">
        <v>216</v>
      </c>
      <c r="J351" s="330">
        <f t="shared" ref="J351:P351" si="142">J76</f>
        <v>54820.392871999997</v>
      </c>
      <c r="K351" s="330">
        <f t="shared" ca="1" si="142"/>
        <v>64265.368893466053</v>
      </c>
      <c r="L351" s="330">
        <f t="shared" ca="1" si="142"/>
        <v>78319.011713973712</v>
      </c>
      <c r="M351" s="330">
        <f t="shared" ca="1" si="142"/>
        <v>91856.516340529299</v>
      </c>
      <c r="N351" s="330">
        <f t="shared" ca="1" si="142"/>
        <v>120221.49351358596</v>
      </c>
      <c r="O351" s="330">
        <f t="shared" ca="1" si="142"/>
        <v>158437.13809962093</v>
      </c>
      <c r="P351" s="330">
        <f t="shared" ca="1" si="142"/>
        <v>183231.9621781747</v>
      </c>
    </row>
    <row r="352" spans="2:16" x14ac:dyDescent="0.2">
      <c r="C352" t="s">
        <v>233</v>
      </c>
      <c r="F352" s="223" t="s">
        <v>216</v>
      </c>
      <c r="J352" s="330">
        <f t="shared" ref="J352:P352" si="143">J108</f>
        <v>29168.02</v>
      </c>
      <c r="K352" s="330">
        <f t="shared" si="143"/>
        <v>33218.756591117759</v>
      </c>
      <c r="L352" s="330">
        <f t="shared" si="143"/>
        <v>38856.458978211027</v>
      </c>
      <c r="M352" s="330">
        <f t="shared" si="143"/>
        <v>44335.272037819486</v>
      </c>
      <c r="N352" s="330">
        <f t="shared" si="143"/>
        <v>55290.774748389056</v>
      </c>
      <c r="O352" s="330">
        <f t="shared" si="143"/>
        <v>69914.231380118174</v>
      </c>
      <c r="P352" s="330">
        <f t="shared" si="143"/>
        <v>79866.761492672158</v>
      </c>
    </row>
    <row r="353" spans="2:16" x14ac:dyDescent="0.2">
      <c r="F353" s="223"/>
    </row>
    <row r="354" spans="2:16" x14ac:dyDescent="0.2">
      <c r="B354" s="2" t="s">
        <v>308</v>
      </c>
      <c r="F354" s="223"/>
    </row>
    <row r="355" spans="2:16" x14ac:dyDescent="0.2">
      <c r="C355" t="s">
        <v>33</v>
      </c>
      <c r="F355" s="223" t="s">
        <v>316</v>
      </c>
      <c r="J355" s="329">
        <f>Assumptions!O70</f>
        <v>45.34316007737241</v>
      </c>
      <c r="K355" s="328">
        <f t="shared" ref="K355:P355" si="144">J355</f>
        <v>45.34316007737241</v>
      </c>
      <c r="L355" s="328">
        <f t="shared" si="144"/>
        <v>45.34316007737241</v>
      </c>
      <c r="M355" s="328">
        <f t="shared" si="144"/>
        <v>45.34316007737241</v>
      </c>
      <c r="N355" s="328">
        <f t="shared" si="144"/>
        <v>45.34316007737241</v>
      </c>
      <c r="O355" s="328">
        <f t="shared" si="144"/>
        <v>45.34316007737241</v>
      </c>
      <c r="P355" s="328">
        <f t="shared" si="144"/>
        <v>45.34316007737241</v>
      </c>
    </row>
    <row r="356" spans="2:16" x14ac:dyDescent="0.2">
      <c r="C356" t="s">
        <v>309</v>
      </c>
      <c r="F356" s="223" t="s">
        <v>316</v>
      </c>
      <c r="J356" s="329">
        <f>Assumptions!O71</f>
        <v>78.512388812126645</v>
      </c>
      <c r="K356" s="328">
        <f t="shared" ref="K356:P360" si="145">J356</f>
        <v>78.512388812126645</v>
      </c>
      <c r="L356" s="328">
        <f t="shared" si="145"/>
        <v>78.512388812126645</v>
      </c>
      <c r="M356" s="328">
        <f t="shared" si="145"/>
        <v>78.512388812126645</v>
      </c>
      <c r="N356" s="328">
        <f t="shared" si="145"/>
        <v>78.512388812126645</v>
      </c>
      <c r="O356" s="328">
        <f t="shared" si="145"/>
        <v>78.512388812126645</v>
      </c>
      <c r="P356" s="328">
        <f t="shared" si="145"/>
        <v>78.512388812126645</v>
      </c>
    </row>
    <row r="357" spans="2:16" x14ac:dyDescent="0.2">
      <c r="C357" t="s">
        <v>310</v>
      </c>
      <c r="F357" s="223" t="s">
        <v>316</v>
      </c>
      <c r="J357" s="329">
        <f>Assumptions!O72</f>
        <v>9.9526147610679256</v>
      </c>
      <c r="K357" s="328">
        <f t="shared" si="145"/>
        <v>9.9526147610679256</v>
      </c>
      <c r="L357" s="328">
        <f t="shared" si="145"/>
        <v>9.9526147610679256</v>
      </c>
      <c r="M357" s="328">
        <f t="shared" si="145"/>
        <v>9.9526147610679256</v>
      </c>
      <c r="N357" s="328">
        <f t="shared" si="145"/>
        <v>9.9526147610679256</v>
      </c>
      <c r="O357" s="328">
        <f t="shared" si="145"/>
        <v>9.9526147610679256</v>
      </c>
      <c r="P357" s="328">
        <f t="shared" si="145"/>
        <v>9.9526147610679256</v>
      </c>
    </row>
    <row r="358" spans="2:16" x14ac:dyDescent="0.2">
      <c r="C358" t="s">
        <v>34</v>
      </c>
      <c r="F358" s="223" t="s">
        <v>316</v>
      </c>
      <c r="J358" s="329">
        <f>Assumptions!O73</f>
        <v>78.577878678154278</v>
      </c>
      <c r="K358" s="328">
        <f t="shared" si="145"/>
        <v>78.577878678154278</v>
      </c>
      <c r="L358" s="328">
        <f t="shared" si="145"/>
        <v>78.577878678154278</v>
      </c>
      <c r="M358" s="328">
        <f t="shared" si="145"/>
        <v>78.577878678154278</v>
      </c>
      <c r="N358" s="328">
        <f t="shared" si="145"/>
        <v>78.577878678154278</v>
      </c>
      <c r="O358" s="328">
        <f t="shared" si="145"/>
        <v>78.577878678154278</v>
      </c>
      <c r="P358" s="328">
        <f t="shared" si="145"/>
        <v>78.577878678154278</v>
      </c>
    </row>
    <row r="359" spans="2:16" x14ac:dyDescent="0.2">
      <c r="C359" t="s">
        <v>311</v>
      </c>
      <c r="F359" s="223" t="s">
        <v>316</v>
      </c>
      <c r="J359" s="329">
        <f>Assumptions!O74</f>
        <v>35.551436127649396</v>
      </c>
      <c r="K359" s="328">
        <f t="shared" si="145"/>
        <v>35.551436127649396</v>
      </c>
      <c r="L359" s="328">
        <f t="shared" si="145"/>
        <v>35.551436127649396</v>
      </c>
      <c r="M359" s="328">
        <f t="shared" si="145"/>
        <v>35.551436127649396</v>
      </c>
      <c r="N359" s="328">
        <f t="shared" si="145"/>
        <v>35.551436127649396</v>
      </c>
      <c r="O359" s="328">
        <f t="shared" si="145"/>
        <v>35.551436127649396</v>
      </c>
      <c r="P359" s="328">
        <f t="shared" si="145"/>
        <v>35.551436127649396</v>
      </c>
    </row>
    <row r="360" spans="2:16" x14ac:dyDescent="0.2">
      <c r="C360" t="s">
        <v>312</v>
      </c>
      <c r="F360" s="223" t="s">
        <v>316</v>
      </c>
      <c r="J360" s="329">
        <f>Assumptions!O75</f>
        <v>0.78059723616219023</v>
      </c>
      <c r="K360" s="328">
        <f t="shared" si="145"/>
        <v>0.78059723616219023</v>
      </c>
      <c r="L360" s="328">
        <f t="shared" si="145"/>
        <v>0.78059723616219023</v>
      </c>
      <c r="M360" s="328">
        <f t="shared" si="145"/>
        <v>0.78059723616219023</v>
      </c>
      <c r="N360" s="328">
        <f t="shared" si="145"/>
        <v>0.78059723616219023</v>
      </c>
      <c r="O360" s="328">
        <f t="shared" si="145"/>
        <v>0.78059723616219023</v>
      </c>
      <c r="P360" s="328">
        <f t="shared" si="145"/>
        <v>0.78059723616219023</v>
      </c>
    </row>
    <row r="361" spans="2:16" x14ac:dyDescent="0.2">
      <c r="F361" s="223"/>
    </row>
    <row r="362" spans="2:16" x14ac:dyDescent="0.2">
      <c r="B362" s="2" t="s">
        <v>313</v>
      </c>
      <c r="F362" s="223"/>
    </row>
    <row r="363" spans="2:16" x14ac:dyDescent="0.2">
      <c r="C363" t="str">
        <f t="shared" ref="C363:C368" si="146">C355</f>
        <v>Inventories</v>
      </c>
      <c r="F363" s="223" t="s">
        <v>216</v>
      </c>
      <c r="J363" s="331">
        <f t="shared" ref="J363:P363" si="147">J355/$E$348*J352</f>
        <v>3623.48</v>
      </c>
      <c r="K363" s="331">
        <f t="shared" si="147"/>
        <v>4126.6942402255409</v>
      </c>
      <c r="L363" s="331">
        <f t="shared" si="147"/>
        <v>4827.0538068188416</v>
      </c>
      <c r="M363" s="331">
        <f t="shared" si="147"/>
        <v>5507.6748961224712</v>
      </c>
      <c r="N363" s="331">
        <f t="shared" si="147"/>
        <v>6868.6532882688916</v>
      </c>
      <c r="O363" s="331">
        <f t="shared" si="147"/>
        <v>8685.2936579593206</v>
      </c>
      <c r="P363" s="331">
        <f t="shared" si="147"/>
        <v>9921.6749348590583</v>
      </c>
    </row>
    <row r="364" spans="2:16" x14ac:dyDescent="0.2">
      <c r="C364" t="str">
        <f t="shared" si="146"/>
        <v>Trade receivables</v>
      </c>
      <c r="F364" s="223" t="s">
        <v>216</v>
      </c>
      <c r="J364" s="331">
        <f>J356/$E$348*J351</f>
        <v>11792</v>
      </c>
      <c r="K364" s="331">
        <f t="shared" ref="K364:P364" ca="1" si="148">K356/$E$348*K351</f>
        <v>13823.637341694674</v>
      </c>
      <c r="L364" s="331">
        <f t="shared" ca="1" si="148"/>
        <v>16846.610134435632</v>
      </c>
      <c r="M364" s="331">
        <f t="shared" ca="1" si="148"/>
        <v>19758.560344808495</v>
      </c>
      <c r="N364" s="331">
        <f t="shared" ca="1" si="148"/>
        <v>25859.936006337593</v>
      </c>
      <c r="O364" s="331">
        <f t="shared" ca="1" si="148"/>
        <v>34080.214215775457</v>
      </c>
      <c r="P364" s="331">
        <f t="shared" ca="1" si="148"/>
        <v>39413.641252991059</v>
      </c>
    </row>
    <row r="365" spans="2:16" x14ac:dyDescent="0.2">
      <c r="C365" t="str">
        <f t="shared" si="146"/>
        <v>Loans &amp; advances</v>
      </c>
      <c r="F365" s="223" t="s">
        <v>216</v>
      </c>
      <c r="J365" s="331">
        <f>J357/$E$348*J351</f>
        <v>1494.8116474120825</v>
      </c>
      <c r="K365" s="331">
        <f t="shared" ref="K365:P365" ca="1" si="149">K357/$E$348*K351</f>
        <v>1752.351942670098</v>
      </c>
      <c r="L365" s="331">
        <f t="shared" ca="1" si="149"/>
        <v>2135.5587727582097</v>
      </c>
      <c r="M365" s="331">
        <f t="shared" ca="1" si="149"/>
        <v>2504.6918367973399</v>
      </c>
      <c r="N365" s="331">
        <f t="shared" ca="1" si="149"/>
        <v>3278.1320847697193</v>
      </c>
      <c r="O365" s="331">
        <f t="shared" ca="1" si="149"/>
        <v>4320.174792744232</v>
      </c>
      <c r="P365" s="331">
        <f t="shared" ca="1" si="149"/>
        <v>4996.2661136272363</v>
      </c>
    </row>
    <row r="366" spans="2:16" x14ac:dyDescent="0.2">
      <c r="C366" t="str">
        <f t="shared" si="146"/>
        <v>Other asset items</v>
      </c>
      <c r="F366" s="223" t="s">
        <v>216</v>
      </c>
      <c r="J366" s="331">
        <f>J358/$E$348*J351</f>
        <v>11801.836110095259</v>
      </c>
      <c r="K366" s="331">
        <f t="shared" ref="K366:P366" ca="1" si="150">K358/$E$348*K351</f>
        <v>13835.168109911248</v>
      </c>
      <c r="L366" s="331">
        <f t="shared" ca="1" si="150"/>
        <v>16860.662467544029</v>
      </c>
      <c r="M366" s="331">
        <f t="shared" ca="1" si="150"/>
        <v>19775.041635079473</v>
      </c>
      <c r="N366" s="331">
        <f t="shared" ca="1" si="150"/>
        <v>25881.506662512518</v>
      </c>
      <c r="O366" s="331">
        <f t="shared" ca="1" si="150"/>
        <v>34108.641686865725</v>
      </c>
      <c r="P366" s="331">
        <f t="shared" ca="1" si="150"/>
        <v>39446.517517799359</v>
      </c>
    </row>
    <row r="367" spans="2:16" x14ac:dyDescent="0.2">
      <c r="C367" t="str">
        <f t="shared" si="146"/>
        <v>Trade payables</v>
      </c>
      <c r="F367" s="223" t="s">
        <v>216</v>
      </c>
      <c r="J367" s="331">
        <f>J359/$E$348*J352</f>
        <v>2841.0000000000005</v>
      </c>
      <c r="K367" s="331">
        <f t="shared" ref="K367:P367" si="151">K359/$E$348*K352</f>
        <v>3235.5465840796041</v>
      </c>
      <c r="L367" s="331">
        <f t="shared" si="151"/>
        <v>3784.6655329054747</v>
      </c>
      <c r="M367" s="331">
        <f t="shared" si="151"/>
        <v>4318.3084713821909</v>
      </c>
      <c r="N367" s="331">
        <f t="shared" si="151"/>
        <v>5385.3875257961745</v>
      </c>
      <c r="O367" s="331">
        <f t="shared" si="151"/>
        <v>6809.7296748601984</v>
      </c>
      <c r="P367" s="331">
        <f t="shared" si="151"/>
        <v>7779.1179998053221</v>
      </c>
    </row>
    <row r="368" spans="2:16" x14ac:dyDescent="0.2">
      <c r="C368" t="str">
        <f t="shared" si="146"/>
        <v>Advance from customers</v>
      </c>
      <c r="F368" s="223" t="s">
        <v>216</v>
      </c>
      <c r="J368" s="331">
        <f>J360/$E$348*J351</f>
        <v>117.24012920879078</v>
      </c>
      <c r="K368" s="331">
        <f t="shared" ref="K368:P368" ca="1" si="152">K360/$E$348*K351</f>
        <v>137.43936805255672</v>
      </c>
      <c r="L368" s="331">
        <f t="shared" ca="1" si="152"/>
        <v>167.49480570652625</v>
      </c>
      <c r="M368" s="331">
        <f t="shared" ca="1" si="152"/>
        <v>196.44641857234038</v>
      </c>
      <c r="N368" s="331">
        <f t="shared" ca="1" si="152"/>
        <v>257.1083988054682</v>
      </c>
      <c r="O368" s="331">
        <f t="shared" ca="1" si="152"/>
        <v>338.83723864660647</v>
      </c>
      <c r="P368" s="331">
        <f t="shared" ca="1" si="152"/>
        <v>391.86400891194012</v>
      </c>
    </row>
    <row r="369" spans="2:16" x14ac:dyDescent="0.2">
      <c r="F369" s="223"/>
      <c r="J369" s="331"/>
      <c r="K369" s="331"/>
      <c r="L369" s="331"/>
      <c r="M369" s="331"/>
      <c r="N369" s="331"/>
      <c r="O369" s="331"/>
      <c r="P369" s="331"/>
    </row>
    <row r="370" spans="2:16" ht="16" thickBot="1" x14ac:dyDescent="0.25">
      <c r="C370" s="2" t="s">
        <v>314</v>
      </c>
      <c r="F370" s="239" t="s">
        <v>216</v>
      </c>
      <c r="J370" s="334">
        <f t="shared" ref="J370:P370" si="153">SUM(J363:J366)-J367-J368</f>
        <v>25753.887628298547</v>
      </c>
      <c r="K370" s="334">
        <f t="shared" ca="1" si="153"/>
        <v>30164.8656823694</v>
      </c>
      <c r="L370" s="334">
        <f t="shared" ca="1" si="153"/>
        <v>36717.724842944714</v>
      </c>
      <c r="M370" s="334">
        <f t="shared" ca="1" si="153"/>
        <v>43031.213822853249</v>
      </c>
      <c r="N370" s="334">
        <f t="shared" ca="1" si="153"/>
        <v>56245.73211728708</v>
      </c>
      <c r="O370" s="334">
        <f t="shared" ca="1" si="153"/>
        <v>74045.757439837937</v>
      </c>
      <c r="P370" s="334">
        <f t="shared" ca="1" si="153"/>
        <v>85607.117810559444</v>
      </c>
    </row>
    <row r="371" spans="2:16" ht="16" thickTop="1" x14ac:dyDescent="0.2">
      <c r="C371" t="s">
        <v>315</v>
      </c>
      <c r="F371" s="223" t="s">
        <v>216</v>
      </c>
      <c r="J371" s="332">
        <f>'Historical Data'!Q123</f>
        <v>-447.11</v>
      </c>
      <c r="K371" s="331">
        <f ca="1">-(K370-J370)</f>
        <v>-4410.9780540708525</v>
      </c>
      <c r="L371" s="331">
        <f t="shared" ref="L371:P371" ca="1" si="154">-(L370-K370)</f>
        <v>-6552.8591605753136</v>
      </c>
      <c r="M371" s="331">
        <f t="shared" ca="1" si="154"/>
        <v>-6313.4889799085358</v>
      </c>
      <c r="N371" s="331">
        <f t="shared" ca="1" si="154"/>
        <v>-13214.51829443383</v>
      </c>
      <c r="O371" s="331">
        <f t="shared" ca="1" si="154"/>
        <v>-17800.025322550857</v>
      </c>
      <c r="P371" s="331">
        <f t="shared" ca="1" si="154"/>
        <v>-11561.360370721508</v>
      </c>
    </row>
    <row r="372" spans="2:16" x14ac:dyDescent="0.2">
      <c r="F372" s="223"/>
      <c r="J372" s="332"/>
      <c r="K372" s="331"/>
      <c r="L372" s="331"/>
      <c r="M372" s="331"/>
      <c r="N372" s="331"/>
      <c r="O372" s="331"/>
      <c r="P372" s="331"/>
    </row>
    <row r="373" spans="2:16" x14ac:dyDescent="0.2">
      <c r="B373" s="34"/>
      <c r="C373" s="34"/>
      <c r="D373" s="34"/>
      <c r="E373" s="34"/>
      <c r="F373" s="340"/>
      <c r="G373" s="34"/>
      <c r="H373" s="34"/>
      <c r="I373" s="34"/>
      <c r="J373" s="341"/>
      <c r="K373" s="342"/>
      <c r="L373" s="342"/>
      <c r="M373" s="342"/>
      <c r="N373" s="342"/>
      <c r="O373" s="342"/>
      <c r="P373" s="342"/>
    </row>
    <row r="374" spans="2:16" x14ac:dyDescent="0.2">
      <c r="P374" s="289" t="str">
        <f>P341</f>
        <v>CURRENTLY RUNNING: BASE CASE SCENARIO</v>
      </c>
    </row>
    <row r="375" spans="2:16" ht="20" x14ac:dyDescent="0.2">
      <c r="B375" s="243" t="str">
        <f>B342</f>
        <v>Adani Power</v>
      </c>
      <c r="C375" s="5"/>
      <c r="D375" s="5"/>
      <c r="E375" s="5"/>
      <c r="F375" s="5"/>
      <c r="G375" s="5"/>
      <c r="H375" s="5"/>
      <c r="I375" s="5"/>
      <c r="J375" s="5"/>
      <c r="K375" s="5"/>
      <c r="L375" s="5"/>
      <c r="M375" s="5"/>
      <c r="N375" s="5"/>
      <c r="O375" s="5"/>
      <c r="P375" s="5"/>
    </row>
    <row r="376" spans="2:16" ht="18" x14ac:dyDescent="0.2">
      <c r="B376" s="488" t="s">
        <v>317</v>
      </c>
      <c r="C376" s="491"/>
      <c r="D376" s="491"/>
      <c r="E376" s="491"/>
      <c r="F376" s="491"/>
      <c r="G376" s="491"/>
      <c r="H376" s="491"/>
      <c r="I376" s="491"/>
      <c r="J376" s="491"/>
      <c r="K376" s="491"/>
      <c r="L376" s="491"/>
      <c r="M376" s="491"/>
      <c r="N376" s="491"/>
      <c r="O376" s="491"/>
      <c r="P376" s="491"/>
    </row>
    <row r="377" spans="2:16" ht="3" customHeight="1" thickBot="1" x14ac:dyDescent="0.25">
      <c r="B377" s="1"/>
      <c r="C377" s="1"/>
      <c r="D377" s="1"/>
      <c r="E377" s="1"/>
      <c r="F377" s="1"/>
      <c r="G377" s="1"/>
      <c r="H377" s="1"/>
      <c r="I377" s="1"/>
      <c r="J377" s="1"/>
      <c r="K377" s="1"/>
      <c r="L377" s="1"/>
      <c r="M377" s="1"/>
      <c r="N377" s="1"/>
      <c r="O377" s="1"/>
      <c r="P377" s="1"/>
    </row>
    <row r="378" spans="2:16" ht="16" thickTop="1" x14ac:dyDescent="0.2">
      <c r="B378" s="39" t="s">
        <v>7</v>
      </c>
    </row>
    <row r="379" spans="2:16" x14ac:dyDescent="0.2">
      <c r="K379" s="247" t="str">
        <f>K346</f>
        <v>Projected</v>
      </c>
      <c r="L379" s="247"/>
      <c r="M379" s="247"/>
      <c r="N379" s="247"/>
      <c r="O379" s="247"/>
      <c r="P379" s="247"/>
    </row>
    <row r="380" spans="2:16" x14ac:dyDescent="0.2">
      <c r="H380" s="245">
        <f>H347</f>
        <v>2024</v>
      </c>
      <c r="I380" s="245">
        <f t="shared" ref="I380:P380" si="155">I347</f>
        <v>2025</v>
      </c>
      <c r="J380" s="245">
        <f t="shared" si="155"/>
        <v>2026</v>
      </c>
      <c r="K380" s="246">
        <f t="shared" si="155"/>
        <v>2027</v>
      </c>
      <c r="L380" s="246">
        <f t="shared" si="155"/>
        <v>2028</v>
      </c>
      <c r="M380" s="246">
        <f t="shared" si="155"/>
        <v>2029</v>
      </c>
      <c r="N380" s="246">
        <f t="shared" si="155"/>
        <v>2030</v>
      </c>
      <c r="O380" s="246">
        <f t="shared" si="155"/>
        <v>2031</v>
      </c>
      <c r="P380" s="246">
        <f t="shared" si="155"/>
        <v>2032</v>
      </c>
    </row>
    <row r="381" spans="2:16" x14ac:dyDescent="0.2">
      <c r="B381" s="2" t="s">
        <v>318</v>
      </c>
    </row>
    <row r="382" spans="2:16" x14ac:dyDescent="0.2">
      <c r="C382" t="s">
        <v>19</v>
      </c>
      <c r="H382" s="331"/>
      <c r="I382" s="331"/>
      <c r="J382" s="331">
        <f t="shared" ref="J382:P382" si="156">J147</f>
        <v>24010.742871999995</v>
      </c>
      <c r="K382" s="331">
        <f t="shared" ca="1" si="156"/>
        <v>28755.803808181634</v>
      </c>
      <c r="L382" s="331">
        <f t="shared" ca="1" si="156"/>
        <v>36141.610868827272</v>
      </c>
      <c r="M382" s="331">
        <f t="shared" ca="1" si="156"/>
        <v>43166.260201183715</v>
      </c>
      <c r="N382" s="331">
        <f t="shared" ca="1" si="156"/>
        <v>58488.633940397347</v>
      </c>
      <c r="O382" s="331">
        <f t="shared" ca="1" si="156"/>
        <v>79226.625855659819</v>
      </c>
      <c r="P382" s="331">
        <f t="shared" ca="1" si="156"/>
        <v>92048.881395933218</v>
      </c>
    </row>
    <row r="383" spans="2:16" x14ac:dyDescent="0.2">
      <c r="C383" t="s">
        <v>315</v>
      </c>
      <c r="H383" s="331"/>
      <c r="I383" s="331"/>
      <c r="J383" s="331">
        <f>J371</f>
        <v>-447.11</v>
      </c>
      <c r="K383" s="331">
        <f t="shared" ref="K383:P383" ca="1" si="157">K371</f>
        <v>-4410.9780540708525</v>
      </c>
      <c r="L383" s="331">
        <f t="shared" ca="1" si="157"/>
        <v>-6552.8591605753136</v>
      </c>
      <c r="M383" s="331">
        <f t="shared" ca="1" si="157"/>
        <v>-6313.4889799085358</v>
      </c>
      <c r="N383" s="331">
        <f t="shared" ca="1" si="157"/>
        <v>-13214.51829443383</v>
      </c>
      <c r="O383" s="331">
        <f t="shared" ca="1" si="157"/>
        <v>-17800.025322550857</v>
      </c>
      <c r="P383" s="331">
        <f t="shared" ca="1" si="157"/>
        <v>-11561.360370721508</v>
      </c>
    </row>
    <row r="384" spans="2:16" x14ac:dyDescent="0.2">
      <c r="C384" t="s">
        <v>321</v>
      </c>
      <c r="H384" s="331"/>
      <c r="I384" s="331"/>
      <c r="J384" s="331">
        <f>-J453</f>
        <v>102.26</v>
      </c>
      <c r="K384" s="331">
        <f t="shared" ref="K384:P384" si="158">-K453</f>
        <v>-4988.2857703781883</v>
      </c>
      <c r="L384" s="331">
        <f t="shared" ca="1" si="158"/>
        <v>-4396.0441329654032</v>
      </c>
      <c r="M384" s="331">
        <f t="shared" ca="1" si="158"/>
        <v>-5452.4834012500824</v>
      </c>
      <c r="N384" s="331">
        <f t="shared" ca="1" si="158"/>
        <v>-6544.1153531768177</v>
      </c>
      <c r="O384" s="331">
        <f t="shared" ca="1" si="158"/>
        <v>-8921.0412550960191</v>
      </c>
      <c r="P384" s="331">
        <f t="shared" ca="1" si="158"/>
        <v>-12113.905637427144</v>
      </c>
    </row>
    <row r="385" spans="2:16" x14ac:dyDescent="0.2">
      <c r="C385" t="s">
        <v>322</v>
      </c>
      <c r="H385" s="331"/>
      <c r="I385" s="331"/>
      <c r="J385" s="331">
        <f>-J418</f>
        <v>-4510.4527500000004</v>
      </c>
      <c r="K385" s="331">
        <f>-K418</f>
        <v>-4510.4527500000004</v>
      </c>
      <c r="L385" s="331">
        <f t="shared" ref="L385:P385" ca="1" si="159">-L418</f>
        <v>-5537.1926351327293</v>
      </c>
      <c r="M385" s="331">
        <f t="shared" ca="1" si="159"/>
        <v>-7416.8813652196532</v>
      </c>
      <c r="N385" s="331">
        <f t="shared" ca="1" si="159"/>
        <v>-9395.859316561191</v>
      </c>
      <c r="O385" s="331">
        <f t="shared" ca="1" si="159"/>
        <v>-9885.4048335820244</v>
      </c>
      <c r="P385" s="331">
        <f t="shared" ca="1" si="159"/>
        <v>-9163.8398335820239</v>
      </c>
    </row>
    <row r="386" spans="2:16" x14ac:dyDescent="0.2">
      <c r="C386" s="2" t="s">
        <v>319</v>
      </c>
      <c r="H386" s="349"/>
      <c r="I386" s="349"/>
      <c r="J386" s="333">
        <f t="shared" ref="J386:P386" si="160">SUM(J382:J385)</f>
        <v>19155.440121999993</v>
      </c>
      <c r="K386" s="333">
        <f t="shared" ca="1" si="160"/>
        <v>14846.087233732593</v>
      </c>
      <c r="L386" s="333">
        <f t="shared" ca="1" si="160"/>
        <v>19655.514940153829</v>
      </c>
      <c r="M386" s="333">
        <f t="shared" ca="1" si="160"/>
        <v>23983.406454805445</v>
      </c>
      <c r="N386" s="333">
        <f t="shared" ca="1" si="160"/>
        <v>29334.140976225513</v>
      </c>
      <c r="O386" s="333">
        <f t="shared" ca="1" si="160"/>
        <v>42620.154444430918</v>
      </c>
      <c r="P386" s="333">
        <f t="shared" ca="1" si="160"/>
        <v>59209.775554202541</v>
      </c>
    </row>
    <row r="387" spans="2:16" x14ac:dyDescent="0.2">
      <c r="C387" t="s">
        <v>323</v>
      </c>
      <c r="H387" s="331"/>
      <c r="I387" s="331"/>
      <c r="J387" s="331">
        <f>-J284</f>
        <v>-23350.09</v>
      </c>
      <c r="K387" s="331">
        <f t="shared" ref="K387:P387" si="161">-K284</f>
        <v>-28851.7</v>
      </c>
      <c r="L387" s="331">
        <f t="shared" si="161"/>
        <v>-41769.5</v>
      </c>
      <c r="M387" s="331">
        <f t="shared" si="161"/>
        <v>-47265.5</v>
      </c>
      <c r="N387" s="331">
        <f t="shared" si="161"/>
        <v>-35093.5</v>
      </c>
      <c r="O387" s="331">
        <f t="shared" si="161"/>
        <v>-15945.5</v>
      </c>
      <c r="P387" s="331">
        <f t="shared" si="161"/>
        <v>-5057.5</v>
      </c>
    </row>
    <row r="388" spans="2:16" x14ac:dyDescent="0.2">
      <c r="C388" s="2" t="s">
        <v>320</v>
      </c>
      <c r="H388" s="349"/>
      <c r="I388" s="349"/>
      <c r="J388" s="333">
        <f t="shared" ref="J388:P388" si="162">J386+J387</f>
        <v>-4194.6498780000074</v>
      </c>
      <c r="K388" s="333">
        <f t="shared" ca="1" si="162"/>
        <v>-14005.612766267408</v>
      </c>
      <c r="L388" s="333">
        <f t="shared" ca="1" si="162"/>
        <v>-22113.985059846171</v>
      </c>
      <c r="M388" s="333">
        <f t="shared" ca="1" si="162"/>
        <v>-23282.093545194555</v>
      </c>
      <c r="N388" s="333">
        <f ca="1">N386+N387</f>
        <v>-5759.3590237744866</v>
      </c>
      <c r="O388" s="333">
        <f ca="1">O386+O387</f>
        <v>26674.654444430918</v>
      </c>
      <c r="P388" s="333">
        <f t="shared" ca="1" si="162"/>
        <v>54152.275554202541</v>
      </c>
    </row>
    <row r="389" spans="2:16" x14ac:dyDescent="0.2">
      <c r="H389" s="331"/>
      <c r="I389" s="331"/>
      <c r="J389" s="331"/>
      <c r="K389" s="331"/>
      <c r="L389" s="331"/>
      <c r="M389" s="331"/>
      <c r="N389" s="331"/>
      <c r="O389" s="331"/>
      <c r="P389" s="331"/>
    </row>
    <row r="390" spans="2:16" x14ac:dyDescent="0.2">
      <c r="B390" s="2" t="s">
        <v>341</v>
      </c>
      <c r="H390" s="331"/>
      <c r="I390" s="331"/>
      <c r="J390" s="331"/>
      <c r="K390" s="331"/>
      <c r="L390" s="331"/>
      <c r="M390" s="331"/>
      <c r="N390" s="331"/>
      <c r="O390" s="331"/>
      <c r="P390" s="331"/>
    </row>
    <row r="391" spans="2:16" x14ac:dyDescent="0.2">
      <c r="C391" t="s">
        <v>342</v>
      </c>
      <c r="H391" s="331"/>
      <c r="I391" s="331"/>
      <c r="J391" s="331">
        <f>Assumptions!$H$82</f>
        <v>45523</v>
      </c>
      <c r="K391" s="331">
        <f t="shared" ref="K391:P391" si="163">J394</f>
        <v>45523</v>
      </c>
      <c r="L391" s="331">
        <f t="shared" ca="1" si="163"/>
        <v>57602.292766267405</v>
      </c>
      <c r="M391" s="331">
        <f t="shared" ca="1" si="163"/>
        <v>79716.277826113568</v>
      </c>
      <c r="N391" s="331">
        <f t="shared" ca="1" si="163"/>
        <v>102998.37137130812</v>
      </c>
      <c r="O391" s="331">
        <f t="shared" ca="1" si="163"/>
        <v>108757.73039508262</v>
      </c>
      <c r="P391" s="331">
        <f t="shared" ca="1" si="163"/>
        <v>100268.73039508262</v>
      </c>
    </row>
    <row r="392" spans="2:16" x14ac:dyDescent="0.2">
      <c r="C392" t="s">
        <v>343</v>
      </c>
      <c r="H392" s="331"/>
      <c r="I392" s="331"/>
      <c r="J392" s="331">
        <v>0</v>
      </c>
      <c r="K392" s="331">
        <f>-INDEX(Assumptions!$H$87:$H$92,MATCH(Model!K$127, Assumptions!$D$87:$D$92,0))</f>
        <v>-3665</v>
      </c>
      <c r="L392" s="331">
        <f>-INDEX(Assumptions!$H$87:$H$92,MATCH(Model!L$127, Assumptions!$D$87:$D$92,0))</f>
        <v>-4525</v>
      </c>
      <c r="M392" s="331">
        <f>-INDEX(Assumptions!$H$87:$H$92,MATCH(Model!M$127, Assumptions!$D$87:$D$92,0))</f>
        <v>-4425</v>
      </c>
      <c r="N392" s="331">
        <f>-INDEX(Assumptions!$H$87:$H$92,MATCH(Model!N$127, Assumptions!$D$87:$D$92,0))</f>
        <v>-4939</v>
      </c>
      <c r="O392" s="331">
        <f>-INDEX(Assumptions!$H$87:$H$92,MATCH(Model!O$127, Assumptions!$D$87:$D$92,0))</f>
        <v>-8489</v>
      </c>
      <c r="P392" s="331">
        <f>-INDEX(Assumptions!$H$87:$H$92,MATCH(Model!P$127, Assumptions!$D$87:$D$92,0))</f>
        <v>-5336</v>
      </c>
    </row>
    <row r="393" spans="2:16" x14ac:dyDescent="0.2">
      <c r="C393" t="s">
        <v>344</v>
      </c>
      <c r="H393" s="331"/>
      <c r="I393" s="331"/>
      <c r="J393" s="331">
        <v>0</v>
      </c>
      <c r="K393" s="331">
        <f ca="1">MAX(0, Assumptions!$H$85-(Model!K411+Model!K388+Model!K392))</f>
        <v>15744.292766267408</v>
      </c>
      <c r="L393" s="331">
        <f ca="1">MAX(0, Assumptions!$H$85-(Model!L411+Model!L388+Model!L392))</f>
        <v>26638.985059846171</v>
      </c>
      <c r="M393" s="331">
        <f ca="1">MAX(0, Assumptions!$H$85-(Model!M411+Model!M388+Model!M392))</f>
        <v>27707.093545194555</v>
      </c>
      <c r="N393" s="331">
        <f ca="1">MAX(0, Assumptions!$H$85-(Model!N411+Model!N388+Model!N392))</f>
        <v>10698.359023774487</v>
      </c>
      <c r="O393" s="331">
        <f ca="1">MAX(0, Assumptions!$H$85-(Model!O411+Model!O388+Model!O392))</f>
        <v>0</v>
      </c>
      <c r="P393" s="331">
        <f ca="1">MAX(0, Assumptions!$H$85-(Model!P411+Model!P388+Model!P392))</f>
        <v>0</v>
      </c>
    </row>
    <row r="394" spans="2:16" x14ac:dyDescent="0.2">
      <c r="C394" s="2" t="s">
        <v>345</v>
      </c>
      <c r="H394" s="331"/>
      <c r="I394" s="331"/>
      <c r="J394" s="333">
        <f>SUM(J391:J393)</f>
        <v>45523</v>
      </c>
      <c r="K394" s="333">
        <f t="shared" ref="K394:P394" ca="1" si="164">SUM(K391:K393)</f>
        <v>57602.292766267405</v>
      </c>
      <c r="L394" s="333">
        <f t="shared" ca="1" si="164"/>
        <v>79716.277826113568</v>
      </c>
      <c r="M394" s="333">
        <f t="shared" ca="1" si="164"/>
        <v>102998.37137130812</v>
      </c>
      <c r="N394" s="333">
        <f t="shared" ca="1" si="164"/>
        <v>108757.73039508262</v>
      </c>
      <c r="O394" s="333">
        <f t="shared" ca="1" si="164"/>
        <v>100268.73039508262</v>
      </c>
      <c r="P394" s="333">
        <f t="shared" ca="1" si="164"/>
        <v>94932.730395082617</v>
      </c>
    </row>
    <row r="395" spans="2:16" x14ac:dyDescent="0.2">
      <c r="C395" t="s">
        <v>346</v>
      </c>
      <c r="H395" s="331"/>
      <c r="I395" s="331"/>
      <c r="J395" s="291">
        <f>Assumptions!$O$47</f>
        <v>8.5000000000000006E-2</v>
      </c>
      <c r="K395" s="291">
        <f>Scenarios!G44</f>
        <v>8.5000000000000006E-2</v>
      </c>
      <c r="L395" s="291">
        <f>Scenarios!H44</f>
        <v>8.5000000000000006E-2</v>
      </c>
      <c r="M395" s="291">
        <f>Scenarios!I44</f>
        <v>8.5000000000000006E-2</v>
      </c>
      <c r="N395" s="291">
        <f>Scenarios!J44</f>
        <v>8.5000000000000006E-2</v>
      </c>
      <c r="O395" s="291">
        <f>Scenarios!K44</f>
        <v>8.5000000000000006E-2</v>
      </c>
      <c r="P395" s="291">
        <f>Scenarios!L44</f>
        <v>8.5000000000000006E-2</v>
      </c>
    </row>
    <row r="396" spans="2:16" x14ac:dyDescent="0.2">
      <c r="C396" t="s">
        <v>347</v>
      </c>
      <c r="H396" s="331"/>
      <c r="I396" s="331"/>
      <c r="J396" s="331">
        <f>J391*J395</f>
        <v>3869.4550000000004</v>
      </c>
      <c r="K396" s="331">
        <f t="shared" ref="K396:P396" si="165">K391*K395</f>
        <v>3869.4550000000004</v>
      </c>
      <c r="L396" s="331">
        <f t="shared" ca="1" si="165"/>
        <v>4896.1948851327297</v>
      </c>
      <c r="M396" s="331">
        <f t="shared" ca="1" si="165"/>
        <v>6775.8836152196536</v>
      </c>
      <c r="N396" s="331">
        <f t="shared" ca="1" si="165"/>
        <v>8754.8615665611906</v>
      </c>
      <c r="O396" s="331">
        <f t="shared" ca="1" si="165"/>
        <v>9244.4070835820239</v>
      </c>
      <c r="P396" s="331">
        <f t="shared" ca="1" si="165"/>
        <v>8522.8420835820234</v>
      </c>
    </row>
    <row r="397" spans="2:16" x14ac:dyDescent="0.2">
      <c r="H397" s="331"/>
      <c r="I397" s="331"/>
      <c r="J397" s="331"/>
      <c r="K397" s="331"/>
      <c r="L397" s="331"/>
      <c r="M397" s="331"/>
      <c r="N397" s="331"/>
      <c r="O397" s="331"/>
      <c r="P397" s="331"/>
    </row>
    <row r="398" spans="2:16" x14ac:dyDescent="0.2">
      <c r="B398" s="2" t="s">
        <v>348</v>
      </c>
      <c r="H398" s="331"/>
      <c r="I398" s="331"/>
      <c r="J398" s="331"/>
      <c r="K398" s="331"/>
      <c r="L398" s="331"/>
      <c r="M398" s="331"/>
      <c r="N398" s="331"/>
      <c r="O398" s="331"/>
      <c r="P398" s="331"/>
    </row>
    <row r="399" spans="2:16" x14ac:dyDescent="0.2">
      <c r="C399" t="s">
        <v>349</v>
      </c>
      <c r="H399" s="331"/>
      <c r="I399" s="331"/>
      <c r="J399" s="331">
        <f>Assumptions!H83</f>
        <v>8033</v>
      </c>
      <c r="K399" s="331">
        <f t="shared" ref="K399:P399" si="166">J401</f>
        <v>8033</v>
      </c>
      <c r="L399" s="331">
        <f t="shared" si="166"/>
        <v>8033</v>
      </c>
      <c r="M399" s="331">
        <f t="shared" si="166"/>
        <v>8033</v>
      </c>
      <c r="N399" s="331">
        <f t="shared" si="166"/>
        <v>8033</v>
      </c>
      <c r="O399" s="331">
        <f t="shared" si="166"/>
        <v>8033</v>
      </c>
      <c r="P399" s="331">
        <f t="shared" si="166"/>
        <v>8033</v>
      </c>
    </row>
    <row r="400" spans="2:16" x14ac:dyDescent="0.2">
      <c r="C400" t="s">
        <v>350</v>
      </c>
      <c r="H400" s="331"/>
      <c r="I400" s="331"/>
      <c r="J400" s="331">
        <v>0</v>
      </c>
      <c r="K400" s="331">
        <v>0</v>
      </c>
      <c r="L400" s="331">
        <v>0</v>
      </c>
      <c r="M400" s="331">
        <v>0</v>
      </c>
      <c r="N400" s="331">
        <v>0</v>
      </c>
      <c r="O400" s="331">
        <v>0</v>
      </c>
      <c r="P400" s="331">
        <v>0</v>
      </c>
    </row>
    <row r="401" spans="2:16" x14ac:dyDescent="0.2">
      <c r="C401" s="2" t="s">
        <v>351</v>
      </c>
      <c r="H401" s="331"/>
      <c r="I401" s="331"/>
      <c r="J401" s="333">
        <f>J399+J400</f>
        <v>8033</v>
      </c>
      <c r="K401" s="333">
        <f t="shared" ref="K401:P401" si="167">K399+K400</f>
        <v>8033</v>
      </c>
      <c r="L401" s="333">
        <f t="shared" si="167"/>
        <v>8033</v>
      </c>
      <c r="M401" s="333">
        <f t="shared" si="167"/>
        <v>8033</v>
      </c>
      <c r="N401" s="333">
        <f t="shared" si="167"/>
        <v>8033</v>
      </c>
      <c r="O401" s="333">
        <f t="shared" si="167"/>
        <v>8033</v>
      </c>
      <c r="P401" s="333">
        <f t="shared" si="167"/>
        <v>8033</v>
      </c>
    </row>
    <row r="402" spans="2:16" x14ac:dyDescent="0.2">
      <c r="C402" t="s">
        <v>346</v>
      </c>
      <c r="H402" s="331"/>
      <c r="I402" s="331"/>
      <c r="J402" s="291">
        <f>Assumptions!$O$46</f>
        <v>6.8000000000000005E-2</v>
      </c>
      <c r="K402" s="291">
        <f>Assumptions!$O$46</f>
        <v>6.8000000000000005E-2</v>
      </c>
      <c r="L402" s="291">
        <f>Assumptions!$O$46</f>
        <v>6.8000000000000005E-2</v>
      </c>
      <c r="M402" s="291">
        <f>Assumptions!$O$46</f>
        <v>6.8000000000000005E-2</v>
      </c>
      <c r="N402" s="291">
        <f>Assumptions!$O$46</f>
        <v>6.8000000000000005E-2</v>
      </c>
      <c r="O402" s="291">
        <f>Assumptions!$O$46</f>
        <v>6.8000000000000005E-2</v>
      </c>
      <c r="P402" s="291">
        <f>Assumptions!$O$46</f>
        <v>6.8000000000000005E-2</v>
      </c>
    </row>
    <row r="403" spans="2:16" x14ac:dyDescent="0.2">
      <c r="C403" t="s">
        <v>347</v>
      </c>
      <c r="H403" s="331"/>
      <c r="I403" s="331"/>
      <c r="J403" s="331">
        <f>J402*J399</f>
        <v>546.24400000000003</v>
      </c>
      <c r="K403" s="331">
        <f t="shared" ref="K403:P403" si="168">K402*K399</f>
        <v>546.24400000000003</v>
      </c>
      <c r="L403" s="331">
        <f t="shared" si="168"/>
        <v>546.24400000000003</v>
      </c>
      <c r="M403" s="331">
        <f t="shared" si="168"/>
        <v>546.24400000000003</v>
      </c>
      <c r="N403" s="331">
        <f t="shared" si="168"/>
        <v>546.24400000000003</v>
      </c>
      <c r="O403" s="331">
        <f t="shared" si="168"/>
        <v>546.24400000000003</v>
      </c>
      <c r="P403" s="331">
        <f t="shared" si="168"/>
        <v>546.24400000000003</v>
      </c>
    </row>
    <row r="404" spans="2:16" x14ac:dyDescent="0.2">
      <c r="H404" s="331"/>
      <c r="I404" s="331"/>
      <c r="J404" s="331"/>
      <c r="K404" s="331"/>
      <c r="L404" s="331"/>
      <c r="M404" s="331"/>
      <c r="N404" s="331"/>
      <c r="O404" s="331"/>
      <c r="P404" s="331"/>
    </row>
    <row r="405" spans="2:16" x14ac:dyDescent="0.2">
      <c r="B405" s="2" t="s">
        <v>352</v>
      </c>
      <c r="H405" s="331"/>
      <c r="I405" s="331"/>
      <c r="J405" s="331"/>
      <c r="K405" s="331"/>
      <c r="L405" s="331"/>
      <c r="M405" s="331"/>
      <c r="N405" s="331"/>
      <c r="O405" s="331"/>
      <c r="P405" s="331"/>
    </row>
    <row r="406" spans="2:16" x14ac:dyDescent="0.2">
      <c r="C406" t="s">
        <v>349</v>
      </c>
      <c r="H406" s="331"/>
      <c r="I406" s="331"/>
      <c r="J406" s="331">
        <f>Assumptions!H84</f>
        <v>1114.75</v>
      </c>
      <c r="K406" s="331">
        <f t="shared" ref="K406:P406" si="169">J407</f>
        <v>1114.75</v>
      </c>
      <c r="L406" s="331">
        <f t="shared" si="169"/>
        <v>1114.75</v>
      </c>
      <c r="M406" s="331">
        <f t="shared" si="169"/>
        <v>1114.75</v>
      </c>
      <c r="N406" s="331">
        <f t="shared" si="169"/>
        <v>1114.75</v>
      </c>
      <c r="O406" s="331">
        <f t="shared" si="169"/>
        <v>1114.75</v>
      </c>
      <c r="P406" s="331">
        <f t="shared" si="169"/>
        <v>1114.75</v>
      </c>
    </row>
    <row r="407" spans="2:16" x14ac:dyDescent="0.2">
      <c r="C407" s="2" t="s">
        <v>351</v>
      </c>
      <c r="H407" s="331"/>
      <c r="I407" s="331"/>
      <c r="J407" s="333">
        <f>J406</f>
        <v>1114.75</v>
      </c>
      <c r="K407" s="333">
        <f>K406</f>
        <v>1114.75</v>
      </c>
      <c r="L407" s="333">
        <f>L406</f>
        <v>1114.75</v>
      </c>
      <c r="M407" s="333">
        <f t="shared" ref="M407:P407" si="170">M406</f>
        <v>1114.75</v>
      </c>
      <c r="N407" s="333">
        <f t="shared" si="170"/>
        <v>1114.75</v>
      </c>
      <c r="O407" s="333">
        <f t="shared" si="170"/>
        <v>1114.75</v>
      </c>
      <c r="P407" s="333">
        <f t="shared" si="170"/>
        <v>1114.75</v>
      </c>
    </row>
    <row r="408" spans="2:16" x14ac:dyDescent="0.2">
      <c r="C408" t="s">
        <v>347</v>
      </c>
      <c r="H408" s="331"/>
      <c r="I408" s="331"/>
      <c r="J408" s="331">
        <f>J406*Assumptions!$O$47</f>
        <v>94.753750000000011</v>
      </c>
      <c r="K408" s="331">
        <f>K406*Assumptions!$O$47</f>
        <v>94.753750000000011</v>
      </c>
      <c r="L408" s="331">
        <f>L406*Assumptions!$O$47</f>
        <v>94.753750000000011</v>
      </c>
      <c r="M408" s="331">
        <f>M406*Assumptions!$O$47</f>
        <v>94.753750000000011</v>
      </c>
      <c r="N408" s="331">
        <f>N406*Assumptions!$O$47</f>
        <v>94.753750000000011</v>
      </c>
      <c r="O408" s="331">
        <f>O406*Assumptions!$O$47</f>
        <v>94.753750000000011</v>
      </c>
      <c r="P408" s="331">
        <f>P406*Assumptions!$O$47</f>
        <v>94.753750000000011</v>
      </c>
    </row>
    <row r="409" spans="2:16" x14ac:dyDescent="0.2">
      <c r="H409" s="331"/>
      <c r="I409" s="331"/>
      <c r="J409" s="331"/>
      <c r="K409" s="331"/>
      <c r="L409" s="331"/>
      <c r="M409" s="331"/>
      <c r="N409" s="331"/>
      <c r="O409" s="331"/>
      <c r="P409" s="331"/>
    </row>
    <row r="410" spans="2:16" x14ac:dyDescent="0.2">
      <c r="B410" s="2" t="s">
        <v>353</v>
      </c>
      <c r="H410" s="331"/>
      <c r="I410" s="331"/>
      <c r="J410" s="331"/>
      <c r="K410" s="331"/>
      <c r="L410" s="331"/>
      <c r="M410" s="331"/>
      <c r="N410" s="331"/>
      <c r="O410" s="331"/>
      <c r="P410" s="331"/>
    </row>
    <row r="411" spans="2:16" x14ac:dyDescent="0.2">
      <c r="C411" t="s">
        <v>354</v>
      </c>
      <c r="H411" s="331"/>
      <c r="I411" s="331"/>
      <c r="J411" s="331">
        <f>'Historical Data'!P47</f>
        <v>6119.88</v>
      </c>
      <c r="K411" s="331">
        <f t="shared" ref="K411:P411" si="171">J413</f>
        <v>6926.32</v>
      </c>
      <c r="L411" s="331">
        <f t="shared" ca="1" si="171"/>
        <v>5000</v>
      </c>
      <c r="M411" s="331">
        <f t="shared" ca="1" si="171"/>
        <v>5000</v>
      </c>
      <c r="N411" s="331">
        <f t="shared" ca="1" si="171"/>
        <v>5000</v>
      </c>
      <c r="O411" s="331">
        <f t="shared" ca="1" si="171"/>
        <v>5000</v>
      </c>
      <c r="P411" s="331">
        <f t="shared" ca="1" si="171"/>
        <v>23185.654444430918</v>
      </c>
    </row>
    <row r="412" spans="2:16" x14ac:dyDescent="0.2">
      <c r="C412" t="s">
        <v>355</v>
      </c>
      <c r="H412" s="331"/>
      <c r="I412" s="331"/>
      <c r="J412" s="331">
        <f>J413-J411</f>
        <v>806.4399999999996</v>
      </c>
      <c r="K412" s="331">
        <f t="shared" ref="K412:P412" ca="1" si="172">K388+K392+K393+K400</f>
        <v>-1926.3199999999997</v>
      </c>
      <c r="L412" s="331">
        <f t="shared" ca="1" si="172"/>
        <v>0</v>
      </c>
      <c r="M412" s="331">
        <f t="shared" ca="1" si="172"/>
        <v>0</v>
      </c>
      <c r="N412" s="331">
        <f t="shared" ca="1" si="172"/>
        <v>0</v>
      </c>
      <c r="O412" s="331">
        <f t="shared" ca="1" si="172"/>
        <v>18185.654444430918</v>
      </c>
      <c r="P412" s="331">
        <f t="shared" ca="1" si="172"/>
        <v>48816.275554202541</v>
      </c>
    </row>
    <row r="413" spans="2:16" x14ac:dyDescent="0.2">
      <c r="C413" s="2" t="s">
        <v>356</v>
      </c>
      <c r="H413" s="331"/>
      <c r="I413" s="331"/>
      <c r="J413" s="333">
        <f>'Historical Data'!Q47</f>
        <v>6926.32</v>
      </c>
      <c r="K413" s="333">
        <f t="shared" ref="K413:P413" ca="1" si="173">K411+K412</f>
        <v>5000</v>
      </c>
      <c r="L413" s="333">
        <f t="shared" ca="1" si="173"/>
        <v>5000</v>
      </c>
      <c r="M413" s="333">
        <f t="shared" ca="1" si="173"/>
        <v>5000</v>
      </c>
      <c r="N413" s="333">
        <f t="shared" ca="1" si="173"/>
        <v>5000</v>
      </c>
      <c r="O413" s="333">
        <f t="shared" ca="1" si="173"/>
        <v>23185.654444430918</v>
      </c>
      <c r="P413" s="333">
        <f t="shared" ca="1" si="173"/>
        <v>72001.929998633452</v>
      </c>
    </row>
    <row r="414" spans="2:16" x14ac:dyDescent="0.2">
      <c r="C414" t="s">
        <v>357</v>
      </c>
      <c r="H414" s="331"/>
      <c r="I414" s="331"/>
      <c r="J414" s="291">
        <f>Assumptions!$O$45</f>
        <v>6.5000000000000002E-2</v>
      </c>
      <c r="K414" s="291">
        <f>Assumptions!$O$45</f>
        <v>6.5000000000000002E-2</v>
      </c>
      <c r="L414" s="291">
        <f>Assumptions!$O$45</f>
        <v>6.5000000000000002E-2</v>
      </c>
      <c r="M414" s="291">
        <f>Assumptions!$O$45</f>
        <v>6.5000000000000002E-2</v>
      </c>
      <c r="N414" s="291">
        <f>Assumptions!$O$45</f>
        <v>6.5000000000000002E-2</v>
      </c>
      <c r="O414" s="291">
        <f>Assumptions!$O$45</f>
        <v>6.5000000000000002E-2</v>
      </c>
      <c r="P414" s="291">
        <f>Assumptions!$O$45</f>
        <v>6.5000000000000002E-2</v>
      </c>
    </row>
    <row r="415" spans="2:16" x14ac:dyDescent="0.2">
      <c r="C415" t="s">
        <v>358</v>
      </c>
      <c r="H415" s="331"/>
      <c r="I415" s="331"/>
      <c r="J415" s="331">
        <f>J411*J414</f>
        <v>397.79220000000004</v>
      </c>
      <c r="K415" s="331">
        <f t="shared" ref="K415:O415" si="174">K411*K414</f>
        <v>450.21080000000001</v>
      </c>
      <c r="L415" s="331">
        <f t="shared" ca="1" si="174"/>
        <v>325</v>
      </c>
      <c r="M415" s="331">
        <f t="shared" ca="1" si="174"/>
        <v>325</v>
      </c>
      <c r="N415" s="331">
        <f t="shared" ca="1" si="174"/>
        <v>325</v>
      </c>
      <c r="O415" s="331">
        <f t="shared" ca="1" si="174"/>
        <v>325</v>
      </c>
      <c r="P415" s="331">
        <f ca="1">P411*P414</f>
        <v>1507.0675388880097</v>
      </c>
    </row>
    <row r="416" spans="2:16" x14ac:dyDescent="0.2">
      <c r="H416" s="331"/>
      <c r="I416" s="331"/>
      <c r="J416" s="331"/>
      <c r="K416" s="331"/>
      <c r="L416" s="331"/>
      <c r="M416" s="331"/>
      <c r="N416" s="331"/>
      <c r="O416" s="331"/>
      <c r="P416" s="331"/>
    </row>
    <row r="417" spans="2:16" x14ac:dyDescent="0.2">
      <c r="B417" s="2" t="s">
        <v>359</v>
      </c>
      <c r="H417" s="331"/>
      <c r="I417" s="331"/>
      <c r="J417" s="331"/>
      <c r="K417" s="331"/>
      <c r="L417" s="331"/>
      <c r="M417" s="331"/>
      <c r="N417" s="331"/>
      <c r="O417" s="331"/>
      <c r="P417" s="331"/>
    </row>
    <row r="418" spans="2:16" x14ac:dyDescent="0.2">
      <c r="C418" t="s">
        <v>360</v>
      </c>
      <c r="H418" s="331"/>
      <c r="I418" s="331"/>
      <c r="J418" s="331">
        <f>J396+J403+J408</f>
        <v>4510.4527500000004</v>
      </c>
      <c r="K418" s="331">
        <f t="shared" ref="K418:P418" si="175">K396+K403+K408</f>
        <v>4510.4527500000004</v>
      </c>
      <c r="L418" s="331">
        <f t="shared" ca="1" si="175"/>
        <v>5537.1926351327293</v>
      </c>
      <c r="M418" s="331">
        <f t="shared" ca="1" si="175"/>
        <v>7416.8813652196532</v>
      </c>
      <c r="N418" s="331">
        <f t="shared" ca="1" si="175"/>
        <v>9395.859316561191</v>
      </c>
      <c r="O418" s="331">
        <f t="shared" ca="1" si="175"/>
        <v>9885.4048335820244</v>
      </c>
      <c r="P418" s="331">
        <f t="shared" ca="1" si="175"/>
        <v>9163.8398335820239</v>
      </c>
    </row>
    <row r="419" spans="2:16" x14ac:dyDescent="0.2">
      <c r="C419" t="s">
        <v>361</v>
      </c>
      <c r="H419" s="331"/>
      <c r="I419" s="331"/>
      <c r="J419" s="365">
        <f>J287/(J287+J296)</f>
        <v>0.10691399710395365</v>
      </c>
      <c r="K419" s="365">
        <f t="shared" ref="K419:P419" si="176">K287/(K287+K296)</f>
        <v>0.25580988614441935</v>
      </c>
      <c r="L419" s="365">
        <f t="shared" si="176"/>
        <v>0.23677978750189033</v>
      </c>
      <c r="M419" s="365">
        <f t="shared" ca="1" si="176"/>
        <v>0.29201837591696939</v>
      </c>
      <c r="N419" s="365">
        <f t="shared" ca="1" si="176"/>
        <v>0.34442895270663404</v>
      </c>
      <c r="O419" s="365">
        <f t="shared" ca="1" si="176"/>
        <v>0.19817488190095842</v>
      </c>
      <c r="P419" s="365">
        <f t="shared" ca="1" si="176"/>
        <v>8.8867533231472215E-2</v>
      </c>
    </row>
    <row r="420" spans="2:16" x14ac:dyDescent="0.2">
      <c r="C420" t="s">
        <v>362</v>
      </c>
      <c r="H420" s="331"/>
      <c r="I420" s="331"/>
      <c r="J420" s="331">
        <f>-J418*J419</f>
        <v>-482.23053225101978</v>
      </c>
      <c r="K420" s="331">
        <f t="shared" ref="K420:P420" si="177">-K418*K419</f>
        <v>-1153.8184044372833</v>
      </c>
      <c r="L420" s="331">
        <f t="shared" ca="1" si="177"/>
        <v>-1311.0952955037599</v>
      </c>
      <c r="M420" s="331">
        <f t="shared" ca="1" si="177"/>
        <v>-2165.8656506402776</v>
      </c>
      <c r="N420" s="331">
        <f t="shared" ca="1" si="177"/>
        <v>-3236.2059841820414</v>
      </c>
      <c r="O420" s="331">
        <f t="shared" ca="1" si="177"/>
        <v>-1959.0389354382812</v>
      </c>
      <c r="P420" s="331">
        <f t="shared" ca="1" si="177"/>
        <v>-814.36784093873928</v>
      </c>
    </row>
    <row r="421" spans="2:16" x14ac:dyDescent="0.2">
      <c r="C421" t="s">
        <v>363</v>
      </c>
      <c r="H421" s="331"/>
      <c r="I421" s="331"/>
      <c r="J421" s="331">
        <f>J418+J420</f>
        <v>4028.2222177489807</v>
      </c>
      <c r="K421" s="331">
        <f t="shared" ref="K421:P421" si="178">K418+K420</f>
        <v>3356.634345562717</v>
      </c>
      <c r="L421" s="331">
        <f t="shared" ca="1" si="178"/>
        <v>4226.0973396289692</v>
      </c>
      <c r="M421" s="331">
        <f t="shared" ca="1" si="178"/>
        <v>5251.0157145793755</v>
      </c>
      <c r="N421" s="331">
        <f t="shared" ca="1" si="178"/>
        <v>6159.65333237915</v>
      </c>
      <c r="O421" s="331">
        <f t="shared" ca="1" si="178"/>
        <v>7926.3658981437429</v>
      </c>
      <c r="P421" s="331">
        <f t="shared" ca="1" si="178"/>
        <v>8349.4719926432845</v>
      </c>
    </row>
    <row r="422" spans="2:16" s="2" customFormat="1" x14ac:dyDescent="0.2">
      <c r="C422" s="2" t="s">
        <v>364</v>
      </c>
      <c r="H422" s="349"/>
      <c r="I422" s="349"/>
      <c r="J422" s="333">
        <f>J421-J415</f>
        <v>3630.4300177489808</v>
      </c>
      <c r="K422" s="333">
        <f t="shared" ref="K422:O422" si="179">K421-K415</f>
        <v>2906.4235455627172</v>
      </c>
      <c r="L422" s="333">
        <f t="shared" ca="1" si="179"/>
        <v>3901.0973396289692</v>
      </c>
      <c r="M422" s="333">
        <f t="shared" ca="1" si="179"/>
        <v>4926.0157145793755</v>
      </c>
      <c r="N422" s="333">
        <f t="shared" ca="1" si="179"/>
        <v>5834.65333237915</v>
      </c>
      <c r="O422" s="333">
        <f t="shared" ca="1" si="179"/>
        <v>7601.3658981437429</v>
      </c>
      <c r="P422" s="333">
        <f ca="1">P421-P415</f>
        <v>6842.4044537552745</v>
      </c>
    </row>
    <row r="423" spans="2:16" x14ac:dyDescent="0.2">
      <c r="C423" s="39" t="s">
        <v>365</v>
      </c>
      <c r="H423" s="331"/>
      <c r="I423" s="331"/>
      <c r="J423" s="348">
        <f>ROUND(-J420-J289,0)</f>
        <v>0</v>
      </c>
      <c r="K423" s="348">
        <f t="shared" ref="K423:P423" si="180">ROUND(-K420-K289,0)</f>
        <v>0</v>
      </c>
      <c r="L423" s="348">
        <f t="shared" ca="1" si="180"/>
        <v>0</v>
      </c>
      <c r="M423" s="348">
        <f t="shared" ca="1" si="180"/>
        <v>0</v>
      </c>
      <c r="N423" s="348">
        <f t="shared" ca="1" si="180"/>
        <v>0</v>
      </c>
      <c r="O423" s="348">
        <f t="shared" ca="1" si="180"/>
        <v>0</v>
      </c>
      <c r="P423" s="348">
        <f t="shared" ca="1" si="180"/>
        <v>0</v>
      </c>
    </row>
    <row r="424" spans="2:16" x14ac:dyDescent="0.2">
      <c r="H424" s="331"/>
      <c r="I424" s="331"/>
      <c r="J424" s="331"/>
      <c r="K424" s="331"/>
      <c r="L424" s="331"/>
      <c r="M424" s="331"/>
      <c r="N424" s="331"/>
      <c r="O424" s="331"/>
      <c r="P424" s="331"/>
    </row>
    <row r="425" spans="2:16" x14ac:dyDescent="0.2">
      <c r="C425" s="2" t="s">
        <v>366</v>
      </c>
      <c r="H425" s="331"/>
      <c r="I425" s="331"/>
      <c r="J425" s="331">
        <f>(J394+J401-J413)/J382</f>
        <v>1.9420340407033787</v>
      </c>
      <c r="K425" s="331">
        <f t="shared" ref="K425:P425" ca="1" si="181">(K394+K401-K413)/K382</f>
        <v>2.1086279893527227</v>
      </c>
      <c r="L425" s="331">
        <f t="shared" ca="1" si="181"/>
        <v>2.2895846598106719</v>
      </c>
      <c r="M425" s="331">
        <f t="shared" ca="1" si="181"/>
        <v>2.4563483349525956</v>
      </c>
      <c r="N425" s="331">
        <f t="shared" ca="1" si="181"/>
        <v>1.9113240105590874</v>
      </c>
      <c r="O425" s="331">
        <f t="shared" ca="1" si="181"/>
        <v>1.0743367527189869</v>
      </c>
      <c r="P425" s="331">
        <f t="shared" ca="1" si="181"/>
        <v>0.3363843202315891</v>
      </c>
    </row>
    <row r="427" spans="2:16" x14ac:dyDescent="0.2">
      <c r="B427" s="34"/>
      <c r="C427" s="34"/>
      <c r="D427" s="34"/>
      <c r="E427" s="34"/>
      <c r="F427" s="34"/>
      <c r="G427" s="34"/>
      <c r="H427" s="34"/>
      <c r="I427" s="34"/>
      <c r="J427" s="34"/>
      <c r="K427" s="34"/>
      <c r="L427" s="34"/>
      <c r="M427" s="34"/>
      <c r="N427" s="34"/>
      <c r="O427" s="34"/>
      <c r="P427" s="34"/>
    </row>
    <row r="428" spans="2:16" x14ac:dyDescent="0.2">
      <c r="P428" s="289" t="str">
        <f>P374</f>
        <v>CURRENTLY RUNNING: BASE CASE SCENARIO</v>
      </c>
    </row>
    <row r="429" spans="2:16" ht="20" x14ac:dyDescent="0.2">
      <c r="B429" s="243" t="str">
        <f>B375</f>
        <v>Adani Power</v>
      </c>
      <c r="C429" s="5"/>
      <c r="D429" s="5"/>
      <c r="E429" s="5"/>
      <c r="F429" s="5"/>
      <c r="G429" s="5"/>
      <c r="H429" s="5"/>
      <c r="I429" s="5"/>
      <c r="J429" s="5"/>
      <c r="K429" s="5"/>
      <c r="L429" s="5"/>
      <c r="M429" s="5"/>
      <c r="N429" s="5"/>
      <c r="O429" s="5"/>
      <c r="P429" s="5"/>
    </row>
    <row r="430" spans="2:16" ht="18" x14ac:dyDescent="0.2">
      <c r="B430" s="488" t="s">
        <v>367</v>
      </c>
      <c r="C430" s="491"/>
      <c r="D430" s="491"/>
      <c r="E430" s="491"/>
      <c r="F430" s="491"/>
      <c r="G430" s="491"/>
      <c r="H430" s="491"/>
      <c r="I430" s="491"/>
      <c r="J430" s="491"/>
      <c r="K430" s="491"/>
      <c r="L430" s="491"/>
      <c r="M430" s="491"/>
      <c r="N430" s="491"/>
      <c r="O430" s="491"/>
      <c r="P430" s="491"/>
    </row>
    <row r="431" spans="2:16" ht="3" customHeight="1" thickBot="1" x14ac:dyDescent="0.25">
      <c r="B431" s="1"/>
      <c r="C431" s="1"/>
      <c r="D431" s="1"/>
      <c r="E431" s="1"/>
      <c r="F431" s="1"/>
      <c r="G431" s="1"/>
      <c r="H431" s="1"/>
      <c r="I431" s="1"/>
      <c r="J431" s="1"/>
      <c r="K431" s="1"/>
      <c r="L431" s="1"/>
      <c r="M431" s="1"/>
      <c r="N431" s="1"/>
      <c r="O431" s="1"/>
      <c r="P431" s="1"/>
    </row>
    <row r="432" spans="2:16" ht="16" thickTop="1" x14ac:dyDescent="0.2">
      <c r="B432" s="39" t="s">
        <v>7</v>
      </c>
    </row>
    <row r="433" spans="2:16" x14ac:dyDescent="0.2">
      <c r="K433" s="247" t="str">
        <f>K379</f>
        <v>Projected</v>
      </c>
      <c r="L433" s="247"/>
      <c r="M433" s="247"/>
      <c r="N433" s="247"/>
      <c r="O433" s="247"/>
      <c r="P433" s="247"/>
    </row>
    <row r="434" spans="2:16" x14ac:dyDescent="0.2">
      <c r="H434" s="245">
        <f>H380</f>
        <v>2024</v>
      </c>
      <c r="I434" s="245">
        <f t="shared" ref="I434:P434" si="182">I380</f>
        <v>2025</v>
      </c>
      <c r="J434" s="245">
        <f t="shared" si="182"/>
        <v>2026</v>
      </c>
      <c r="K434" s="246">
        <f t="shared" si="182"/>
        <v>2027</v>
      </c>
      <c r="L434" s="246">
        <f t="shared" si="182"/>
        <v>2028</v>
      </c>
      <c r="M434" s="246">
        <f t="shared" si="182"/>
        <v>2029</v>
      </c>
      <c r="N434" s="246">
        <f t="shared" si="182"/>
        <v>2030</v>
      </c>
      <c r="O434" s="246">
        <f t="shared" si="182"/>
        <v>2031</v>
      </c>
      <c r="P434" s="246">
        <f t="shared" si="182"/>
        <v>2032</v>
      </c>
    </row>
    <row r="435" spans="2:16" x14ac:dyDescent="0.2">
      <c r="B435" s="325" t="s">
        <v>368</v>
      </c>
      <c r="C435" s="326"/>
      <c r="D435" s="350">
        <f>Assumptions!H45</f>
        <v>0.25168000000000001</v>
      </c>
    </row>
    <row r="436" spans="2:16" x14ac:dyDescent="0.2">
      <c r="D436" s="291"/>
    </row>
    <row r="437" spans="2:16" x14ac:dyDescent="0.2">
      <c r="B437" s="2" t="s">
        <v>369</v>
      </c>
    </row>
    <row r="438" spans="2:16" x14ac:dyDescent="0.2">
      <c r="C438" t="s">
        <v>305</v>
      </c>
      <c r="J438" s="261">
        <f>Assumptions!$O$86</f>
        <v>46248.448239033707</v>
      </c>
      <c r="K438" s="261">
        <f>J441</f>
        <v>40128.215495510849</v>
      </c>
      <c r="L438" s="261">
        <f t="shared" ref="L438:P438" si="183">K441</f>
        <v>57704.345671184215</v>
      </c>
      <c r="M438" s="261">
        <f t="shared" si="183"/>
        <v>68726.681320506585</v>
      </c>
      <c r="N438" s="261">
        <f t="shared" si="183"/>
        <v>78206.666622430595</v>
      </c>
      <c r="O438" s="261">
        <f t="shared" si="183"/>
        <v>130017.15412906602</v>
      </c>
      <c r="P438" s="261">
        <f t="shared" si="183"/>
        <v>155722.56850970612</v>
      </c>
    </row>
    <row r="439" spans="2:16" x14ac:dyDescent="0.2">
      <c r="C439" t="s">
        <v>370</v>
      </c>
      <c r="J439" s="261">
        <f>J297+J298</f>
        <v>883.28053225102485</v>
      </c>
      <c r="K439" s="261">
        <f t="shared" ref="K439:P439" si="184">K297+K298</f>
        <v>25508.5</v>
      </c>
      <c r="L439" s="261">
        <f t="shared" si="184"/>
        <v>21273.5</v>
      </c>
      <c r="M439" s="261">
        <f t="shared" si="184"/>
        <v>21393.5</v>
      </c>
      <c r="N439" s="261">
        <f t="shared" si="184"/>
        <v>68693.5</v>
      </c>
      <c r="O439" s="261">
        <f t="shared" si="184"/>
        <v>48873.5</v>
      </c>
      <c r="P439" s="261">
        <f t="shared" si="184"/>
        <v>22193.5</v>
      </c>
    </row>
    <row r="440" spans="2:16" x14ac:dyDescent="0.2">
      <c r="C440" t="s">
        <v>371</v>
      </c>
      <c r="J440" s="261">
        <f>(J438+J439/2)*Assumptions!$O$85</f>
        <v>7003.5132757738829</v>
      </c>
      <c r="K440" s="261">
        <f>(K438+K439/2)*Assumptions!$O$85</f>
        <v>7932.3698243266272</v>
      </c>
      <c r="L440" s="261">
        <f>(L438+L439/2)*Assumptions!$O$85</f>
        <v>10251.164350677633</v>
      </c>
      <c r="M440" s="261">
        <f>(M438+M439/2)*Assumptions!$O$85</f>
        <v>11913.514698075987</v>
      </c>
      <c r="N440" s="261">
        <f>(N438+N439/2)*Assumptions!$O$85</f>
        <v>16883.012493364589</v>
      </c>
      <c r="O440" s="261">
        <f>(O438+O439/2)*Assumptions!$O$85</f>
        <v>23168.085619359907</v>
      </c>
      <c r="P440" s="261">
        <f>(P438+P439/2)*Assumptions!$O$85</f>
        <v>25022.897776455917</v>
      </c>
    </row>
    <row r="441" spans="2:16" x14ac:dyDescent="0.2">
      <c r="C441" s="2" t="s">
        <v>372</v>
      </c>
      <c r="J441" s="303">
        <f>J438+J439-J440</f>
        <v>40128.215495510849</v>
      </c>
      <c r="K441" s="303">
        <f t="shared" ref="K441:P441" si="185">K438+K439-K440</f>
        <v>57704.345671184215</v>
      </c>
      <c r="L441" s="303">
        <f t="shared" si="185"/>
        <v>68726.681320506585</v>
      </c>
      <c r="M441" s="303">
        <f t="shared" si="185"/>
        <v>78206.666622430595</v>
      </c>
      <c r="N441" s="303">
        <f t="shared" si="185"/>
        <v>130017.15412906602</v>
      </c>
      <c r="O441" s="303">
        <f t="shared" si="185"/>
        <v>155722.56850970612</v>
      </c>
      <c r="P441" s="303">
        <f t="shared" si="185"/>
        <v>152893.17073325021</v>
      </c>
    </row>
    <row r="442" spans="2:16" x14ac:dyDescent="0.2">
      <c r="J442" s="261"/>
      <c r="K442" s="261"/>
      <c r="L442" s="261"/>
      <c r="M442" s="261"/>
      <c r="N442" s="261"/>
      <c r="O442" s="261"/>
      <c r="P442" s="261"/>
    </row>
    <row r="443" spans="2:16" x14ac:dyDescent="0.2">
      <c r="B443" s="2" t="s">
        <v>373</v>
      </c>
      <c r="J443" s="261"/>
      <c r="K443" s="261"/>
      <c r="L443" s="261"/>
      <c r="M443" s="261"/>
      <c r="N443" s="261"/>
      <c r="O443" s="261"/>
      <c r="P443" s="261"/>
    </row>
    <row r="444" spans="2:16" x14ac:dyDescent="0.2">
      <c r="C444" t="s">
        <v>374</v>
      </c>
      <c r="J444" s="261">
        <f t="shared" ref="J444:P444" si="186">J159</f>
        <v>16079.382871999996</v>
      </c>
      <c r="K444" s="261">
        <f t="shared" ca="1" si="186"/>
        <v>20268.859462618915</v>
      </c>
      <c r="L444" s="261">
        <f t="shared" ca="1" si="186"/>
        <v>25846.903529198302</v>
      </c>
      <c r="M444" s="261">
        <f t="shared" ca="1" si="186"/>
        <v>30990.894486604342</v>
      </c>
      <c r="N444" s="261">
        <f t="shared" ca="1" si="186"/>
        <v>43597.690608018194</v>
      </c>
      <c r="O444" s="261">
        <f t="shared" ca="1" si="186"/>
        <v>60210.829957516071</v>
      </c>
      <c r="P444" s="261">
        <f t="shared" ca="1" si="186"/>
        <v>71184.639403289926</v>
      </c>
    </row>
    <row r="445" spans="2:16" x14ac:dyDescent="0.2">
      <c r="C445" t="s">
        <v>375</v>
      </c>
      <c r="J445" s="261">
        <f>J444*$D$435</f>
        <v>4046.8590812249595</v>
      </c>
      <c r="K445" s="261">
        <f t="shared" ref="K445:P445" ca="1" si="187">K444*$D$435</f>
        <v>5101.2665495519286</v>
      </c>
      <c r="L445" s="261">
        <f t="shared" ca="1" si="187"/>
        <v>6505.148680228629</v>
      </c>
      <c r="M445" s="261">
        <f t="shared" ca="1" si="187"/>
        <v>7799.7883243885817</v>
      </c>
      <c r="N445" s="261">
        <f t="shared" ca="1" si="187"/>
        <v>10972.666772226019</v>
      </c>
      <c r="O445" s="261">
        <f t="shared" ca="1" si="187"/>
        <v>15153.861683707646</v>
      </c>
      <c r="P445" s="261">
        <f t="shared" ca="1" si="187"/>
        <v>17915.75004502001</v>
      </c>
    </row>
    <row r="446" spans="2:16" x14ac:dyDescent="0.2">
      <c r="C446" t="s">
        <v>376</v>
      </c>
      <c r="J446" s="261">
        <f>J440-J338</f>
        <v>2438.9832757738832</v>
      </c>
      <c r="K446" s="261">
        <f t="shared" ref="K446:P446" si="188">K440-K338</f>
        <v>2802.0598243266268</v>
      </c>
      <c r="L446" s="261">
        <f t="shared" si="188"/>
        <v>4182.554350677633</v>
      </c>
      <c r="M446" s="261">
        <f t="shared" si="188"/>
        <v>4989.164698075987</v>
      </c>
      <c r="N446" s="261">
        <f t="shared" si="188"/>
        <v>8151.7224933645884</v>
      </c>
      <c r="O446" s="261">
        <f t="shared" si="188"/>
        <v>12078.655619359906</v>
      </c>
      <c r="P446" s="261">
        <f t="shared" si="188"/>
        <v>12508.127776455916</v>
      </c>
    </row>
    <row r="447" spans="2:16" x14ac:dyDescent="0.2">
      <c r="C447" t="s">
        <v>377</v>
      </c>
      <c r="J447" s="351">
        <f>J446*$D$435</f>
        <v>613.84331084677092</v>
      </c>
      <c r="K447" s="351">
        <f t="shared" ref="K447:P447" si="189">K446*$D$435</f>
        <v>705.22241658652547</v>
      </c>
      <c r="L447" s="351">
        <f t="shared" si="189"/>
        <v>1052.6652789785467</v>
      </c>
      <c r="M447" s="351">
        <f t="shared" si="189"/>
        <v>1255.6729712117644</v>
      </c>
      <c r="N447" s="351">
        <f t="shared" si="189"/>
        <v>2051.6255171299999</v>
      </c>
      <c r="O447" s="351">
        <f t="shared" si="189"/>
        <v>3039.9560462805016</v>
      </c>
      <c r="P447" s="351">
        <f t="shared" si="189"/>
        <v>3148.0455987784253</v>
      </c>
    </row>
    <row r="448" spans="2:16" x14ac:dyDescent="0.2">
      <c r="C448" t="s">
        <v>378</v>
      </c>
      <c r="J448" s="261">
        <f>J445-J447</f>
        <v>3433.0157703781888</v>
      </c>
      <c r="K448" s="261">
        <f t="shared" ref="K448:P448" ca="1" si="190">K445-K447</f>
        <v>4396.0441329654032</v>
      </c>
      <c r="L448" s="261">
        <f t="shared" ca="1" si="190"/>
        <v>5452.4834012500824</v>
      </c>
      <c r="M448" s="261">
        <f t="shared" ca="1" si="190"/>
        <v>6544.1153531768177</v>
      </c>
      <c r="N448" s="261">
        <f t="shared" ca="1" si="190"/>
        <v>8921.0412550960191</v>
      </c>
      <c r="O448" s="261">
        <f t="shared" ca="1" si="190"/>
        <v>12113.905637427144</v>
      </c>
      <c r="P448" s="261">
        <f t="shared" ca="1" si="190"/>
        <v>14767.704446241583</v>
      </c>
    </row>
    <row r="449" spans="2:16" x14ac:dyDescent="0.2">
      <c r="J449" s="261"/>
      <c r="K449" s="261"/>
      <c r="L449" s="261"/>
      <c r="M449" s="261"/>
      <c r="N449" s="261"/>
      <c r="O449" s="261"/>
      <c r="P449" s="261"/>
    </row>
    <row r="450" spans="2:16" x14ac:dyDescent="0.2">
      <c r="C450" t="s">
        <v>301</v>
      </c>
      <c r="J450" s="261">
        <f>Assumptions!O82</f>
        <v>5827.15</v>
      </c>
      <c r="K450" s="261">
        <f>J451</f>
        <v>6440.9933108467703</v>
      </c>
      <c r="L450" s="261">
        <f t="shared" ref="L450:P450" si="191">K451</f>
        <v>7146.2157274332958</v>
      </c>
      <c r="M450" s="261">
        <f t="shared" si="191"/>
        <v>8198.8810064118425</v>
      </c>
      <c r="N450" s="261">
        <f t="shared" si="191"/>
        <v>9454.5539776236074</v>
      </c>
      <c r="O450" s="261">
        <f t="shared" si="191"/>
        <v>11506.179494753607</v>
      </c>
      <c r="P450" s="261">
        <f t="shared" si="191"/>
        <v>14546.135541034109</v>
      </c>
    </row>
    <row r="451" spans="2:16" x14ac:dyDescent="0.2">
      <c r="C451" t="s">
        <v>379</v>
      </c>
      <c r="J451" s="261">
        <f>J450+J447</f>
        <v>6440.9933108467703</v>
      </c>
      <c r="K451" s="261">
        <f t="shared" ref="K451:P451" si="192">K450+K447</f>
        <v>7146.2157274332958</v>
      </c>
      <c r="L451" s="261">
        <f t="shared" si="192"/>
        <v>8198.8810064118425</v>
      </c>
      <c r="M451" s="261">
        <f t="shared" si="192"/>
        <v>9454.5539776236074</v>
      </c>
      <c r="N451" s="261">
        <f t="shared" si="192"/>
        <v>11506.179494753607</v>
      </c>
      <c r="O451" s="261">
        <f t="shared" si="192"/>
        <v>14546.135541034109</v>
      </c>
      <c r="P451" s="261">
        <f t="shared" si="192"/>
        <v>17694.181139812536</v>
      </c>
    </row>
    <row r="452" spans="2:16" x14ac:dyDescent="0.2">
      <c r="J452" s="261"/>
      <c r="K452" s="261"/>
      <c r="L452" s="261"/>
      <c r="M452" s="261"/>
      <c r="N452" s="261"/>
      <c r="O452" s="261"/>
      <c r="P452" s="261"/>
    </row>
    <row r="453" spans="2:16" x14ac:dyDescent="0.2">
      <c r="C453" t="s">
        <v>380</v>
      </c>
      <c r="J453" s="351">
        <f>-'Historical Data'!Q124</f>
        <v>-102.26</v>
      </c>
      <c r="K453" s="351">
        <f>J448+IF(K$434=$K$434,Assumptions!$O$84,0)</f>
        <v>4988.2857703781883</v>
      </c>
      <c r="L453" s="351">
        <f ca="1">K448+IF(L$434=$K$434,Assumptions!$O$84,0)</f>
        <v>4396.0441329654032</v>
      </c>
      <c r="M453" s="351">
        <f ca="1">L448+IF(M$434=$K$434,Assumptions!$O$84,0)</f>
        <v>5452.4834012500824</v>
      </c>
      <c r="N453" s="351">
        <f ca="1">M448+IF(N$434=$K$434,Assumptions!$O$84,0)</f>
        <v>6544.1153531768177</v>
      </c>
      <c r="O453" s="351">
        <f ca="1">N448+IF(O$434=$K$434,Assumptions!$O$84,0)</f>
        <v>8921.0412550960191</v>
      </c>
      <c r="P453" s="351">
        <f ca="1">O448+IF(P$434=$K$434,Assumptions!$O$84,0)</f>
        <v>12113.905637427144</v>
      </c>
    </row>
    <row r="455" spans="2:16" x14ac:dyDescent="0.2">
      <c r="B455" s="34"/>
      <c r="C455" s="34"/>
      <c r="D455" s="34"/>
      <c r="E455" s="34"/>
      <c r="F455" s="34"/>
      <c r="G455" s="34"/>
      <c r="H455" s="34"/>
      <c r="I455" s="34"/>
      <c r="J455" s="34"/>
      <c r="K455" s="34"/>
      <c r="L455" s="34"/>
      <c r="M455" s="34"/>
      <c r="N455" s="34"/>
      <c r="O455" s="34"/>
      <c r="P455" s="34"/>
    </row>
    <row r="456" spans="2:16" x14ac:dyDescent="0.2">
      <c r="P456" s="289" t="str">
        <f>P428</f>
        <v>CURRENTLY RUNNING: BASE CASE SCENARIO</v>
      </c>
    </row>
    <row r="457" spans="2:16" ht="20" x14ac:dyDescent="0.2">
      <c r="B457" s="243" t="str">
        <f>B429</f>
        <v>Adani Power</v>
      </c>
      <c r="C457" s="5"/>
      <c r="D457" s="5"/>
      <c r="E457" s="5"/>
      <c r="F457" s="5"/>
      <c r="G457" s="5"/>
      <c r="H457" s="5"/>
      <c r="I457" s="5"/>
      <c r="J457" s="5"/>
      <c r="K457" s="5"/>
      <c r="L457" s="5"/>
      <c r="M457" s="5"/>
      <c r="N457" s="5"/>
      <c r="O457" s="5"/>
      <c r="P457" s="5"/>
    </row>
    <row r="458" spans="2:16" ht="18" x14ac:dyDescent="0.2">
      <c r="B458" s="488" t="s">
        <v>381</v>
      </c>
      <c r="C458" s="491"/>
      <c r="D458" s="491"/>
      <c r="E458" s="491"/>
      <c r="F458" s="491"/>
      <c r="G458" s="491"/>
      <c r="H458" s="491"/>
      <c r="I458" s="491"/>
      <c r="J458" s="491"/>
      <c r="K458" s="491"/>
      <c r="L458" s="491"/>
      <c r="M458" s="491"/>
      <c r="N458" s="491"/>
      <c r="O458" s="491"/>
      <c r="P458" s="491"/>
    </row>
    <row r="459" spans="2:16" ht="3" customHeight="1" thickBot="1" x14ac:dyDescent="0.25">
      <c r="B459" s="1"/>
      <c r="C459" s="1"/>
      <c r="D459" s="1"/>
      <c r="E459" s="1"/>
      <c r="F459" s="1"/>
      <c r="G459" s="1"/>
      <c r="H459" s="1"/>
      <c r="I459" s="1"/>
      <c r="J459" s="1"/>
      <c r="K459" s="1"/>
      <c r="L459" s="1"/>
      <c r="M459" s="1"/>
      <c r="N459" s="1"/>
      <c r="O459" s="1"/>
      <c r="P459" s="1"/>
    </row>
    <row r="460" spans="2:16" ht="16" thickTop="1" x14ac:dyDescent="0.2">
      <c r="B460" s="39" t="s">
        <v>7</v>
      </c>
    </row>
    <row r="461" spans="2:16" x14ac:dyDescent="0.2">
      <c r="K461" s="247" t="str">
        <f>K433</f>
        <v>Projected</v>
      </c>
      <c r="L461" s="247"/>
      <c r="M461" s="247"/>
      <c r="N461" s="247"/>
      <c r="O461" s="247"/>
      <c r="P461" s="247"/>
    </row>
    <row r="462" spans="2:16" x14ac:dyDescent="0.2">
      <c r="H462" s="245">
        <f>H434</f>
        <v>2024</v>
      </c>
      <c r="I462" s="245">
        <f t="shared" ref="I462:P462" si="193">I434</f>
        <v>2025</v>
      </c>
      <c r="J462" s="245">
        <f t="shared" si="193"/>
        <v>2026</v>
      </c>
      <c r="K462" s="246">
        <f t="shared" si="193"/>
        <v>2027</v>
      </c>
      <c r="L462" s="246">
        <f t="shared" si="193"/>
        <v>2028</v>
      </c>
      <c r="M462" s="246">
        <f t="shared" si="193"/>
        <v>2029</v>
      </c>
      <c r="N462" s="246">
        <f t="shared" si="193"/>
        <v>2030</v>
      </c>
      <c r="O462" s="246">
        <f t="shared" si="193"/>
        <v>2031</v>
      </c>
      <c r="P462" s="246">
        <f t="shared" si="193"/>
        <v>2032</v>
      </c>
    </row>
    <row r="463" spans="2:16" x14ac:dyDescent="0.2">
      <c r="B463" s="2"/>
    </row>
    <row r="464" spans="2:16" x14ac:dyDescent="0.2">
      <c r="B464" s="2" t="s">
        <v>382</v>
      </c>
    </row>
    <row r="465" spans="2:16" x14ac:dyDescent="0.2">
      <c r="C465" t="s">
        <v>383</v>
      </c>
      <c r="J465" s="261">
        <f>'Historical Data'!P90</f>
        <v>52490.15</v>
      </c>
      <c r="K465" s="261">
        <f>J469</f>
        <v>61079.94</v>
      </c>
      <c r="L465" s="261">
        <f t="shared" ref="L465:P465" ca="1" si="194">K469</f>
        <v>76088.27318747979</v>
      </c>
      <c r="M465" s="261">
        <f t="shared" ca="1" si="194"/>
        <v>95226.939610535279</v>
      </c>
      <c r="N465" s="261">
        <f t="shared" ca="1" si="194"/>
        <v>118174.53915804777</v>
      </c>
      <c r="O465" s="261">
        <f t="shared" ca="1" si="194"/>
        <v>150457.00024356414</v>
      </c>
      <c r="P465" s="261">
        <f t="shared" ca="1" si="194"/>
        <v>195040.87035049757</v>
      </c>
    </row>
    <row r="466" spans="2:16" x14ac:dyDescent="0.2">
      <c r="C466" t="s">
        <v>384</v>
      </c>
      <c r="J466" s="261">
        <f t="shared" ref="J466:P466" si="195">J168</f>
        <v>13408.667866843996</v>
      </c>
      <c r="K466" s="261">
        <f t="shared" ca="1" si="195"/>
        <v>15008.333187479782</v>
      </c>
      <c r="L466" s="261">
        <f t="shared" ca="1" si="195"/>
        <v>19138.666423055489</v>
      </c>
      <c r="M466" s="261">
        <f t="shared" ca="1" si="195"/>
        <v>22947.599547512495</v>
      </c>
      <c r="N466" s="261">
        <f t="shared" ca="1" si="195"/>
        <v>32282.461085516359</v>
      </c>
      <c r="O466" s="261">
        <f t="shared" ca="1" si="195"/>
        <v>44583.870106933435</v>
      </c>
      <c r="P466" s="261">
        <f t="shared" ca="1" si="195"/>
        <v>52709.566020008082</v>
      </c>
    </row>
    <row r="467" spans="2:16" x14ac:dyDescent="0.2">
      <c r="C467" t="s">
        <v>385</v>
      </c>
      <c r="J467" s="354">
        <v>0</v>
      </c>
      <c r="K467" s="354">
        <v>0</v>
      </c>
      <c r="L467" s="354">
        <v>0</v>
      </c>
      <c r="M467" s="354">
        <v>0</v>
      </c>
      <c r="N467" s="354">
        <v>0</v>
      </c>
      <c r="O467" s="354">
        <v>0</v>
      </c>
      <c r="P467" s="354">
        <v>0</v>
      </c>
    </row>
    <row r="468" spans="2:16" x14ac:dyDescent="0.2">
      <c r="C468" t="s">
        <v>386</v>
      </c>
      <c r="J468" s="261">
        <f>'Historical Data'!Q90-Model!J465-Model!J466</f>
        <v>-4818.8778668439954</v>
      </c>
      <c r="K468" s="354">
        <v>0</v>
      </c>
      <c r="L468" s="354">
        <v>0</v>
      </c>
      <c r="M468" s="354">
        <v>0</v>
      </c>
      <c r="N468" s="354">
        <v>0</v>
      </c>
      <c r="O468" s="354">
        <v>0</v>
      </c>
      <c r="P468" s="354">
        <v>0</v>
      </c>
    </row>
    <row r="469" spans="2:16" x14ac:dyDescent="0.2">
      <c r="C469" s="2" t="s">
        <v>387</v>
      </c>
      <c r="J469" s="303">
        <f>SUM(J465:J468)</f>
        <v>61079.94</v>
      </c>
      <c r="K469" s="303">
        <f t="shared" ref="K469:P469" ca="1" si="196">SUM(K465:K468)</f>
        <v>76088.27318747979</v>
      </c>
      <c r="L469" s="303">
        <f t="shared" ca="1" si="196"/>
        <v>95226.939610535279</v>
      </c>
      <c r="M469" s="303">
        <f t="shared" ca="1" si="196"/>
        <v>118174.53915804777</v>
      </c>
      <c r="N469" s="303">
        <f t="shared" ca="1" si="196"/>
        <v>150457.00024356414</v>
      </c>
      <c r="O469" s="303">
        <f t="shared" ca="1" si="196"/>
        <v>195040.87035049757</v>
      </c>
      <c r="P469" s="303">
        <f t="shared" ca="1" si="196"/>
        <v>247750.43637050566</v>
      </c>
    </row>
    <row r="470" spans="2:16" x14ac:dyDescent="0.2">
      <c r="J470" s="261"/>
      <c r="K470" s="261"/>
      <c r="L470" s="261"/>
      <c r="M470" s="261"/>
      <c r="N470" s="261"/>
      <c r="O470" s="261"/>
      <c r="P470" s="261"/>
    </row>
    <row r="471" spans="2:16" x14ac:dyDescent="0.2">
      <c r="B471" t="s">
        <v>388</v>
      </c>
      <c r="J471" s="261"/>
      <c r="K471" s="261"/>
      <c r="L471" s="261"/>
      <c r="M471" s="261"/>
      <c r="N471" s="261"/>
      <c r="O471" s="261"/>
      <c r="P471" s="261"/>
    </row>
    <row r="472" spans="2:16" x14ac:dyDescent="0.2">
      <c r="C472" t="s">
        <v>389</v>
      </c>
      <c r="J472" s="261">
        <f>'Historical Data'!P93</f>
        <v>1326</v>
      </c>
      <c r="K472" s="261">
        <f>J474</f>
        <v>1468.2850051559999</v>
      </c>
      <c r="L472" s="261">
        <f t="shared" ref="L472:P472" ca="1" si="197">K474</f>
        <v>1627.5447307432032</v>
      </c>
      <c r="M472" s="261">
        <f t="shared" ca="1" si="197"/>
        <v>1830.6331566573847</v>
      </c>
      <c r="N472" s="261">
        <f t="shared" ca="1" si="197"/>
        <v>2074.1397713606502</v>
      </c>
      <c r="O472" s="261">
        <f t="shared" ca="1" si="197"/>
        <v>2416.7025216364682</v>
      </c>
      <c r="P472" s="261">
        <f t="shared" ca="1" si="197"/>
        <v>2889.8006885114564</v>
      </c>
    </row>
    <row r="473" spans="2:16" x14ac:dyDescent="0.2">
      <c r="C473" t="s">
        <v>390</v>
      </c>
      <c r="J473" s="261">
        <f t="shared" ref="J473:P473" si="198">J165*0.0105</f>
        <v>142.28500515599998</v>
      </c>
      <c r="K473" s="261">
        <f t="shared" ca="1" si="198"/>
        <v>159.25972558720338</v>
      </c>
      <c r="L473" s="261">
        <f t="shared" ca="1" si="198"/>
        <v>203.08842591418156</v>
      </c>
      <c r="M473" s="261">
        <f t="shared" ca="1" si="198"/>
        <v>243.50661470326551</v>
      </c>
      <c r="N473" s="261">
        <f t="shared" ca="1" si="198"/>
        <v>342.5627502758179</v>
      </c>
      <c r="O473" s="261">
        <f t="shared" ca="1" si="198"/>
        <v>473.09816687498846</v>
      </c>
      <c r="P473" s="261">
        <f t="shared" ca="1" si="198"/>
        <v>559.32333826183412</v>
      </c>
    </row>
    <row r="474" spans="2:16" x14ac:dyDescent="0.2">
      <c r="C474" s="2" t="s">
        <v>391</v>
      </c>
      <c r="J474" s="303">
        <f>J472+J473</f>
        <v>1468.2850051559999</v>
      </c>
      <c r="K474" s="303">
        <f t="shared" ref="K474:P474" ca="1" si="199">K472+K473</f>
        <v>1627.5447307432032</v>
      </c>
      <c r="L474" s="303">
        <f t="shared" ca="1" si="199"/>
        <v>1830.6331566573847</v>
      </c>
      <c r="M474" s="303">
        <f t="shared" ca="1" si="199"/>
        <v>2074.1397713606502</v>
      </c>
      <c r="N474" s="303">
        <f t="shared" ca="1" si="199"/>
        <v>2416.7025216364682</v>
      </c>
      <c r="O474" s="303">
        <f t="shared" ca="1" si="199"/>
        <v>2889.8006885114564</v>
      </c>
      <c r="P474" s="303">
        <f t="shared" ca="1" si="199"/>
        <v>3449.1240267732906</v>
      </c>
    </row>
    <row r="483" ht="3" customHeight="1" x14ac:dyDescent="0.2"/>
  </sheetData>
  <printOptions horizontalCentered="1" verticalCentered="1"/>
  <pageMargins left="0.25" right="0.25" top="0.25" bottom="0.25" header="0" footer="0"/>
  <pageSetup paperSize="9" scale="36" orientation="landscape" horizontalDpi="0" verticalDpi="0"/>
  <rowBreaks count="10" manualBreakCount="10">
    <brk id="35" max="16383" man="1"/>
    <brk id="83" max="16383" man="1"/>
    <brk id="120" max="16383" man="1"/>
    <brk id="175" max="16383" man="1"/>
    <brk id="214" max="16383" man="1"/>
    <brk id="263" max="16383" man="1"/>
    <brk id="302" max="16383" man="1"/>
    <brk id="341" max="16383" man="1"/>
    <brk id="374" max="15" man="1"/>
    <brk id="427" max="1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5CF64-E3BB-7640-994F-070C12722367}">
  <sheetPr>
    <tabColor rgb="FF002060"/>
  </sheetPr>
  <dimension ref="A1"/>
  <sheetViews>
    <sheetView workbookViewId="0"/>
  </sheetViews>
  <sheetFormatPr baseColWidth="10" defaultRowHeight="15" x14ac:dyDescent="0.2"/>
  <sheetData/>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14860-23D8-1048-8C7E-1619BDC2F8C8}">
  <sheetPr>
    <pageSetUpPr fitToPage="1"/>
  </sheetPr>
  <dimension ref="B1:M48"/>
  <sheetViews>
    <sheetView showGridLines="0" topLeftCell="A19" zoomScale="133" zoomScaleNormal="86" zoomScaleSheetLayoutView="111" workbookViewId="0">
      <selection activeCell="B2" sqref="B2"/>
    </sheetView>
  </sheetViews>
  <sheetFormatPr baseColWidth="10" defaultRowHeight="15" x14ac:dyDescent="0.2"/>
  <cols>
    <col min="1" max="1" width="3.83203125" customWidth="1"/>
    <col min="7" max="7" width="12.83203125" customWidth="1"/>
    <col min="8" max="8" width="13.1640625" bestFit="1" customWidth="1"/>
    <col min="12" max="12" width="12.6640625" bestFit="1" customWidth="1"/>
    <col min="19" max="19" width="12.5" bestFit="1" customWidth="1"/>
  </cols>
  <sheetData>
    <row r="1" spans="2:13" ht="21" x14ac:dyDescent="0.25">
      <c r="B1" s="381" t="str">
        <f>Cover!B11</f>
        <v>Adani Power</v>
      </c>
      <c r="C1" s="5"/>
      <c r="D1" s="5"/>
      <c r="E1" s="5"/>
      <c r="F1" s="5"/>
      <c r="G1" s="5"/>
      <c r="H1" s="5"/>
      <c r="I1" s="5"/>
      <c r="J1" s="5"/>
      <c r="K1" s="5"/>
      <c r="L1" s="5"/>
      <c r="M1" s="5"/>
    </row>
    <row r="2" spans="2:13" ht="19" x14ac:dyDescent="0.25">
      <c r="B2" s="492" t="s">
        <v>470</v>
      </c>
      <c r="C2" s="491"/>
      <c r="D2" s="491"/>
      <c r="E2" s="491"/>
      <c r="F2" s="491"/>
      <c r="G2" s="491"/>
      <c r="H2" s="491"/>
      <c r="I2" s="491"/>
      <c r="J2" s="491"/>
      <c r="K2" s="491"/>
      <c r="L2" s="491"/>
      <c r="M2" s="491"/>
    </row>
    <row r="3" spans="2:13" ht="3" customHeight="1" thickBot="1" x14ac:dyDescent="0.25">
      <c r="B3" s="1"/>
      <c r="C3" s="1"/>
      <c r="D3" s="1"/>
      <c r="E3" s="1"/>
      <c r="F3" s="1"/>
      <c r="G3" s="1"/>
      <c r="H3" s="1"/>
      <c r="I3" s="1"/>
      <c r="J3" s="1"/>
      <c r="K3" s="1"/>
      <c r="L3" s="1"/>
      <c r="M3" s="1"/>
    </row>
    <row r="4" spans="2:13" ht="16" thickTop="1" x14ac:dyDescent="0.2"/>
    <row r="5" spans="2:13" x14ac:dyDescent="0.2">
      <c r="B5" s="474"/>
      <c r="C5" s="13"/>
      <c r="D5" s="13"/>
      <c r="E5" s="13"/>
      <c r="F5" s="13"/>
      <c r="G5" s="13"/>
      <c r="H5" s="13"/>
      <c r="I5" s="13"/>
      <c r="J5" s="13" t="s">
        <v>446</v>
      </c>
      <c r="K5" s="13" t="s">
        <v>446</v>
      </c>
      <c r="L5" s="13" t="s">
        <v>448</v>
      </c>
      <c r="M5" s="14" t="s">
        <v>449</v>
      </c>
    </row>
    <row r="6" spans="2:13" ht="17" x14ac:dyDescent="0.2">
      <c r="B6" s="475" t="s">
        <v>442</v>
      </c>
      <c r="C6" s="455"/>
      <c r="D6" s="455"/>
      <c r="E6" s="455"/>
      <c r="F6" s="455" t="s">
        <v>443</v>
      </c>
      <c r="G6" s="455" t="s">
        <v>516</v>
      </c>
      <c r="H6" s="455" t="s">
        <v>517</v>
      </c>
      <c r="I6" s="455" t="s">
        <v>523</v>
      </c>
      <c r="J6" s="455" t="s">
        <v>445</v>
      </c>
      <c r="K6" s="455" t="s">
        <v>447</v>
      </c>
      <c r="L6" s="455" t="s">
        <v>524</v>
      </c>
      <c r="M6" s="476" t="s">
        <v>525</v>
      </c>
    </row>
    <row r="7" spans="2:13" ht="3" customHeight="1" x14ac:dyDescent="0.2">
      <c r="B7" s="15"/>
      <c r="C7" s="7"/>
      <c r="D7" s="7"/>
      <c r="E7" s="7"/>
      <c r="F7" s="7"/>
      <c r="G7" s="7"/>
      <c r="H7" s="7"/>
      <c r="I7" s="7"/>
      <c r="J7" s="7"/>
      <c r="K7" s="7"/>
      <c r="L7" s="7"/>
      <c r="M7" s="16"/>
    </row>
    <row r="8" spans="2:13" ht="3" customHeight="1" x14ac:dyDescent="0.2">
      <c r="B8" s="17"/>
      <c r="C8" s="8"/>
      <c r="D8" s="8"/>
      <c r="E8" s="8"/>
      <c r="F8" s="8"/>
      <c r="G8" s="8"/>
      <c r="H8" s="8"/>
      <c r="I8" s="8"/>
      <c r="J8" s="8"/>
      <c r="K8" s="8"/>
      <c r="L8" s="8"/>
      <c r="M8" s="18"/>
    </row>
    <row r="9" spans="2:13" ht="3" customHeight="1" x14ac:dyDescent="0.2">
      <c r="B9" s="19"/>
      <c r="C9" s="9"/>
      <c r="D9" s="9"/>
      <c r="E9" s="9"/>
      <c r="F9" s="9"/>
      <c r="G9" s="9"/>
      <c r="H9" s="9"/>
      <c r="I9" s="9"/>
      <c r="J9" s="9"/>
      <c r="K9" s="9"/>
      <c r="L9" s="9"/>
      <c r="M9" s="20"/>
    </row>
    <row r="10" spans="2:13" x14ac:dyDescent="0.2">
      <c r="B10" s="58" t="s">
        <v>1</v>
      </c>
      <c r="F10" s="10" t="s">
        <v>515</v>
      </c>
      <c r="G10" s="332">
        <f>Model!J240+Model!J245+Model!J247</f>
        <v>54671</v>
      </c>
      <c r="H10" s="332">
        <f>Model!J255</f>
        <v>64936.880000000005</v>
      </c>
      <c r="I10" s="456">
        <v>0.25169999999999998</v>
      </c>
      <c r="J10" s="457">
        <f>G10/H10</f>
        <v>0.84190986693539938</v>
      </c>
      <c r="K10" s="457">
        <f>G10/(G10+H10)</f>
        <v>0.45708526896388429</v>
      </c>
      <c r="L10" s="365">
        <f>Beta!J14</f>
        <v>1.1923462410409533</v>
      </c>
      <c r="M10" s="429">
        <f>L10/(1+(1-I10)*J10)</f>
        <v>0.73150024374740252</v>
      </c>
    </row>
    <row r="11" spans="2:13" x14ac:dyDescent="0.2">
      <c r="B11" s="58" t="s">
        <v>513</v>
      </c>
      <c r="F11" s="10" t="s">
        <v>515</v>
      </c>
      <c r="G11" s="458">
        <v>271004.58</v>
      </c>
      <c r="H11" s="331">
        <f>G11/J11</f>
        <v>203762.84210526315</v>
      </c>
      <c r="I11" s="456">
        <v>0.25169999999999998</v>
      </c>
      <c r="J11" s="459">
        <v>1.33</v>
      </c>
      <c r="K11" s="457">
        <f>G11/(H11+G11)</f>
        <v>0.57081545064377681</v>
      </c>
      <c r="L11" s="365">
        <f>NTPC!J14</f>
        <v>0.86462710578159774</v>
      </c>
      <c r="M11" s="429">
        <f>L11/(1+(1-I11)*J11)</f>
        <v>0.43334513097508504</v>
      </c>
    </row>
    <row r="12" spans="2:13" x14ac:dyDescent="0.2">
      <c r="B12" s="58" t="s">
        <v>510</v>
      </c>
      <c r="F12" s="10" t="s">
        <v>515</v>
      </c>
      <c r="G12" s="458">
        <v>76141.27</v>
      </c>
      <c r="H12" s="331">
        <f t="shared" ref="H12:H15" si="0">G12/J12</f>
        <v>39451.435233160628</v>
      </c>
      <c r="I12" s="456">
        <v>0.25169999999999998</v>
      </c>
      <c r="J12" s="459">
        <v>1.93</v>
      </c>
      <c r="K12" s="457">
        <f t="shared" ref="K12:K15" si="1">G12/(H12+G12)</f>
        <v>0.65870307167235487</v>
      </c>
      <c r="L12" s="365">
        <f>'Tata Power'!J14</f>
        <v>1.2074572138691977</v>
      </c>
      <c r="M12" s="429">
        <f t="shared" ref="M12:M15" si="2">L12/(1+(1-I12)*J12)</f>
        <v>0.49400533007443187</v>
      </c>
    </row>
    <row r="13" spans="2:13" x14ac:dyDescent="0.2">
      <c r="B13" s="58" t="s">
        <v>514</v>
      </c>
      <c r="F13" s="10" t="s">
        <v>515</v>
      </c>
      <c r="G13" s="458">
        <v>76945.78</v>
      </c>
      <c r="H13" s="331">
        <f t="shared" si="0"/>
        <v>30778.311999999998</v>
      </c>
      <c r="I13" s="456">
        <v>0.25169999999999998</v>
      </c>
      <c r="J13" s="459">
        <v>2.5</v>
      </c>
      <c r="K13" s="457">
        <f t="shared" si="1"/>
        <v>0.7142857142857143</v>
      </c>
      <c r="L13" s="365">
        <f>'JSW Energy'!J14</f>
        <v>1.0201684258076922</v>
      </c>
      <c r="M13" s="429">
        <f t="shared" si="2"/>
        <v>0.35536651600024111</v>
      </c>
    </row>
    <row r="14" spans="2:13" x14ac:dyDescent="0.2">
      <c r="B14" s="58" t="s">
        <v>511</v>
      </c>
      <c r="F14" s="10" t="s">
        <v>515</v>
      </c>
      <c r="G14" s="458">
        <v>13970.56</v>
      </c>
      <c r="H14" s="331">
        <f t="shared" si="0"/>
        <v>19137.753424657534</v>
      </c>
      <c r="I14" s="456">
        <v>0.25169999999999998</v>
      </c>
      <c r="J14" s="459">
        <v>0.73</v>
      </c>
      <c r="K14" s="457">
        <f t="shared" si="1"/>
        <v>0.4219653179190751</v>
      </c>
      <c r="L14" s="365">
        <f>'Torrent Power'!J14</f>
        <v>1.1182002030268856</v>
      </c>
      <c r="M14" s="429">
        <f t="shared" si="2"/>
        <v>0.72316487925172013</v>
      </c>
    </row>
    <row r="15" spans="2:13" x14ac:dyDescent="0.2">
      <c r="B15" s="58" t="s">
        <v>512</v>
      </c>
      <c r="F15" s="10" t="s">
        <v>515</v>
      </c>
      <c r="G15" s="458">
        <v>21670.57</v>
      </c>
      <c r="H15" s="331">
        <f t="shared" si="0"/>
        <v>12526.341040462428</v>
      </c>
      <c r="I15" s="456">
        <v>0.25169999999999998</v>
      </c>
      <c r="J15" s="459">
        <v>1.73</v>
      </c>
      <c r="K15" s="457">
        <f t="shared" si="1"/>
        <v>0.63369963369963367</v>
      </c>
      <c r="L15" s="365">
        <f>CESE!J14</f>
        <v>1.0327760227046454</v>
      </c>
      <c r="M15" s="429">
        <f t="shared" si="2"/>
        <v>0.45009782825573252</v>
      </c>
    </row>
    <row r="16" spans="2:13" x14ac:dyDescent="0.2">
      <c r="B16" s="58"/>
      <c r="M16" s="22"/>
    </row>
    <row r="17" spans="2:13" x14ac:dyDescent="0.2">
      <c r="B17" s="58"/>
      <c r="H17" s="368" t="s">
        <v>450</v>
      </c>
      <c r="I17" s="434">
        <f>AVERAGE(I11:I15)</f>
        <v>0.25169999999999998</v>
      </c>
      <c r="J17" s="436">
        <f>AVERAGE(J11:J15)</f>
        <v>1.6440000000000001</v>
      </c>
      <c r="K17" s="436">
        <f t="shared" ref="K17:M17" si="3">AVERAGE(K11:K15)</f>
        <v>0.59989383764411097</v>
      </c>
      <c r="L17" s="436">
        <f t="shared" si="3"/>
        <v>1.0486457942380036</v>
      </c>
      <c r="M17" s="477">
        <f t="shared" si="3"/>
        <v>0.49119593691144214</v>
      </c>
    </row>
    <row r="18" spans="2:13" x14ac:dyDescent="0.2">
      <c r="B18" s="58"/>
      <c r="H18" s="390" t="s">
        <v>451</v>
      </c>
      <c r="I18" s="435">
        <f>MEDIAN(I11:I15)</f>
        <v>0.25169999999999998</v>
      </c>
      <c r="J18" s="437">
        <f t="shared" ref="J18:M18" si="4">MEDIAN(J11:J15)</f>
        <v>1.73</v>
      </c>
      <c r="K18" s="437">
        <f t="shared" si="4"/>
        <v>0.63369963369963367</v>
      </c>
      <c r="L18" s="437">
        <f t="shared" si="4"/>
        <v>1.0327760227046454</v>
      </c>
      <c r="M18" s="478">
        <f t="shared" si="4"/>
        <v>0.45009782825573252</v>
      </c>
    </row>
    <row r="19" spans="2:13" x14ac:dyDescent="0.2">
      <c r="B19" s="24"/>
      <c r="C19" s="25"/>
      <c r="D19" s="25"/>
      <c r="E19" s="25"/>
      <c r="F19" s="25"/>
      <c r="G19" s="25"/>
      <c r="H19" s="25"/>
      <c r="I19" s="25"/>
      <c r="J19" s="25"/>
      <c r="K19" s="25"/>
      <c r="L19" s="25"/>
      <c r="M19" s="59"/>
    </row>
    <row r="21" spans="2:13" x14ac:dyDescent="0.2">
      <c r="B21" s="28" t="s">
        <v>452</v>
      </c>
      <c r="C21" s="13"/>
      <c r="D21" s="13"/>
      <c r="E21" s="13"/>
      <c r="F21" s="13"/>
      <c r="G21" s="14"/>
      <c r="I21" s="28" t="s">
        <v>453</v>
      </c>
      <c r="J21" s="13"/>
      <c r="K21" s="13"/>
      <c r="L21" s="13"/>
      <c r="M21" s="14"/>
    </row>
    <row r="22" spans="2:13" ht="3" customHeight="1" x14ac:dyDescent="0.2">
      <c r="B22" s="15"/>
      <c r="C22" s="7"/>
      <c r="D22" s="7"/>
      <c r="E22" s="7"/>
      <c r="F22" s="7"/>
      <c r="G22" s="16"/>
      <c r="I22" s="15"/>
      <c r="J22" s="7"/>
      <c r="K22" s="7"/>
      <c r="L22" s="7"/>
      <c r="M22" s="16"/>
    </row>
    <row r="23" spans="2:13" ht="3" customHeight="1" x14ac:dyDescent="0.2">
      <c r="B23" s="17"/>
      <c r="C23" s="8"/>
      <c r="D23" s="8"/>
      <c r="E23" s="8"/>
      <c r="F23" s="8"/>
      <c r="G23" s="18"/>
      <c r="I23" s="17"/>
      <c r="J23" s="8"/>
      <c r="K23" s="8"/>
      <c r="L23" s="8"/>
      <c r="M23" s="18"/>
    </row>
    <row r="24" spans="2:13" ht="3" customHeight="1" x14ac:dyDescent="0.2">
      <c r="B24" s="19"/>
      <c r="C24" s="9"/>
      <c r="D24" s="9"/>
      <c r="E24" s="9"/>
      <c r="F24" s="9"/>
      <c r="G24" s="20"/>
      <c r="I24" s="19"/>
      <c r="J24" s="9"/>
      <c r="K24" s="9"/>
      <c r="L24" s="9"/>
      <c r="M24" s="20"/>
    </row>
    <row r="25" spans="2:13" x14ac:dyDescent="0.2">
      <c r="B25" s="58" t="s">
        <v>454</v>
      </c>
      <c r="G25" s="460">
        <f>Scenarios!L44</f>
        <v>8.5000000000000006E-2</v>
      </c>
      <c r="I25" s="58" t="s">
        <v>456</v>
      </c>
      <c r="M25" s="413">
        <v>7.0730000000000001E-2</v>
      </c>
    </row>
    <row r="26" spans="2:13" x14ac:dyDescent="0.2">
      <c r="B26" s="58" t="s">
        <v>455</v>
      </c>
      <c r="G26" s="460">
        <f>Assumptions!H45</f>
        <v>0.25168000000000001</v>
      </c>
      <c r="I26" s="58" t="s">
        <v>457</v>
      </c>
      <c r="M26" s="439">
        <f>Rm!G7-WACC!M25</f>
        <v>5.8773341434880624E-2</v>
      </c>
    </row>
    <row r="27" spans="2:13" ht="17" x14ac:dyDescent="0.2">
      <c r="B27" s="461" t="s">
        <v>465</v>
      </c>
      <c r="C27" s="369"/>
      <c r="D27" s="369"/>
      <c r="E27" s="369"/>
      <c r="F27" s="369"/>
      <c r="G27" s="462">
        <f>G25*(1-G26)</f>
        <v>6.3607200000000003E-2</v>
      </c>
      <c r="I27" s="58" t="s">
        <v>458</v>
      </c>
      <c r="M27" s="429">
        <f ca="1">M38</f>
        <v>0.68793349475596521</v>
      </c>
    </row>
    <row r="28" spans="2:13" x14ac:dyDescent="0.2">
      <c r="B28" s="24"/>
      <c r="C28" s="25"/>
      <c r="D28" s="25"/>
      <c r="E28" s="25"/>
      <c r="F28" s="25"/>
      <c r="G28" s="59"/>
      <c r="I28" s="463" t="s">
        <v>453</v>
      </c>
      <c r="J28" s="464"/>
      <c r="K28" s="464"/>
      <c r="L28" s="464"/>
      <c r="M28" s="465">
        <f ca="1">M25+(M26*M27)</f>
        <v>0.11116215017178301</v>
      </c>
    </row>
    <row r="31" spans="2:13" x14ac:dyDescent="0.2">
      <c r="B31" s="28" t="s">
        <v>459</v>
      </c>
      <c r="C31" s="466"/>
      <c r="D31" s="466"/>
      <c r="E31" s="466"/>
      <c r="F31" s="466"/>
      <c r="G31" s="467"/>
      <c r="I31" s="28" t="s">
        <v>460</v>
      </c>
      <c r="J31" s="466"/>
      <c r="K31" s="466"/>
      <c r="L31" s="466"/>
      <c r="M31" s="467"/>
    </row>
    <row r="32" spans="2:13" ht="3" customHeight="1" x14ac:dyDescent="0.2">
      <c r="B32" s="15"/>
      <c r="C32" s="7"/>
      <c r="D32" s="7"/>
      <c r="E32" s="7"/>
      <c r="F32" s="7"/>
      <c r="G32" s="16"/>
      <c r="I32" s="15"/>
      <c r="J32" s="7"/>
      <c r="K32" s="7"/>
      <c r="L32" s="7"/>
      <c r="M32" s="16"/>
    </row>
    <row r="33" spans="2:13" ht="3" customHeight="1" x14ac:dyDescent="0.2">
      <c r="B33" s="17"/>
      <c r="C33" s="8"/>
      <c r="D33" s="8"/>
      <c r="E33" s="8"/>
      <c r="F33" s="8"/>
      <c r="G33" s="18"/>
      <c r="I33" s="17"/>
      <c r="J33" s="8"/>
      <c r="K33" s="8"/>
      <c r="L33" s="8"/>
      <c r="M33" s="18"/>
    </row>
    <row r="34" spans="2:13" ht="3" customHeight="1" x14ac:dyDescent="0.2">
      <c r="B34" s="19"/>
      <c r="C34" s="9"/>
      <c r="D34" s="9"/>
      <c r="E34" s="9"/>
      <c r="F34" s="9"/>
      <c r="G34" s="20"/>
      <c r="I34" s="19"/>
      <c r="J34" s="9"/>
      <c r="K34" s="9"/>
      <c r="L34" s="9"/>
      <c r="M34" s="20"/>
    </row>
    <row r="35" spans="2:13" x14ac:dyDescent="0.2">
      <c r="B35" s="58"/>
      <c r="F35" s="391" t="s">
        <v>461</v>
      </c>
      <c r="G35" s="468" t="s">
        <v>462</v>
      </c>
      <c r="I35" s="58" t="s">
        <v>463</v>
      </c>
      <c r="M35" s="429">
        <f>M18</f>
        <v>0.45009782825573252</v>
      </c>
    </row>
    <row r="36" spans="2:13" x14ac:dyDescent="0.2">
      <c r="B36" s="58" t="s">
        <v>444</v>
      </c>
      <c r="E36" s="331">
        <f>G10</f>
        <v>54671</v>
      </c>
      <c r="F36" s="365">
        <f>K10</f>
        <v>0.45708526896388429</v>
      </c>
      <c r="G36" s="469">
        <f ca="1">'Ratio Analysis'!N44</f>
        <v>0.41387710308947107</v>
      </c>
      <c r="I36" s="58" t="s">
        <v>464</v>
      </c>
      <c r="M36" s="429">
        <f ca="1">G39</f>
        <v>0.70612682983556763</v>
      </c>
    </row>
    <row r="37" spans="2:13" x14ac:dyDescent="0.2">
      <c r="B37" s="58" t="s">
        <v>445</v>
      </c>
      <c r="E37" s="331">
        <f>H10</f>
        <v>64936.880000000005</v>
      </c>
      <c r="F37" s="365">
        <f>1-F36</f>
        <v>0.54291473103611576</v>
      </c>
      <c r="G37" s="429">
        <f ca="1">1-G36</f>
        <v>0.58612289691052899</v>
      </c>
      <c r="I37" s="58" t="s">
        <v>455</v>
      </c>
      <c r="M37" s="439">
        <f>G26</f>
        <v>0.25168000000000001</v>
      </c>
    </row>
    <row r="38" spans="2:13" x14ac:dyDescent="0.2">
      <c r="B38" s="412"/>
      <c r="C38" s="369"/>
      <c r="D38" s="369"/>
      <c r="E38" s="369"/>
      <c r="F38" s="369"/>
      <c r="G38" s="470"/>
      <c r="I38" s="461" t="s">
        <v>460</v>
      </c>
      <c r="J38" s="369"/>
      <c r="K38" s="369"/>
      <c r="L38" s="369"/>
      <c r="M38" s="473">
        <f ca="1">M35*(1+(1-M37)*M36)</f>
        <v>0.68793349475596521</v>
      </c>
    </row>
    <row r="39" spans="2:13" x14ac:dyDescent="0.2">
      <c r="B39" s="24" t="s">
        <v>428</v>
      </c>
      <c r="C39" s="25"/>
      <c r="D39" s="25"/>
      <c r="E39" s="25"/>
      <c r="F39" s="471">
        <f>F36/F37</f>
        <v>0.84190986693539926</v>
      </c>
      <c r="G39" s="415">
        <f ca="1">G36/G37</f>
        <v>0.70612682983556763</v>
      </c>
      <c r="I39" s="24"/>
      <c r="J39" s="25"/>
      <c r="K39" s="25"/>
      <c r="L39" s="25"/>
      <c r="M39" s="59"/>
    </row>
    <row r="41" spans="2:13" x14ac:dyDescent="0.2">
      <c r="B41" s="28" t="s">
        <v>466</v>
      </c>
      <c r="C41" s="466"/>
      <c r="D41" s="466"/>
      <c r="E41" s="466"/>
      <c r="F41" s="466"/>
      <c r="G41" s="467"/>
    </row>
    <row r="42" spans="2:13" ht="3" customHeight="1" x14ac:dyDescent="0.2">
      <c r="B42" s="15"/>
      <c r="C42" s="7"/>
      <c r="D42" s="7"/>
      <c r="E42" s="7"/>
      <c r="F42" s="7"/>
      <c r="G42" s="16"/>
    </row>
    <row r="43" spans="2:13" ht="3" customHeight="1" x14ac:dyDescent="0.2">
      <c r="B43" s="17"/>
      <c r="C43" s="8"/>
      <c r="D43" s="8"/>
      <c r="E43" s="8"/>
      <c r="F43" s="8"/>
      <c r="G43" s="18"/>
    </row>
    <row r="44" spans="2:13" ht="3" customHeight="1" x14ac:dyDescent="0.2">
      <c r="B44" s="19"/>
      <c r="C44" s="9"/>
      <c r="D44" s="9"/>
      <c r="E44" s="9"/>
      <c r="F44" s="9"/>
      <c r="G44" s="20"/>
    </row>
    <row r="45" spans="2:13" x14ac:dyDescent="0.2">
      <c r="B45" s="58"/>
      <c r="F45" s="391" t="s">
        <v>467</v>
      </c>
      <c r="G45" s="468" t="s">
        <v>468</v>
      </c>
    </row>
    <row r="46" spans="2:13" x14ac:dyDescent="0.2">
      <c r="B46" s="58" t="s">
        <v>469</v>
      </c>
      <c r="F46" s="472">
        <f>G27</f>
        <v>6.3607200000000003E-2</v>
      </c>
      <c r="G46" s="429">
        <f ca="1">G36</f>
        <v>0.41387710308947107</v>
      </c>
    </row>
    <row r="47" spans="2:13" x14ac:dyDescent="0.2">
      <c r="B47" s="58" t="s">
        <v>445</v>
      </c>
      <c r="F47" s="472">
        <f ca="1">M28</f>
        <v>0.11116215017178301</v>
      </c>
      <c r="G47" s="429">
        <f ca="1">G37</f>
        <v>0.58612289691052899</v>
      </c>
    </row>
    <row r="48" spans="2:13" x14ac:dyDescent="0.2">
      <c r="B48" s="479" t="s">
        <v>470</v>
      </c>
      <c r="C48" s="480"/>
      <c r="D48" s="480"/>
      <c r="E48" s="480"/>
      <c r="F48" s="480"/>
      <c r="G48" s="465">
        <f ca="1">(F46*G46)+(F47*G47)</f>
        <v>9.1480245157121318E-2</v>
      </c>
    </row>
  </sheetData>
  <printOptions horizontalCentered="1" verticalCentered="1"/>
  <pageMargins left="0.25" right="0.25" top="0.25" bottom="0.25" header="0" footer="0"/>
  <pageSetup paperSize="9" scale="95" orientation="landscape" horizontalDpi="0" verticalDpi="0"/>
  <ignoredErrors>
    <ignoredError sqref="I17:I18"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6B565-A5C6-0248-B5BE-CA93E0C52F74}">
  <sheetPr>
    <pageSetUpPr fitToPage="1"/>
  </sheetPr>
  <dimension ref="A1:Q275"/>
  <sheetViews>
    <sheetView showGridLines="0" topLeftCell="C13" zoomScale="133" zoomScaleNormal="150" workbookViewId="0">
      <selection activeCell="V44" sqref="V44"/>
    </sheetView>
  </sheetViews>
  <sheetFormatPr baseColWidth="10" defaultRowHeight="15" x14ac:dyDescent="0.2"/>
  <cols>
    <col min="1" max="1" width="3.83203125" customWidth="1"/>
    <col min="2" max="3" width="11" bestFit="1" customWidth="1"/>
    <col min="4" max="4" width="15.83203125" customWidth="1"/>
    <col min="5" max="5" width="5.83203125" customWidth="1"/>
    <col min="6" max="7" width="11" bestFit="1" customWidth="1"/>
    <col min="8" max="8" width="5.83203125" customWidth="1"/>
    <col min="9" max="9" width="15.83203125" customWidth="1"/>
    <col min="10" max="13" width="11" bestFit="1" customWidth="1"/>
    <col min="14" max="14" width="13" bestFit="1" customWidth="1"/>
  </cols>
  <sheetData>
    <row r="1" spans="1:17" ht="21" x14ac:dyDescent="0.25">
      <c r="B1" s="381" t="str">
        <f>Cover!B11</f>
        <v>Adani Power</v>
      </c>
      <c r="C1" s="5"/>
      <c r="D1" s="5"/>
      <c r="E1" s="5"/>
      <c r="F1" s="5"/>
      <c r="G1" s="5"/>
      <c r="H1" s="5"/>
      <c r="I1" s="5"/>
      <c r="J1" s="5"/>
      <c r="K1" s="5"/>
      <c r="L1" s="5"/>
      <c r="M1" s="5"/>
      <c r="N1" s="5"/>
      <c r="O1" s="5"/>
      <c r="P1" s="5"/>
      <c r="Q1" s="5"/>
    </row>
    <row r="2" spans="1:17" ht="19" x14ac:dyDescent="0.25">
      <c r="B2" s="492" t="s">
        <v>508</v>
      </c>
      <c r="C2" s="491"/>
      <c r="D2" s="491"/>
      <c r="E2" s="491"/>
      <c r="F2" s="491"/>
      <c r="G2" s="491"/>
      <c r="H2" s="491"/>
      <c r="I2" s="491"/>
      <c r="J2" s="491"/>
      <c r="K2" s="491"/>
      <c r="L2" s="491"/>
      <c r="M2" s="491"/>
      <c r="N2" s="491"/>
      <c r="O2" s="491"/>
      <c r="P2" s="491"/>
      <c r="Q2" s="491"/>
    </row>
    <row r="3" spans="1:17" ht="3" customHeight="1" thickBot="1" x14ac:dyDescent="0.25">
      <c r="B3" s="208"/>
      <c r="C3" s="208"/>
      <c r="D3" s="208"/>
      <c r="E3" s="208"/>
      <c r="F3" s="208"/>
      <c r="G3" s="208"/>
      <c r="H3" s="208"/>
      <c r="I3" s="208"/>
      <c r="J3" s="208"/>
      <c r="K3" s="208"/>
      <c r="L3" s="208"/>
      <c r="M3" s="208"/>
      <c r="N3" s="208"/>
      <c r="O3" s="208"/>
      <c r="P3" s="208"/>
      <c r="Q3" s="208"/>
    </row>
    <row r="4" spans="1:17" ht="16" thickTop="1" x14ac:dyDescent="0.2"/>
    <row r="5" spans="1:17" x14ac:dyDescent="0.2">
      <c r="B5" s="410" t="s">
        <v>471</v>
      </c>
      <c r="C5" s="423"/>
      <c r="D5" s="411"/>
      <c r="F5" s="410" t="s">
        <v>475</v>
      </c>
      <c r="G5" s="411"/>
      <c r="I5" s="410" t="s">
        <v>502</v>
      </c>
      <c r="J5" s="411"/>
      <c r="K5" s="398"/>
    </row>
    <row r="6" spans="1:17" ht="3" customHeight="1" x14ac:dyDescent="0.2">
      <c r="A6" s="58"/>
      <c r="B6" s="7"/>
      <c r="C6" s="7"/>
      <c r="D6" s="7"/>
      <c r="F6" s="7"/>
      <c r="G6" s="7"/>
      <c r="I6" s="7"/>
      <c r="J6" s="7"/>
    </row>
    <row r="7" spans="1:17" ht="3" customHeight="1" x14ac:dyDescent="0.2">
      <c r="A7" s="58"/>
      <c r="B7" s="8"/>
      <c r="C7" s="8"/>
      <c r="D7" s="8"/>
      <c r="F7" s="8"/>
      <c r="G7" s="8"/>
      <c r="I7" s="8"/>
      <c r="J7" s="8"/>
    </row>
    <row r="8" spans="1:17" ht="3" customHeight="1" x14ac:dyDescent="0.2">
      <c r="A8" s="58"/>
      <c r="B8" s="9"/>
      <c r="C8" s="9"/>
      <c r="D8" s="9"/>
      <c r="F8" s="9"/>
      <c r="G8" s="9"/>
      <c r="I8" s="9"/>
      <c r="J8" s="9"/>
    </row>
    <row r="9" spans="1:17" x14ac:dyDescent="0.2">
      <c r="B9" s="424" t="s">
        <v>472</v>
      </c>
      <c r="C9" s="403" t="s">
        <v>473</v>
      </c>
      <c r="D9" s="425" t="s">
        <v>474</v>
      </c>
      <c r="E9" s="402"/>
      <c r="F9" s="416" t="s">
        <v>473</v>
      </c>
      <c r="G9" s="417" t="s">
        <v>476</v>
      </c>
      <c r="H9" s="392"/>
      <c r="I9" s="58" t="s">
        <v>503</v>
      </c>
      <c r="J9" s="429">
        <f>J17</f>
        <v>1.256461654721271</v>
      </c>
      <c r="L9" s="397"/>
    </row>
    <row r="10" spans="1:17" x14ac:dyDescent="0.2">
      <c r="B10" s="426">
        <v>44458</v>
      </c>
      <c r="C10" s="394">
        <v>19.170000000000002</v>
      </c>
      <c r="D10" s="419">
        <v>0</v>
      </c>
      <c r="E10" s="394"/>
      <c r="F10" s="418">
        <v>17853.2</v>
      </c>
      <c r="G10" s="419">
        <v>0</v>
      </c>
      <c r="H10" s="397"/>
      <c r="I10" s="58" t="s">
        <v>504</v>
      </c>
      <c r="J10" s="413">
        <v>0.75</v>
      </c>
      <c r="L10" s="397"/>
    </row>
    <row r="11" spans="1:17" x14ac:dyDescent="0.2">
      <c r="B11" s="426">
        <v>44465</v>
      </c>
      <c r="C11" s="394">
        <v>19.39</v>
      </c>
      <c r="D11" s="420">
        <f>C11/C10-1</f>
        <v>1.1476264997391628E-2</v>
      </c>
      <c r="E11" s="394"/>
      <c r="F11" s="418">
        <v>17532.05</v>
      </c>
      <c r="G11" s="420">
        <f>F11/F10-1</f>
        <v>-1.7988371832500683E-2</v>
      </c>
      <c r="H11" s="397"/>
      <c r="I11" s="58" t="s">
        <v>505</v>
      </c>
      <c r="J11" s="414">
        <v>1</v>
      </c>
      <c r="L11" s="397"/>
    </row>
    <row r="12" spans="1:17" x14ac:dyDescent="0.2">
      <c r="B12" s="426">
        <v>44472</v>
      </c>
      <c r="C12" s="394">
        <v>20.32</v>
      </c>
      <c r="D12" s="420">
        <f t="shared" ref="D12:D75" si="0">C12/C11-1</f>
        <v>4.7962867457452374E-2</v>
      </c>
      <c r="E12" s="394"/>
      <c r="F12" s="418">
        <v>17895.2</v>
      </c>
      <c r="G12" s="420">
        <f t="shared" ref="G12:G75" si="1">F12/F11-1</f>
        <v>2.0713493288006868E-2</v>
      </c>
      <c r="H12" s="397"/>
      <c r="I12" s="58" t="s">
        <v>506</v>
      </c>
      <c r="J12" s="413">
        <v>0.25</v>
      </c>
      <c r="L12" s="397"/>
    </row>
    <row r="13" spans="1:17" x14ac:dyDescent="0.2">
      <c r="B13" s="426">
        <v>44479</v>
      </c>
      <c r="C13" s="394">
        <v>22.4</v>
      </c>
      <c r="D13" s="420">
        <f t="shared" si="0"/>
        <v>0.10236220472440927</v>
      </c>
      <c r="E13" s="394"/>
      <c r="F13" s="418">
        <v>18338.55</v>
      </c>
      <c r="G13" s="420">
        <f t="shared" si="1"/>
        <v>2.4774799946354342E-2</v>
      </c>
      <c r="H13" s="397"/>
      <c r="I13" s="58"/>
      <c r="J13" s="22"/>
      <c r="L13" s="397"/>
    </row>
    <row r="14" spans="1:17" x14ac:dyDescent="0.2">
      <c r="B14" s="426">
        <v>44486</v>
      </c>
      <c r="C14" s="394">
        <v>23.41</v>
      </c>
      <c r="D14" s="420">
        <f t="shared" si="0"/>
        <v>4.5089285714285721E-2</v>
      </c>
      <c r="E14" s="394"/>
      <c r="F14" s="418">
        <v>18114.900000000001</v>
      </c>
      <c r="G14" s="420">
        <f t="shared" si="1"/>
        <v>-1.2195620700655052E-2</v>
      </c>
      <c r="H14" s="397"/>
      <c r="I14" s="431" t="s">
        <v>507</v>
      </c>
      <c r="J14" s="432">
        <f>(J9*J10)+(J11*J12)</f>
        <v>1.1923462410409533</v>
      </c>
      <c r="L14" s="397"/>
    </row>
    <row r="15" spans="1:17" x14ac:dyDescent="0.2">
      <c r="B15" s="426">
        <v>44493</v>
      </c>
      <c r="C15" s="394">
        <v>20.100000000000001</v>
      </c>
      <c r="D15" s="420">
        <f t="shared" si="0"/>
        <v>-0.14139256727894056</v>
      </c>
      <c r="E15" s="394"/>
      <c r="F15" s="418">
        <v>17671.650000000001</v>
      </c>
      <c r="G15" s="420">
        <f t="shared" si="1"/>
        <v>-2.4468807445804264E-2</v>
      </c>
      <c r="H15" s="397"/>
      <c r="L15" s="397"/>
    </row>
    <row r="16" spans="1:17" x14ac:dyDescent="0.2">
      <c r="B16" s="426">
        <v>44500</v>
      </c>
      <c r="C16" s="394">
        <v>21.08</v>
      </c>
      <c r="D16" s="420">
        <f t="shared" si="0"/>
        <v>4.8756218905472437E-2</v>
      </c>
      <c r="E16" s="394"/>
      <c r="F16" s="418">
        <v>17916.8</v>
      </c>
      <c r="G16" s="420">
        <f t="shared" si="1"/>
        <v>1.3872502001793796E-2</v>
      </c>
      <c r="H16" s="397"/>
      <c r="L16" s="397"/>
    </row>
    <row r="17" spans="2:17" ht="17" x14ac:dyDescent="0.2">
      <c r="B17" s="426">
        <v>44507</v>
      </c>
      <c r="C17" s="394">
        <v>21.69</v>
      </c>
      <c r="D17" s="420">
        <f t="shared" si="0"/>
        <v>2.8937381404174678E-2</v>
      </c>
      <c r="E17" s="394"/>
      <c r="F17" s="418">
        <v>18102.75</v>
      </c>
      <c r="G17" s="420">
        <f t="shared" si="1"/>
        <v>1.0378527415610073E-2</v>
      </c>
      <c r="H17" s="397"/>
      <c r="I17" s="433" t="s">
        <v>509</v>
      </c>
      <c r="J17" s="430">
        <f>J36</f>
        <v>1.256461654721271</v>
      </c>
      <c r="K17" s="267"/>
      <c r="L17" s="404"/>
      <c r="M17" s="267"/>
      <c r="N17" s="267"/>
      <c r="O17" s="267"/>
      <c r="P17" s="267"/>
      <c r="Q17" s="405"/>
    </row>
    <row r="18" spans="2:17" x14ac:dyDescent="0.2">
      <c r="B18" s="426">
        <v>44514</v>
      </c>
      <c r="C18" s="394">
        <v>20.58</v>
      </c>
      <c r="D18" s="420">
        <f t="shared" si="0"/>
        <v>-5.1175656984785767E-2</v>
      </c>
      <c r="E18" s="394"/>
      <c r="F18" s="418">
        <v>17764.8</v>
      </c>
      <c r="G18" s="420">
        <f t="shared" si="1"/>
        <v>-1.8668434353896535E-2</v>
      </c>
      <c r="H18" s="397"/>
      <c r="I18" s="58"/>
      <c r="L18" s="397"/>
      <c r="Q18" s="22"/>
    </row>
    <row r="19" spans="2:17" x14ac:dyDescent="0.2">
      <c r="B19" s="426">
        <v>44521</v>
      </c>
      <c r="C19" s="394">
        <v>20.25</v>
      </c>
      <c r="D19" s="420">
        <f t="shared" si="0"/>
        <v>-1.60349854227404E-2</v>
      </c>
      <c r="E19" s="394"/>
      <c r="F19" s="418">
        <v>17026.45</v>
      </c>
      <c r="G19" s="420">
        <f t="shared" si="1"/>
        <v>-4.1562528145546174E-2</v>
      </c>
      <c r="H19" s="397"/>
      <c r="I19" s="58" t="s">
        <v>477</v>
      </c>
      <c r="Q19" s="22"/>
    </row>
    <row r="20" spans="2:17" ht="16" thickBot="1" x14ac:dyDescent="0.25">
      <c r="B20" s="426">
        <v>44528</v>
      </c>
      <c r="C20" s="394">
        <v>20.16</v>
      </c>
      <c r="D20" s="420">
        <f t="shared" si="0"/>
        <v>-4.4444444444444731E-3</v>
      </c>
      <c r="E20" s="394"/>
      <c r="F20" s="418">
        <v>17196.7</v>
      </c>
      <c r="G20" s="420">
        <f t="shared" si="1"/>
        <v>9.9991483838381967E-3</v>
      </c>
      <c r="H20" s="397"/>
      <c r="I20" s="58"/>
      <c r="Q20" s="22"/>
    </row>
    <row r="21" spans="2:17" x14ac:dyDescent="0.2">
      <c r="B21" s="426">
        <v>44535</v>
      </c>
      <c r="C21" s="394">
        <v>20.81</v>
      </c>
      <c r="D21" s="420">
        <f t="shared" si="0"/>
        <v>3.2242063492063489E-2</v>
      </c>
      <c r="E21" s="394"/>
      <c r="F21" s="418">
        <v>17511.3</v>
      </c>
      <c r="G21" s="420">
        <f t="shared" si="1"/>
        <v>1.8294207609599322E-2</v>
      </c>
      <c r="H21" s="397"/>
      <c r="I21" s="406" t="s">
        <v>478</v>
      </c>
      <c r="J21" s="401"/>
      <c r="Q21" s="22"/>
    </row>
    <row r="22" spans="2:17" x14ac:dyDescent="0.2">
      <c r="B22" s="426">
        <v>44542</v>
      </c>
      <c r="C22" s="394">
        <v>20.02</v>
      </c>
      <c r="D22" s="420">
        <f t="shared" si="0"/>
        <v>-3.7962518020182578E-2</v>
      </c>
      <c r="E22" s="394"/>
      <c r="F22" s="418">
        <v>16985.2</v>
      </c>
      <c r="G22" s="420">
        <f t="shared" si="1"/>
        <v>-3.004345765305827E-2</v>
      </c>
      <c r="H22" s="397"/>
      <c r="I22" s="58" t="s">
        <v>479</v>
      </c>
      <c r="J22">
        <v>0.32939893706073081</v>
      </c>
      <c r="Q22" s="22"/>
    </row>
    <row r="23" spans="2:17" x14ac:dyDescent="0.2">
      <c r="B23" s="426">
        <v>44549</v>
      </c>
      <c r="C23" s="394">
        <v>19.73</v>
      </c>
      <c r="D23" s="420">
        <f t="shared" si="0"/>
        <v>-1.4485514485514495E-2</v>
      </c>
      <c r="E23" s="394"/>
      <c r="F23" s="418">
        <v>17003.75</v>
      </c>
      <c r="G23" s="420">
        <f t="shared" si="1"/>
        <v>1.0921272637354207E-3</v>
      </c>
      <c r="H23" s="397"/>
      <c r="I23" s="58" t="s">
        <v>480</v>
      </c>
      <c r="J23">
        <v>0.1085036597367393</v>
      </c>
      <c r="Q23" s="22"/>
    </row>
    <row r="24" spans="2:17" x14ac:dyDescent="0.2">
      <c r="B24" s="426">
        <v>44556</v>
      </c>
      <c r="C24" s="394">
        <v>19.940000000000001</v>
      </c>
      <c r="D24" s="420">
        <f t="shared" si="0"/>
        <v>1.0643689812468438E-2</v>
      </c>
      <c r="E24" s="394"/>
      <c r="F24" s="418">
        <v>17354.05</v>
      </c>
      <c r="G24" s="420">
        <f t="shared" si="1"/>
        <v>2.0601337940160169E-2</v>
      </c>
      <c r="H24" s="397"/>
      <c r="I24" s="58" t="s">
        <v>481</v>
      </c>
      <c r="J24">
        <v>0.10504824756517628</v>
      </c>
      <c r="Q24" s="22"/>
    </row>
    <row r="25" spans="2:17" x14ac:dyDescent="0.2">
      <c r="B25" s="426">
        <v>44563</v>
      </c>
      <c r="C25" s="394">
        <v>20.04</v>
      </c>
      <c r="D25" s="420">
        <f t="shared" si="0"/>
        <v>5.015045135406071E-3</v>
      </c>
      <c r="E25" s="394"/>
      <c r="F25" s="418">
        <v>17812.7</v>
      </c>
      <c r="G25" s="420">
        <f t="shared" si="1"/>
        <v>2.6428989198486796E-2</v>
      </c>
      <c r="H25" s="397"/>
      <c r="I25" s="58" t="s">
        <v>482</v>
      </c>
      <c r="J25">
        <v>6.5376334416539603E-2</v>
      </c>
      <c r="Q25" s="22"/>
    </row>
    <row r="26" spans="2:17" ht="16" thickBot="1" x14ac:dyDescent="0.25">
      <c r="B26" s="426">
        <v>44570</v>
      </c>
      <c r="C26" s="394">
        <v>23.43</v>
      </c>
      <c r="D26" s="420">
        <f t="shared" si="0"/>
        <v>0.16916167664670656</v>
      </c>
      <c r="E26" s="394"/>
      <c r="F26" s="418">
        <v>18255.75</v>
      </c>
      <c r="G26" s="420">
        <f t="shared" si="1"/>
        <v>2.4872703183683509E-2</v>
      </c>
      <c r="H26" s="397"/>
      <c r="I26" s="407" t="s">
        <v>483</v>
      </c>
      <c r="J26" s="399">
        <v>260</v>
      </c>
      <c r="Q26" s="22"/>
    </row>
    <row r="27" spans="2:17" x14ac:dyDescent="0.2">
      <c r="B27" s="426">
        <v>44577</v>
      </c>
      <c r="C27" s="394">
        <v>21.99</v>
      </c>
      <c r="D27" s="420">
        <f t="shared" si="0"/>
        <v>-6.145966709346995E-2</v>
      </c>
      <c r="E27" s="394"/>
      <c r="F27" s="418">
        <v>17617.150000000001</v>
      </c>
      <c r="G27" s="420">
        <f t="shared" si="1"/>
        <v>-3.4980759486736956E-2</v>
      </c>
      <c r="H27" s="397"/>
      <c r="I27" s="58"/>
      <c r="Q27" s="22"/>
    </row>
    <row r="28" spans="2:17" ht="16" thickBot="1" x14ac:dyDescent="0.25">
      <c r="B28" s="426">
        <v>44584</v>
      </c>
      <c r="C28" s="394">
        <v>21.15</v>
      </c>
      <c r="D28" s="420">
        <f t="shared" si="0"/>
        <v>-3.8199181446111896E-2</v>
      </c>
      <c r="E28" s="394"/>
      <c r="F28" s="418">
        <v>17101.95</v>
      </c>
      <c r="G28" s="420">
        <f t="shared" si="1"/>
        <v>-2.9244230763772805E-2</v>
      </c>
      <c r="H28" s="397"/>
      <c r="I28" s="58" t="s">
        <v>484</v>
      </c>
      <c r="Q28" s="22"/>
    </row>
    <row r="29" spans="2:17" x14ac:dyDescent="0.2">
      <c r="B29" s="426">
        <v>44591</v>
      </c>
      <c r="C29" s="394">
        <v>21.71</v>
      </c>
      <c r="D29" s="420">
        <f t="shared" si="0"/>
        <v>2.6477541371158431E-2</v>
      </c>
      <c r="E29" s="394"/>
      <c r="F29" s="418">
        <v>17516.3</v>
      </c>
      <c r="G29" s="420">
        <f t="shared" si="1"/>
        <v>2.4228231283567103E-2</v>
      </c>
      <c r="H29" s="397"/>
      <c r="I29" s="408"/>
      <c r="J29" s="400" t="s">
        <v>489</v>
      </c>
      <c r="K29" s="400" t="s">
        <v>490</v>
      </c>
      <c r="L29" s="400" t="s">
        <v>491</v>
      </c>
      <c r="M29" s="400" t="s">
        <v>492</v>
      </c>
      <c r="N29" s="400" t="s">
        <v>493</v>
      </c>
      <c r="Q29" s="22"/>
    </row>
    <row r="30" spans="2:17" x14ac:dyDescent="0.2">
      <c r="B30" s="426">
        <v>44598</v>
      </c>
      <c r="C30" s="394">
        <v>25</v>
      </c>
      <c r="D30" s="420">
        <f t="shared" si="0"/>
        <v>0.15154306771073234</v>
      </c>
      <c r="E30" s="394"/>
      <c r="F30" s="418">
        <v>17374.75</v>
      </c>
      <c r="G30" s="420">
        <f t="shared" si="1"/>
        <v>-8.0810445128252084E-3</v>
      </c>
      <c r="H30" s="397"/>
      <c r="I30" s="58" t="s">
        <v>485</v>
      </c>
      <c r="J30">
        <v>1</v>
      </c>
      <c r="K30">
        <v>0.13421024250268943</v>
      </c>
      <c r="L30">
        <v>0.13421024250268943</v>
      </c>
      <c r="M30">
        <v>31.401075862871259</v>
      </c>
      <c r="N30">
        <v>5.3780531638338101E-8</v>
      </c>
      <c r="Q30" s="22"/>
    </row>
    <row r="31" spans="2:17" x14ac:dyDescent="0.2">
      <c r="B31" s="426">
        <v>44605</v>
      </c>
      <c r="C31" s="394">
        <v>26.32</v>
      </c>
      <c r="D31" s="420">
        <f t="shared" si="0"/>
        <v>5.2799999999999958E-2</v>
      </c>
      <c r="E31" s="394"/>
      <c r="F31" s="418">
        <v>17276.3</v>
      </c>
      <c r="G31" s="420">
        <f t="shared" si="1"/>
        <v>-5.6662685794041101E-3</v>
      </c>
      <c r="H31" s="397"/>
      <c r="I31" s="58" t="s">
        <v>486</v>
      </c>
      <c r="J31">
        <v>258</v>
      </c>
      <c r="K31">
        <v>1.1027087962497508</v>
      </c>
      <c r="L31">
        <v>4.2740651017432203E-3</v>
      </c>
      <c r="Q31" s="22"/>
    </row>
    <row r="32" spans="2:17" ht="16" thickBot="1" x14ac:dyDescent="0.25">
      <c r="B32" s="426">
        <v>44612</v>
      </c>
      <c r="C32" s="394">
        <v>24.81</v>
      </c>
      <c r="D32" s="420">
        <f t="shared" si="0"/>
        <v>-5.7370820668693034E-2</v>
      </c>
      <c r="E32" s="394"/>
      <c r="F32" s="418">
        <v>16658.400000000001</v>
      </c>
      <c r="G32" s="420">
        <f t="shared" si="1"/>
        <v>-3.5765760029635829E-2</v>
      </c>
      <c r="H32" s="397"/>
      <c r="I32" s="407" t="s">
        <v>487</v>
      </c>
      <c r="J32" s="399">
        <v>259</v>
      </c>
      <c r="K32" s="399">
        <v>1.2369190387524402</v>
      </c>
      <c r="L32" s="399"/>
      <c r="M32" s="399"/>
      <c r="N32" s="399"/>
      <c r="Q32" s="22"/>
    </row>
    <row r="33" spans="2:17" ht="16" thickBot="1" x14ac:dyDescent="0.25">
      <c r="B33" s="426">
        <v>44619</v>
      </c>
      <c r="C33" s="394">
        <v>23.95</v>
      </c>
      <c r="D33" s="420">
        <f t="shared" si="0"/>
        <v>-3.4663442160419167E-2</v>
      </c>
      <c r="E33" s="394"/>
      <c r="F33" s="418">
        <v>16245.35</v>
      </c>
      <c r="G33" s="420">
        <f t="shared" si="1"/>
        <v>-2.4795298468040183E-2</v>
      </c>
      <c r="H33" s="397"/>
      <c r="I33" s="58"/>
      <c r="Q33" s="22"/>
    </row>
    <row r="34" spans="2:17" x14ac:dyDescent="0.2">
      <c r="B34" s="426">
        <v>44626</v>
      </c>
      <c r="C34" s="394">
        <v>24.36</v>
      </c>
      <c r="D34" s="420">
        <f t="shared" si="0"/>
        <v>1.7118997912317413E-2</v>
      </c>
      <c r="E34" s="394"/>
      <c r="F34" s="418">
        <v>16630.45</v>
      </c>
      <c r="G34" s="420">
        <f t="shared" si="1"/>
        <v>2.3705244885459553E-2</v>
      </c>
      <c r="H34" s="397"/>
      <c r="I34" s="408"/>
      <c r="J34" s="400" t="s">
        <v>494</v>
      </c>
      <c r="K34" s="400" t="s">
        <v>482</v>
      </c>
      <c r="L34" s="400" t="s">
        <v>495</v>
      </c>
      <c r="M34" s="400" t="s">
        <v>496</v>
      </c>
      <c r="N34" s="400" t="s">
        <v>497</v>
      </c>
      <c r="O34" s="400" t="s">
        <v>498</v>
      </c>
      <c r="P34" s="400" t="s">
        <v>499</v>
      </c>
      <c r="Q34" s="409" t="s">
        <v>500</v>
      </c>
    </row>
    <row r="35" spans="2:17" x14ac:dyDescent="0.2">
      <c r="B35" s="426">
        <v>44633</v>
      </c>
      <c r="C35" s="394">
        <v>25.02</v>
      </c>
      <c r="D35" s="420">
        <f t="shared" si="0"/>
        <v>2.7093596059113212E-2</v>
      </c>
      <c r="E35" s="394"/>
      <c r="F35" s="418">
        <v>17287.05</v>
      </c>
      <c r="G35" s="420">
        <f t="shared" si="1"/>
        <v>3.9481793938227705E-2</v>
      </c>
      <c r="H35" s="397"/>
      <c r="I35" s="58" t="s">
        <v>488</v>
      </c>
      <c r="J35">
        <v>9.9154452170555334E-3</v>
      </c>
      <c r="K35">
        <v>4.0627796051369456E-3</v>
      </c>
      <c r="L35">
        <v>2.4405570030228874</v>
      </c>
      <c r="M35">
        <v>1.5337984093407491E-2</v>
      </c>
      <c r="N35">
        <v>1.9150139866570136E-3</v>
      </c>
      <c r="O35">
        <v>1.7915876447454054E-2</v>
      </c>
      <c r="P35">
        <v>1.9150139866570136E-3</v>
      </c>
      <c r="Q35" s="22">
        <v>1.7915876447454054E-2</v>
      </c>
    </row>
    <row r="36" spans="2:17" x14ac:dyDescent="0.2">
      <c r="B36" s="426">
        <v>44640</v>
      </c>
      <c r="C36" s="394">
        <v>28.64</v>
      </c>
      <c r="D36" s="420">
        <f t="shared" si="0"/>
        <v>0.14468425259792173</v>
      </c>
      <c r="E36" s="394"/>
      <c r="F36" s="418">
        <v>17153</v>
      </c>
      <c r="G36" s="420">
        <f t="shared" si="1"/>
        <v>-7.7543594771808388E-3</v>
      </c>
      <c r="H36" s="397"/>
      <c r="I36" s="24" t="s">
        <v>501</v>
      </c>
      <c r="J36" s="25">
        <v>1.256461654721271</v>
      </c>
      <c r="K36" s="25">
        <v>0.22422135620386355</v>
      </c>
      <c r="L36" s="25">
        <v>5.6036662876077141</v>
      </c>
      <c r="M36" s="25">
        <v>5.3780531638339087E-8</v>
      </c>
      <c r="N36" s="25">
        <v>0.8149246492613762</v>
      </c>
      <c r="O36" s="25">
        <v>1.6979986601811659</v>
      </c>
      <c r="P36" s="25">
        <v>0.8149246492613762</v>
      </c>
      <c r="Q36" s="59">
        <v>1.6979986601811659</v>
      </c>
    </row>
    <row r="37" spans="2:17" x14ac:dyDescent="0.2">
      <c r="B37" s="426">
        <v>44647</v>
      </c>
      <c r="C37" s="394">
        <v>40.69</v>
      </c>
      <c r="D37" s="420">
        <f t="shared" si="0"/>
        <v>0.420740223463687</v>
      </c>
      <c r="E37" s="394"/>
      <c r="F37" s="418">
        <v>17670.45</v>
      </c>
      <c r="G37" s="420">
        <f t="shared" si="1"/>
        <v>3.0166734681979834E-2</v>
      </c>
      <c r="H37" s="397"/>
      <c r="I37" s="397"/>
      <c r="J37" s="397"/>
      <c r="K37" s="394"/>
      <c r="L37" s="396"/>
    </row>
    <row r="38" spans="2:17" x14ac:dyDescent="0.2">
      <c r="B38" s="426">
        <v>44654</v>
      </c>
      <c r="C38" s="394">
        <v>44.19</v>
      </c>
      <c r="D38" s="420">
        <f t="shared" si="0"/>
        <v>8.6016220201523774E-2</v>
      </c>
      <c r="E38" s="394"/>
      <c r="F38" s="418">
        <v>17784.349999999999</v>
      </c>
      <c r="G38" s="420">
        <f t="shared" si="1"/>
        <v>6.4457894394311932E-3</v>
      </c>
      <c r="H38" s="397"/>
      <c r="I38" s="397"/>
      <c r="J38" s="397"/>
      <c r="K38" s="394"/>
      <c r="L38" s="396"/>
    </row>
    <row r="39" spans="2:17" x14ac:dyDescent="0.2">
      <c r="B39" s="426">
        <v>44661</v>
      </c>
      <c r="C39" s="394">
        <v>44.65</v>
      </c>
      <c r="D39" s="420">
        <f t="shared" si="0"/>
        <v>1.0409594930979926E-2</v>
      </c>
      <c r="E39" s="394"/>
      <c r="F39" s="418">
        <v>17475.650000000001</v>
      </c>
      <c r="G39" s="420">
        <f t="shared" si="1"/>
        <v>-1.7357957979909133E-2</v>
      </c>
      <c r="H39" s="397"/>
      <c r="I39" s="397"/>
      <c r="J39" s="397"/>
      <c r="K39" s="394"/>
      <c r="L39" s="396"/>
    </row>
    <row r="40" spans="2:17" x14ac:dyDescent="0.2">
      <c r="B40" s="426">
        <v>44668</v>
      </c>
      <c r="C40" s="394">
        <v>51.82</v>
      </c>
      <c r="D40" s="420">
        <f t="shared" si="0"/>
        <v>0.16058230683090713</v>
      </c>
      <c r="E40" s="394"/>
      <c r="F40" s="418">
        <v>17171.95</v>
      </c>
      <c r="G40" s="420">
        <f t="shared" si="1"/>
        <v>-1.7378466609253462E-2</v>
      </c>
      <c r="H40" s="397"/>
      <c r="I40" s="397"/>
      <c r="J40" s="397"/>
      <c r="K40" s="394"/>
      <c r="L40" s="396"/>
    </row>
    <row r="41" spans="2:17" x14ac:dyDescent="0.2">
      <c r="B41" s="426">
        <v>44675</v>
      </c>
      <c r="C41" s="394">
        <v>56.07</v>
      </c>
      <c r="D41" s="420">
        <f t="shared" si="0"/>
        <v>8.2014666152064875E-2</v>
      </c>
      <c r="E41" s="394"/>
      <c r="F41" s="418">
        <v>17102.55</v>
      </c>
      <c r="G41" s="420">
        <f t="shared" si="1"/>
        <v>-4.0414746141237412E-3</v>
      </c>
      <c r="H41" s="397"/>
      <c r="I41" s="397"/>
      <c r="J41" s="397"/>
      <c r="K41" s="394"/>
      <c r="L41" s="396"/>
    </row>
    <row r="42" spans="2:17" x14ac:dyDescent="0.2">
      <c r="B42" s="426">
        <v>44682</v>
      </c>
      <c r="C42" s="394">
        <v>58.41</v>
      </c>
      <c r="D42" s="420">
        <f t="shared" si="0"/>
        <v>4.1733547351524791E-2</v>
      </c>
      <c r="E42" s="394"/>
      <c r="F42" s="418">
        <v>16411.25</v>
      </c>
      <c r="G42" s="420">
        <f t="shared" si="1"/>
        <v>-4.0420872910764682E-2</v>
      </c>
      <c r="H42" s="397"/>
      <c r="I42" s="397"/>
      <c r="J42" s="397"/>
      <c r="K42" s="394"/>
      <c r="L42" s="396"/>
    </row>
    <row r="43" spans="2:17" x14ac:dyDescent="0.2">
      <c r="B43" s="426">
        <v>44689</v>
      </c>
      <c r="C43" s="394">
        <v>50.93</v>
      </c>
      <c r="D43" s="420">
        <f t="shared" si="0"/>
        <v>-0.128060263653484</v>
      </c>
      <c r="E43" s="394"/>
      <c r="F43" s="418">
        <v>15782.15</v>
      </c>
      <c r="G43" s="420">
        <f t="shared" si="1"/>
        <v>-3.8333460278772158E-2</v>
      </c>
      <c r="H43" s="397"/>
      <c r="I43" s="397"/>
      <c r="J43" s="397"/>
      <c r="K43" s="394"/>
      <c r="L43" s="396"/>
    </row>
    <row r="44" spans="2:17" x14ac:dyDescent="0.2">
      <c r="B44" s="426">
        <v>44696</v>
      </c>
      <c r="C44" s="394">
        <v>62.45</v>
      </c>
      <c r="D44" s="420">
        <f t="shared" si="0"/>
        <v>0.22619281366581578</v>
      </c>
      <c r="E44" s="394"/>
      <c r="F44" s="418">
        <v>16266.15</v>
      </c>
      <c r="G44" s="420">
        <f t="shared" si="1"/>
        <v>3.0667557968971249E-2</v>
      </c>
      <c r="H44" s="397"/>
      <c r="I44" s="397"/>
      <c r="J44" s="397"/>
      <c r="K44" s="394"/>
      <c r="L44" s="396"/>
    </row>
    <row r="45" spans="2:17" x14ac:dyDescent="0.2">
      <c r="B45" s="426">
        <v>44703</v>
      </c>
      <c r="C45" s="394">
        <v>65.62</v>
      </c>
      <c r="D45" s="420">
        <f t="shared" si="0"/>
        <v>5.0760608486789538E-2</v>
      </c>
      <c r="E45" s="394"/>
      <c r="F45" s="418">
        <v>16352.45</v>
      </c>
      <c r="G45" s="420">
        <f t="shared" si="1"/>
        <v>5.3054963835941216E-3</v>
      </c>
      <c r="H45" s="397"/>
      <c r="I45" s="397"/>
      <c r="J45" s="397"/>
      <c r="K45" s="394"/>
      <c r="L45" s="396"/>
    </row>
    <row r="46" spans="2:17" x14ac:dyDescent="0.2">
      <c r="B46" s="426">
        <v>44710</v>
      </c>
      <c r="C46" s="394">
        <v>56.82</v>
      </c>
      <c r="D46" s="420">
        <f t="shared" si="0"/>
        <v>-0.13410545565376419</v>
      </c>
      <c r="E46" s="394"/>
      <c r="F46" s="418">
        <v>16584.3</v>
      </c>
      <c r="G46" s="420">
        <f t="shared" si="1"/>
        <v>1.4178303556959371E-2</v>
      </c>
      <c r="H46" s="397"/>
      <c r="I46" s="397"/>
      <c r="J46" s="397"/>
      <c r="K46" s="394"/>
      <c r="L46" s="396"/>
    </row>
    <row r="47" spans="2:17" x14ac:dyDescent="0.2">
      <c r="B47" s="426">
        <v>44717</v>
      </c>
      <c r="C47" s="394">
        <v>56.02</v>
      </c>
      <c r="D47" s="420">
        <f t="shared" si="0"/>
        <v>-1.4079549454417362E-2</v>
      </c>
      <c r="E47" s="394"/>
      <c r="F47" s="418">
        <v>16201.8</v>
      </c>
      <c r="G47" s="420">
        <f t="shared" si="1"/>
        <v>-2.3063982200032584E-2</v>
      </c>
      <c r="H47" s="397"/>
      <c r="I47" s="397"/>
      <c r="J47" s="397"/>
      <c r="K47" s="394"/>
      <c r="L47" s="396"/>
    </row>
    <row r="48" spans="2:17" x14ac:dyDescent="0.2">
      <c r="B48" s="426">
        <v>44724</v>
      </c>
      <c r="C48" s="394">
        <v>52.26</v>
      </c>
      <c r="D48" s="420">
        <f t="shared" si="0"/>
        <v>-6.7118886112102927E-2</v>
      </c>
      <c r="E48" s="394"/>
      <c r="F48" s="418">
        <v>15293.5</v>
      </c>
      <c r="G48" s="420">
        <f t="shared" si="1"/>
        <v>-5.6061672159883447E-2</v>
      </c>
      <c r="H48" s="397"/>
      <c r="I48" s="397"/>
      <c r="J48" s="397"/>
      <c r="K48" s="394"/>
      <c r="L48" s="396"/>
    </row>
    <row r="49" spans="2:12" x14ac:dyDescent="0.2">
      <c r="B49" s="426">
        <v>44731</v>
      </c>
      <c r="C49" s="394">
        <v>52.89</v>
      </c>
      <c r="D49" s="420">
        <f t="shared" si="0"/>
        <v>1.2055109070034487E-2</v>
      </c>
      <c r="E49" s="394"/>
      <c r="F49" s="418">
        <v>15699.25</v>
      </c>
      <c r="G49" s="420">
        <f t="shared" si="1"/>
        <v>2.6530879131657192E-2</v>
      </c>
      <c r="H49" s="397"/>
      <c r="I49" s="397"/>
      <c r="J49" s="397"/>
      <c r="K49" s="394"/>
      <c r="L49" s="396"/>
    </row>
    <row r="50" spans="2:12" x14ac:dyDescent="0.2">
      <c r="B50" s="426">
        <v>44738</v>
      </c>
      <c r="C50" s="394">
        <v>52.65</v>
      </c>
      <c r="D50" s="420">
        <f t="shared" si="0"/>
        <v>-4.5377197958026416E-3</v>
      </c>
      <c r="E50" s="394"/>
      <c r="F50" s="418">
        <v>15752.05</v>
      </c>
      <c r="G50" s="420">
        <f t="shared" si="1"/>
        <v>3.3632179881204483E-3</v>
      </c>
      <c r="H50" s="397"/>
      <c r="I50" s="397"/>
      <c r="J50" s="397"/>
      <c r="K50" s="394"/>
      <c r="L50" s="396"/>
    </row>
    <row r="51" spans="2:12" x14ac:dyDescent="0.2">
      <c r="B51" s="426">
        <v>44745</v>
      </c>
      <c r="C51" s="394">
        <v>54.31</v>
      </c>
      <c r="D51" s="420">
        <f t="shared" si="0"/>
        <v>3.1528964862298281E-2</v>
      </c>
      <c r="E51" s="394"/>
      <c r="F51" s="418">
        <v>16220.6</v>
      </c>
      <c r="G51" s="420">
        <f t="shared" si="1"/>
        <v>2.9745334734209372E-2</v>
      </c>
      <c r="H51" s="397"/>
      <c r="I51" s="397"/>
      <c r="J51" s="397"/>
      <c r="K51" s="394"/>
      <c r="L51" s="396"/>
    </row>
    <row r="52" spans="2:12" x14ac:dyDescent="0.2">
      <c r="B52" s="426">
        <v>44752</v>
      </c>
      <c r="C52" s="394">
        <v>57.35</v>
      </c>
      <c r="D52" s="420">
        <f t="shared" si="0"/>
        <v>5.5974958571165523E-2</v>
      </c>
      <c r="E52" s="394"/>
      <c r="F52" s="418">
        <v>16049.2</v>
      </c>
      <c r="G52" s="420">
        <f t="shared" si="1"/>
        <v>-1.0566810105668067E-2</v>
      </c>
      <c r="H52" s="397"/>
      <c r="I52" s="397"/>
      <c r="J52" s="397"/>
      <c r="K52" s="394"/>
      <c r="L52" s="396"/>
    </row>
    <row r="53" spans="2:12" x14ac:dyDescent="0.2">
      <c r="B53" s="426">
        <v>44759</v>
      </c>
      <c r="C53" s="394">
        <v>58.26</v>
      </c>
      <c r="D53" s="420">
        <f t="shared" si="0"/>
        <v>1.5867480383609411E-2</v>
      </c>
      <c r="E53" s="394"/>
      <c r="F53" s="418">
        <v>16719.45</v>
      </c>
      <c r="G53" s="420">
        <f t="shared" si="1"/>
        <v>4.1762206215886222E-2</v>
      </c>
      <c r="H53" s="397"/>
      <c r="I53" s="397"/>
      <c r="J53" s="397"/>
      <c r="K53" s="394"/>
      <c r="L53" s="396"/>
    </row>
    <row r="54" spans="2:12" x14ac:dyDescent="0.2">
      <c r="B54" s="426">
        <v>44766</v>
      </c>
      <c r="C54" s="394">
        <v>62.79</v>
      </c>
      <c r="D54" s="420">
        <f t="shared" si="0"/>
        <v>7.7754891864057596E-2</v>
      </c>
      <c r="E54" s="394"/>
      <c r="F54" s="418">
        <v>17158.25</v>
      </c>
      <c r="G54" s="420">
        <f t="shared" si="1"/>
        <v>2.6244882457257868E-2</v>
      </c>
      <c r="H54" s="397"/>
      <c r="I54" s="397"/>
      <c r="J54" s="397"/>
      <c r="K54" s="394"/>
      <c r="L54" s="396"/>
    </row>
    <row r="55" spans="2:12" x14ac:dyDescent="0.2">
      <c r="B55" s="426">
        <v>44773</v>
      </c>
      <c r="C55" s="394">
        <v>66.41</v>
      </c>
      <c r="D55" s="420">
        <f t="shared" si="0"/>
        <v>5.7652492435101177E-2</v>
      </c>
      <c r="E55" s="394"/>
      <c r="F55" s="418">
        <v>17397.5</v>
      </c>
      <c r="G55" s="420">
        <f t="shared" si="1"/>
        <v>1.3943729692713402E-2</v>
      </c>
      <c r="H55" s="397"/>
      <c r="I55" s="397"/>
      <c r="J55" s="397"/>
      <c r="K55" s="394"/>
      <c r="L55" s="396"/>
    </row>
    <row r="56" spans="2:12" x14ac:dyDescent="0.2">
      <c r="B56" s="426">
        <v>44780</v>
      </c>
      <c r="C56" s="394">
        <v>69.03</v>
      </c>
      <c r="D56" s="420">
        <f t="shared" si="0"/>
        <v>3.9451889775636184E-2</v>
      </c>
      <c r="E56" s="394"/>
      <c r="F56" s="418">
        <v>17698.150000000001</v>
      </c>
      <c r="G56" s="420">
        <f t="shared" si="1"/>
        <v>1.7281218565885936E-2</v>
      </c>
      <c r="H56" s="397"/>
      <c r="I56" s="397"/>
      <c r="J56" s="397"/>
      <c r="K56" s="394"/>
      <c r="L56" s="396"/>
    </row>
    <row r="57" spans="2:12" x14ac:dyDescent="0.2">
      <c r="B57" s="426">
        <v>44787</v>
      </c>
      <c r="C57" s="394">
        <v>82.39</v>
      </c>
      <c r="D57" s="420">
        <f t="shared" si="0"/>
        <v>0.19353904099666819</v>
      </c>
      <c r="E57" s="394"/>
      <c r="F57" s="418">
        <v>17758.45</v>
      </c>
      <c r="G57" s="420">
        <f t="shared" si="1"/>
        <v>3.4071357740781405E-3</v>
      </c>
      <c r="H57" s="397"/>
      <c r="I57" s="397"/>
      <c r="J57" s="397"/>
      <c r="K57" s="394"/>
      <c r="L57" s="396"/>
    </row>
    <row r="58" spans="2:12" x14ac:dyDescent="0.2">
      <c r="B58" s="426">
        <v>44794</v>
      </c>
      <c r="C58" s="394">
        <v>75.099999999999994</v>
      </c>
      <c r="D58" s="420">
        <f t="shared" si="0"/>
        <v>-8.848161184609793E-2</v>
      </c>
      <c r="E58" s="394"/>
      <c r="F58" s="418">
        <v>17558.900000000001</v>
      </c>
      <c r="G58" s="420">
        <f t="shared" si="1"/>
        <v>-1.1236904121699753E-2</v>
      </c>
      <c r="H58" s="397"/>
      <c r="I58" s="397"/>
      <c r="J58" s="397"/>
      <c r="K58" s="394"/>
      <c r="L58" s="396"/>
    </row>
    <row r="59" spans="2:12" x14ac:dyDescent="0.2">
      <c r="B59" s="426">
        <v>44801</v>
      </c>
      <c r="C59" s="394">
        <v>80.25</v>
      </c>
      <c r="D59" s="420">
        <f t="shared" si="0"/>
        <v>6.8575233022636572E-2</v>
      </c>
      <c r="E59" s="394"/>
      <c r="F59" s="418">
        <v>17539.45</v>
      </c>
      <c r="G59" s="420">
        <f t="shared" si="1"/>
        <v>-1.1077003684741848E-3</v>
      </c>
      <c r="H59" s="397"/>
      <c r="I59" s="397"/>
      <c r="J59" s="397"/>
      <c r="K59" s="394"/>
      <c r="L59" s="396"/>
    </row>
    <row r="60" spans="2:12" x14ac:dyDescent="0.2">
      <c r="B60" s="426">
        <v>44808</v>
      </c>
      <c r="C60" s="394">
        <v>79.400000000000006</v>
      </c>
      <c r="D60" s="420">
        <f t="shared" si="0"/>
        <v>-1.0591900311526459E-2</v>
      </c>
      <c r="E60" s="394"/>
      <c r="F60" s="418">
        <v>17833.349999999999</v>
      </c>
      <c r="G60" s="420">
        <f t="shared" si="1"/>
        <v>1.6756511749228098E-2</v>
      </c>
      <c r="H60" s="397"/>
      <c r="I60" s="397"/>
      <c r="J60" s="397"/>
      <c r="K60" s="394"/>
      <c r="L60" s="396"/>
    </row>
    <row r="61" spans="2:12" x14ac:dyDescent="0.2">
      <c r="B61" s="426">
        <v>44815</v>
      </c>
      <c r="C61" s="394">
        <v>77.55</v>
      </c>
      <c r="D61" s="420">
        <f t="shared" si="0"/>
        <v>-2.3299748110831353E-2</v>
      </c>
      <c r="E61" s="394"/>
      <c r="F61" s="418">
        <v>17530.849999999999</v>
      </c>
      <c r="G61" s="420">
        <f t="shared" si="1"/>
        <v>-1.6962600969531838E-2</v>
      </c>
      <c r="H61" s="397"/>
      <c r="I61" s="397"/>
      <c r="J61" s="397"/>
      <c r="K61" s="394"/>
      <c r="L61" s="396"/>
    </row>
    <row r="62" spans="2:12" x14ac:dyDescent="0.2">
      <c r="B62" s="426">
        <v>44822</v>
      </c>
      <c r="C62" s="394">
        <v>77.12</v>
      </c>
      <c r="D62" s="420">
        <f t="shared" si="0"/>
        <v>-5.544809800128836E-3</v>
      </c>
      <c r="E62" s="394"/>
      <c r="F62" s="418">
        <v>17327.349999999999</v>
      </c>
      <c r="G62" s="420">
        <f t="shared" si="1"/>
        <v>-1.1608107992481798E-2</v>
      </c>
      <c r="H62" s="397"/>
      <c r="I62" s="397"/>
      <c r="J62" s="397"/>
      <c r="K62" s="394"/>
      <c r="L62" s="396"/>
    </row>
    <row r="63" spans="2:12" x14ac:dyDescent="0.2">
      <c r="B63" s="426">
        <v>44829</v>
      </c>
      <c r="C63" s="394">
        <v>74.7</v>
      </c>
      <c r="D63" s="420">
        <f t="shared" si="0"/>
        <v>-3.1379668049792531E-2</v>
      </c>
      <c r="E63" s="394"/>
      <c r="F63" s="418">
        <v>17094.349999999999</v>
      </c>
      <c r="G63" s="420">
        <f t="shared" si="1"/>
        <v>-1.3446949475828696E-2</v>
      </c>
      <c r="H63" s="397"/>
      <c r="I63" s="397"/>
      <c r="J63" s="397"/>
      <c r="K63" s="394"/>
      <c r="L63" s="396"/>
    </row>
    <row r="64" spans="2:12" x14ac:dyDescent="0.2">
      <c r="B64" s="426">
        <v>44836</v>
      </c>
      <c r="C64" s="394">
        <v>74.569999999999993</v>
      </c>
      <c r="D64" s="420">
        <f t="shared" si="0"/>
        <v>-1.7402945113790258E-3</v>
      </c>
      <c r="E64" s="394"/>
      <c r="F64" s="418">
        <v>17314.650000000001</v>
      </c>
      <c r="G64" s="420">
        <f t="shared" si="1"/>
        <v>1.2887299019851861E-2</v>
      </c>
      <c r="H64" s="397"/>
      <c r="I64" s="397"/>
      <c r="J64" s="397"/>
      <c r="K64" s="394"/>
      <c r="L64" s="396"/>
    </row>
    <row r="65" spans="2:12" x14ac:dyDescent="0.2">
      <c r="B65" s="426">
        <v>44843</v>
      </c>
      <c r="C65" s="394">
        <v>66.25</v>
      </c>
      <c r="D65" s="420">
        <f t="shared" si="0"/>
        <v>-0.11157301864020375</v>
      </c>
      <c r="E65" s="394"/>
      <c r="F65" s="418">
        <v>17185.7</v>
      </c>
      <c r="G65" s="420">
        <f t="shared" si="1"/>
        <v>-7.4474505693156168E-3</v>
      </c>
      <c r="H65" s="397"/>
      <c r="I65" s="397"/>
      <c r="J65" s="397"/>
      <c r="K65" s="394"/>
      <c r="L65" s="396"/>
    </row>
    <row r="66" spans="2:12" x14ac:dyDescent="0.2">
      <c r="B66" s="426">
        <v>44850</v>
      </c>
      <c r="C66" s="394">
        <v>66.44</v>
      </c>
      <c r="D66" s="420">
        <f t="shared" si="0"/>
        <v>2.8679245283018684E-3</v>
      </c>
      <c r="E66" s="394"/>
      <c r="F66" s="418">
        <v>17576.3</v>
      </c>
      <c r="G66" s="420">
        <f t="shared" si="1"/>
        <v>2.2728198444055048E-2</v>
      </c>
      <c r="H66" s="397"/>
      <c r="I66" s="397"/>
      <c r="J66" s="397"/>
      <c r="K66" s="394"/>
      <c r="L66" s="396"/>
    </row>
    <row r="67" spans="2:12" x14ac:dyDescent="0.2">
      <c r="B67" s="426">
        <v>44857</v>
      </c>
      <c r="C67" s="394">
        <v>66.66</v>
      </c>
      <c r="D67" s="420">
        <f t="shared" si="0"/>
        <v>3.3112582781456013E-3</v>
      </c>
      <c r="E67" s="394"/>
      <c r="F67" s="418">
        <v>17786.8</v>
      </c>
      <c r="G67" s="420">
        <f t="shared" si="1"/>
        <v>1.1976354522851729E-2</v>
      </c>
      <c r="H67" s="397"/>
      <c r="I67" s="397"/>
      <c r="J67" s="397"/>
      <c r="K67" s="394"/>
      <c r="L67" s="396"/>
    </row>
    <row r="68" spans="2:12" x14ac:dyDescent="0.2">
      <c r="B68" s="426">
        <v>44864</v>
      </c>
      <c r="C68" s="394">
        <v>69.37</v>
      </c>
      <c r="D68" s="420">
        <f t="shared" si="0"/>
        <v>4.0654065406540818E-2</v>
      </c>
      <c r="E68" s="394"/>
      <c r="F68" s="418">
        <v>18117.150000000001</v>
      </c>
      <c r="G68" s="420">
        <f t="shared" si="1"/>
        <v>1.8572761823374861E-2</v>
      </c>
      <c r="H68" s="397"/>
      <c r="I68" s="397"/>
      <c r="J68" s="397"/>
      <c r="K68" s="394"/>
      <c r="L68" s="396"/>
    </row>
    <row r="69" spans="2:12" x14ac:dyDescent="0.2">
      <c r="B69" s="426">
        <v>44871</v>
      </c>
      <c r="C69" s="394">
        <v>72.040000000000006</v>
      </c>
      <c r="D69" s="420">
        <f t="shared" si="0"/>
        <v>3.8489260487242438E-2</v>
      </c>
      <c r="E69" s="394"/>
      <c r="F69" s="418">
        <v>18349.7</v>
      </c>
      <c r="G69" s="420">
        <f t="shared" si="1"/>
        <v>1.2835904101914375E-2</v>
      </c>
      <c r="H69" s="397"/>
      <c r="I69" s="397"/>
      <c r="J69" s="397"/>
      <c r="K69" s="394"/>
      <c r="L69" s="396"/>
    </row>
    <row r="70" spans="2:12" x14ac:dyDescent="0.2">
      <c r="B70" s="426">
        <v>44878</v>
      </c>
      <c r="C70" s="394">
        <v>67.3</v>
      </c>
      <c r="D70" s="420">
        <f t="shared" si="0"/>
        <v>-6.5796779566907437E-2</v>
      </c>
      <c r="E70" s="394"/>
      <c r="F70" s="418">
        <v>18307.650000000001</v>
      </c>
      <c r="G70" s="420">
        <f t="shared" si="1"/>
        <v>-2.2915905982113793E-3</v>
      </c>
      <c r="H70" s="397"/>
      <c r="I70" s="397"/>
      <c r="J70" s="397"/>
      <c r="K70" s="394"/>
      <c r="L70" s="396"/>
    </row>
    <row r="71" spans="2:12" x14ac:dyDescent="0.2">
      <c r="B71" s="426">
        <v>44885</v>
      </c>
      <c r="C71" s="394">
        <v>64.790000000000006</v>
      </c>
      <c r="D71" s="420">
        <f t="shared" si="0"/>
        <v>-3.7295690936106851E-2</v>
      </c>
      <c r="E71" s="394"/>
      <c r="F71" s="418">
        <v>18512.75</v>
      </c>
      <c r="G71" s="420">
        <f t="shared" si="1"/>
        <v>1.1202967065680136E-2</v>
      </c>
      <c r="H71" s="397"/>
      <c r="I71" s="397"/>
      <c r="J71" s="397"/>
      <c r="K71" s="394"/>
      <c r="L71" s="396"/>
    </row>
    <row r="72" spans="2:12" x14ac:dyDescent="0.2">
      <c r="B72" s="426">
        <v>44892</v>
      </c>
      <c r="C72" s="394">
        <v>65.06</v>
      </c>
      <c r="D72" s="420">
        <f t="shared" si="0"/>
        <v>4.1673097700261064E-3</v>
      </c>
      <c r="E72" s="394"/>
      <c r="F72" s="418">
        <v>18696.099999999999</v>
      </c>
      <c r="G72" s="420">
        <f t="shared" si="1"/>
        <v>9.9039850913558158E-3</v>
      </c>
      <c r="H72" s="397"/>
      <c r="I72" s="397"/>
      <c r="J72" s="397"/>
      <c r="K72" s="394"/>
      <c r="L72" s="396"/>
    </row>
    <row r="73" spans="2:12" x14ac:dyDescent="0.2">
      <c r="B73" s="426">
        <v>44899</v>
      </c>
      <c r="C73" s="394">
        <v>63.21</v>
      </c>
      <c r="D73" s="420">
        <f t="shared" si="0"/>
        <v>-2.843529050107596E-2</v>
      </c>
      <c r="E73" s="394"/>
      <c r="F73" s="418">
        <v>18496.599999999999</v>
      </c>
      <c r="G73" s="420">
        <f t="shared" si="1"/>
        <v>-1.0670674632677457E-2</v>
      </c>
      <c r="H73" s="397"/>
      <c r="I73" s="397"/>
      <c r="J73" s="397"/>
      <c r="K73" s="394"/>
      <c r="L73" s="396"/>
    </row>
    <row r="74" spans="2:12" x14ac:dyDescent="0.2">
      <c r="B74" s="426">
        <v>44906</v>
      </c>
      <c r="C74" s="394">
        <v>61.58</v>
      </c>
      <c r="D74" s="420">
        <f t="shared" si="0"/>
        <v>-2.5787059009650393E-2</v>
      </c>
      <c r="E74" s="394"/>
      <c r="F74" s="418">
        <v>18269</v>
      </c>
      <c r="G74" s="420">
        <f t="shared" si="1"/>
        <v>-1.2304964155574472E-2</v>
      </c>
      <c r="H74" s="397"/>
      <c r="I74" s="397"/>
      <c r="J74" s="397"/>
      <c r="K74" s="394"/>
      <c r="L74" s="396"/>
    </row>
    <row r="75" spans="2:12" x14ac:dyDescent="0.2">
      <c r="B75" s="426">
        <v>44913</v>
      </c>
      <c r="C75" s="394">
        <v>52.44</v>
      </c>
      <c r="D75" s="420">
        <f t="shared" si="0"/>
        <v>-0.1484248132510555</v>
      </c>
      <c r="E75" s="394"/>
      <c r="F75" s="418">
        <v>17806.8</v>
      </c>
      <c r="G75" s="420">
        <f t="shared" si="1"/>
        <v>-2.5299687996058973E-2</v>
      </c>
      <c r="H75" s="397"/>
      <c r="I75" s="397"/>
      <c r="J75" s="397"/>
      <c r="K75" s="394"/>
      <c r="L75" s="396"/>
    </row>
    <row r="76" spans="2:12" x14ac:dyDescent="0.2">
      <c r="B76" s="426">
        <v>44920</v>
      </c>
      <c r="C76" s="394">
        <v>59.91</v>
      </c>
      <c r="D76" s="420">
        <f t="shared" ref="D76:D139" si="2">C76/C75-1</f>
        <v>0.14244851258581237</v>
      </c>
      <c r="E76" s="394"/>
      <c r="F76" s="418">
        <v>18105.3</v>
      </c>
      <c r="G76" s="420">
        <f t="shared" ref="G76:G139" si="3">F76/F75-1</f>
        <v>1.6763258979715534E-2</v>
      </c>
      <c r="H76" s="397"/>
      <c r="I76" s="397"/>
      <c r="J76" s="397"/>
      <c r="K76" s="394"/>
      <c r="L76" s="396"/>
    </row>
    <row r="77" spans="2:12" x14ac:dyDescent="0.2">
      <c r="B77" s="426">
        <v>44927</v>
      </c>
      <c r="C77" s="394">
        <v>56.68</v>
      </c>
      <c r="D77" s="420">
        <f t="shared" si="2"/>
        <v>-5.3914204640293728E-2</v>
      </c>
      <c r="E77" s="394"/>
      <c r="F77" s="418">
        <v>17859.45</v>
      </c>
      <c r="G77" s="420">
        <f t="shared" si="3"/>
        <v>-1.3578896787128536E-2</v>
      </c>
      <c r="H77" s="397"/>
      <c r="I77" s="397"/>
      <c r="J77" s="397"/>
      <c r="K77" s="394"/>
      <c r="L77" s="396"/>
    </row>
    <row r="78" spans="2:12" x14ac:dyDescent="0.2">
      <c r="B78" s="426">
        <v>44934</v>
      </c>
      <c r="C78" s="394">
        <v>55.74</v>
      </c>
      <c r="D78" s="420">
        <f t="shared" si="2"/>
        <v>-1.6584333098094484E-2</v>
      </c>
      <c r="E78" s="394"/>
      <c r="F78" s="418">
        <v>17956.599999999999</v>
      </c>
      <c r="G78" s="420">
        <f t="shared" si="3"/>
        <v>5.4396971911228054E-3</v>
      </c>
      <c r="H78" s="397"/>
      <c r="I78" s="397"/>
      <c r="J78" s="397"/>
      <c r="K78" s="394"/>
      <c r="L78" s="396"/>
    </row>
    <row r="79" spans="2:12" x14ac:dyDescent="0.2">
      <c r="B79" s="426">
        <v>44941</v>
      </c>
      <c r="C79" s="394">
        <v>55.01</v>
      </c>
      <c r="D79" s="420">
        <f t="shared" si="2"/>
        <v>-1.309651955507718E-2</v>
      </c>
      <c r="E79" s="394"/>
      <c r="F79" s="418">
        <v>18027.650000000001</v>
      </c>
      <c r="G79" s="420">
        <f t="shared" si="3"/>
        <v>3.9567624160476988E-3</v>
      </c>
      <c r="H79" s="397"/>
      <c r="I79" s="397"/>
      <c r="J79" s="397"/>
      <c r="K79" s="394"/>
      <c r="L79" s="396"/>
    </row>
    <row r="80" spans="2:12" x14ac:dyDescent="0.2">
      <c r="B80" s="426">
        <v>44948</v>
      </c>
      <c r="C80" s="394">
        <v>49.59</v>
      </c>
      <c r="D80" s="420">
        <f t="shared" si="2"/>
        <v>-9.8527540447191364E-2</v>
      </c>
      <c r="E80" s="394"/>
      <c r="F80" s="418">
        <v>17604.349999999999</v>
      </c>
      <c r="G80" s="420">
        <f t="shared" si="3"/>
        <v>-2.3480597859399488E-2</v>
      </c>
      <c r="H80" s="397"/>
      <c r="I80" s="397"/>
      <c r="J80" s="397"/>
      <c r="K80" s="394"/>
      <c r="L80" s="396"/>
    </row>
    <row r="81" spans="2:12" x14ac:dyDescent="0.2">
      <c r="B81" s="426">
        <v>44955</v>
      </c>
      <c r="C81" s="394">
        <v>38.39</v>
      </c>
      <c r="D81" s="420">
        <f t="shared" si="2"/>
        <v>-0.22585198628755798</v>
      </c>
      <c r="E81" s="394"/>
      <c r="F81" s="418">
        <v>17854.05</v>
      </c>
      <c r="G81" s="420">
        <f t="shared" si="3"/>
        <v>1.4183994296864233E-2</v>
      </c>
      <c r="H81" s="397"/>
      <c r="I81" s="397"/>
      <c r="J81" s="397"/>
      <c r="K81" s="394"/>
      <c r="L81" s="396"/>
    </row>
    <row r="82" spans="2:12" x14ac:dyDescent="0.2">
      <c r="B82" s="426">
        <v>44962</v>
      </c>
      <c r="C82" s="394">
        <v>32.840000000000003</v>
      </c>
      <c r="D82" s="420">
        <f t="shared" si="2"/>
        <v>-0.14456889815055995</v>
      </c>
      <c r="E82" s="394"/>
      <c r="F82" s="418">
        <v>17856.5</v>
      </c>
      <c r="G82" s="420">
        <f t="shared" si="3"/>
        <v>1.372237671564136E-4</v>
      </c>
      <c r="H82" s="397"/>
      <c r="I82" s="397"/>
      <c r="J82" s="397"/>
      <c r="K82" s="394"/>
      <c r="L82" s="396"/>
    </row>
    <row r="83" spans="2:12" x14ac:dyDescent="0.2">
      <c r="B83" s="426">
        <v>44969</v>
      </c>
      <c r="C83" s="394">
        <v>31.03</v>
      </c>
      <c r="D83" s="420">
        <f t="shared" si="2"/>
        <v>-5.5115712545676043E-2</v>
      </c>
      <c r="E83" s="394"/>
      <c r="F83" s="418">
        <v>17944.2</v>
      </c>
      <c r="G83" s="420">
        <f t="shared" si="3"/>
        <v>4.9113768095652155E-3</v>
      </c>
      <c r="H83" s="397"/>
      <c r="I83" s="397"/>
      <c r="J83" s="397"/>
      <c r="K83" s="394"/>
      <c r="L83" s="396"/>
    </row>
    <row r="84" spans="2:12" x14ac:dyDescent="0.2">
      <c r="B84" s="426">
        <v>44976</v>
      </c>
      <c r="C84" s="394">
        <v>29.33</v>
      </c>
      <c r="D84" s="420">
        <f t="shared" si="2"/>
        <v>-5.4785691266516334E-2</v>
      </c>
      <c r="E84" s="394"/>
      <c r="F84" s="418">
        <v>17465.8</v>
      </c>
      <c r="G84" s="420">
        <f t="shared" si="3"/>
        <v>-2.6660425095574092E-2</v>
      </c>
      <c r="H84" s="397"/>
      <c r="I84" s="397"/>
      <c r="J84" s="397"/>
      <c r="K84" s="394"/>
      <c r="L84" s="396"/>
    </row>
    <row r="85" spans="2:12" x14ac:dyDescent="0.2">
      <c r="B85" s="426">
        <v>44983</v>
      </c>
      <c r="C85" s="394">
        <v>33.86</v>
      </c>
      <c r="D85" s="420">
        <f t="shared" si="2"/>
        <v>0.15444936924650543</v>
      </c>
      <c r="E85" s="394"/>
      <c r="F85" s="418">
        <v>17594.349999999999</v>
      </c>
      <c r="G85" s="420">
        <f t="shared" si="3"/>
        <v>7.360098020130712E-3</v>
      </c>
      <c r="H85" s="397"/>
      <c r="I85" s="397"/>
      <c r="J85" s="397"/>
      <c r="K85" s="394"/>
      <c r="L85" s="396"/>
    </row>
    <row r="86" spans="2:12" x14ac:dyDescent="0.2">
      <c r="B86" s="426">
        <v>44990</v>
      </c>
      <c r="C86" s="394">
        <v>40.98</v>
      </c>
      <c r="D86" s="420">
        <f t="shared" si="2"/>
        <v>0.21027761370348497</v>
      </c>
      <c r="E86" s="394"/>
      <c r="F86" s="418">
        <v>17412.900000000001</v>
      </c>
      <c r="G86" s="420">
        <f t="shared" si="3"/>
        <v>-1.0312969788596749E-2</v>
      </c>
      <c r="H86" s="397"/>
      <c r="I86" s="397"/>
      <c r="J86" s="397"/>
      <c r="K86" s="394"/>
      <c r="L86" s="396"/>
    </row>
    <row r="87" spans="2:12" x14ac:dyDescent="0.2">
      <c r="B87" s="426">
        <v>44997</v>
      </c>
      <c r="C87" s="394">
        <v>39.99</v>
      </c>
      <c r="D87" s="420">
        <f t="shared" si="2"/>
        <v>-2.4158125915080375E-2</v>
      </c>
      <c r="E87" s="394"/>
      <c r="F87" s="418">
        <v>17100.05</v>
      </c>
      <c r="G87" s="420">
        <f t="shared" si="3"/>
        <v>-1.796656501788918E-2</v>
      </c>
      <c r="H87" s="397"/>
      <c r="I87" s="397"/>
      <c r="J87" s="397"/>
      <c r="K87" s="394"/>
      <c r="L87" s="396"/>
    </row>
    <row r="88" spans="2:12" x14ac:dyDescent="0.2">
      <c r="B88" s="426">
        <v>45004</v>
      </c>
      <c r="C88" s="394">
        <v>38.520000000000003</v>
      </c>
      <c r="D88" s="420">
        <f t="shared" si="2"/>
        <v>-3.6759189797449299E-2</v>
      </c>
      <c r="E88" s="394"/>
      <c r="F88" s="418">
        <v>16945.05</v>
      </c>
      <c r="G88" s="420">
        <f t="shared" si="3"/>
        <v>-9.0643009815760678E-3</v>
      </c>
      <c r="H88" s="397"/>
      <c r="I88" s="397"/>
      <c r="J88" s="397"/>
      <c r="K88" s="394"/>
      <c r="L88" s="396"/>
    </row>
    <row r="89" spans="2:12" x14ac:dyDescent="0.2">
      <c r="B89" s="426">
        <v>45011</v>
      </c>
      <c r="C89" s="394">
        <v>38.32</v>
      </c>
      <c r="D89" s="420">
        <f t="shared" si="2"/>
        <v>-5.1921079958463512E-3</v>
      </c>
      <c r="E89" s="394"/>
      <c r="F89" s="418">
        <v>17359.75</v>
      </c>
      <c r="G89" s="420">
        <f t="shared" si="3"/>
        <v>2.4473223743807226E-2</v>
      </c>
      <c r="H89" s="397"/>
      <c r="I89" s="397"/>
      <c r="J89" s="397"/>
      <c r="K89" s="394"/>
      <c r="L89" s="396"/>
    </row>
    <row r="90" spans="2:12" x14ac:dyDescent="0.2">
      <c r="B90" s="426">
        <v>45018</v>
      </c>
      <c r="C90" s="394">
        <v>38.44</v>
      </c>
      <c r="D90" s="420">
        <f t="shared" si="2"/>
        <v>3.1315240083507057E-3</v>
      </c>
      <c r="E90" s="394"/>
      <c r="F90" s="418">
        <v>17599.150000000001</v>
      </c>
      <c r="G90" s="420">
        <f t="shared" si="3"/>
        <v>1.3790521176860304E-2</v>
      </c>
      <c r="H90" s="397"/>
      <c r="I90" s="397"/>
      <c r="J90" s="397"/>
      <c r="K90" s="394"/>
      <c r="L90" s="396"/>
    </row>
    <row r="91" spans="2:12" x14ac:dyDescent="0.2">
      <c r="B91" s="426">
        <v>45025</v>
      </c>
      <c r="C91" s="394">
        <v>37.83</v>
      </c>
      <c r="D91" s="420">
        <f t="shared" si="2"/>
        <v>-1.5868886576482777E-2</v>
      </c>
      <c r="E91" s="394"/>
      <c r="F91" s="418">
        <v>17828</v>
      </c>
      <c r="G91" s="420">
        <f t="shared" si="3"/>
        <v>1.3003468917532901E-2</v>
      </c>
      <c r="H91" s="397"/>
      <c r="I91" s="397"/>
      <c r="J91" s="397"/>
      <c r="K91" s="394"/>
      <c r="L91" s="396"/>
    </row>
    <row r="92" spans="2:12" x14ac:dyDescent="0.2">
      <c r="B92" s="426">
        <v>45032</v>
      </c>
      <c r="C92" s="394">
        <v>39.85</v>
      </c>
      <c r="D92" s="420">
        <f t="shared" si="2"/>
        <v>5.3396775046259615E-2</v>
      </c>
      <c r="E92" s="394"/>
      <c r="F92" s="418">
        <v>17624.05</v>
      </c>
      <c r="G92" s="420">
        <f t="shared" si="3"/>
        <v>-1.143986986762402E-2</v>
      </c>
      <c r="H92" s="397"/>
      <c r="I92" s="397"/>
      <c r="J92" s="397"/>
      <c r="K92" s="394"/>
      <c r="L92" s="396"/>
    </row>
    <row r="93" spans="2:12" x14ac:dyDescent="0.2">
      <c r="B93" s="426">
        <v>45039</v>
      </c>
      <c r="C93" s="394">
        <v>44.97</v>
      </c>
      <c r="D93" s="420">
        <f t="shared" si="2"/>
        <v>0.12848180677540766</v>
      </c>
      <c r="E93" s="394"/>
      <c r="F93" s="418">
        <v>18065</v>
      </c>
      <c r="G93" s="420">
        <f t="shared" si="3"/>
        <v>2.5019788300645995E-2</v>
      </c>
      <c r="H93" s="397"/>
      <c r="I93" s="397"/>
      <c r="J93" s="397"/>
      <c r="K93" s="394"/>
      <c r="L93" s="396"/>
    </row>
    <row r="94" spans="2:12" x14ac:dyDescent="0.2">
      <c r="B94" s="426">
        <v>45046</v>
      </c>
      <c r="C94" s="394">
        <v>47.97</v>
      </c>
      <c r="D94" s="420">
        <f t="shared" si="2"/>
        <v>6.6711140760506993E-2</v>
      </c>
      <c r="E94" s="394"/>
      <c r="F94" s="418">
        <v>18069</v>
      </c>
      <c r="G94" s="420">
        <f t="shared" si="3"/>
        <v>2.2142264046509652E-4</v>
      </c>
      <c r="H94" s="397"/>
      <c r="I94" s="397"/>
      <c r="J94" s="397"/>
      <c r="K94" s="394"/>
      <c r="L94" s="396"/>
    </row>
    <row r="95" spans="2:12" x14ac:dyDescent="0.2">
      <c r="B95" s="426">
        <v>45053</v>
      </c>
      <c r="C95" s="394">
        <v>48.17</v>
      </c>
      <c r="D95" s="420">
        <f t="shared" si="2"/>
        <v>4.169272461955531E-3</v>
      </c>
      <c r="E95" s="394"/>
      <c r="F95" s="418">
        <v>18314.8</v>
      </c>
      <c r="G95" s="420">
        <f t="shared" si="3"/>
        <v>1.3603409153799317E-2</v>
      </c>
      <c r="H95" s="397"/>
      <c r="I95" s="397"/>
      <c r="J95" s="397"/>
      <c r="K95" s="394"/>
      <c r="L95" s="396"/>
    </row>
    <row r="96" spans="2:12" x14ac:dyDescent="0.2">
      <c r="B96" s="426">
        <v>45060</v>
      </c>
      <c r="C96" s="394">
        <v>47.22</v>
      </c>
      <c r="D96" s="420">
        <f t="shared" si="2"/>
        <v>-1.9721818559269355E-2</v>
      </c>
      <c r="E96" s="394"/>
      <c r="F96" s="418">
        <v>18203.400000000001</v>
      </c>
      <c r="G96" s="420">
        <f t="shared" si="3"/>
        <v>-6.0825125035489647E-3</v>
      </c>
      <c r="H96" s="397"/>
      <c r="I96" s="397"/>
      <c r="J96" s="397"/>
      <c r="K96" s="394"/>
      <c r="L96" s="396"/>
    </row>
    <row r="97" spans="2:12" x14ac:dyDescent="0.2">
      <c r="B97" s="426">
        <v>45067</v>
      </c>
      <c r="C97" s="394">
        <v>51.61</v>
      </c>
      <c r="D97" s="420">
        <f t="shared" si="2"/>
        <v>9.2969080897924661E-2</v>
      </c>
      <c r="E97" s="394"/>
      <c r="F97" s="418">
        <v>18499.349999999999</v>
      </c>
      <c r="G97" s="420">
        <f t="shared" si="3"/>
        <v>1.6257951811200044E-2</v>
      </c>
      <c r="H97" s="397"/>
      <c r="I97" s="397"/>
      <c r="J97" s="397"/>
      <c r="K97" s="394"/>
      <c r="L97" s="396"/>
    </row>
    <row r="98" spans="2:12" x14ac:dyDescent="0.2">
      <c r="B98" s="426">
        <v>45074</v>
      </c>
      <c r="C98" s="394">
        <v>51.13</v>
      </c>
      <c r="D98" s="420">
        <f t="shared" si="2"/>
        <v>-9.3005231544274203E-3</v>
      </c>
      <c r="E98" s="394"/>
      <c r="F98" s="418">
        <v>18534.099999999999</v>
      </c>
      <c r="G98" s="420">
        <f t="shared" si="3"/>
        <v>1.8784443777755122E-3</v>
      </c>
      <c r="H98" s="397"/>
      <c r="I98" s="397"/>
      <c r="J98" s="397"/>
      <c r="K98" s="394"/>
      <c r="L98" s="396"/>
    </row>
    <row r="99" spans="2:12" x14ac:dyDescent="0.2">
      <c r="B99" s="426">
        <v>45081</v>
      </c>
      <c r="C99" s="394">
        <v>55.24</v>
      </c>
      <c r="D99" s="420">
        <f t="shared" si="2"/>
        <v>8.0383336592998234E-2</v>
      </c>
      <c r="E99" s="394"/>
      <c r="F99" s="418">
        <v>18563.400000000001</v>
      </c>
      <c r="G99" s="420">
        <f t="shared" si="3"/>
        <v>1.5808698561032841E-3</v>
      </c>
      <c r="H99" s="397"/>
      <c r="I99" s="397"/>
      <c r="J99" s="397"/>
      <c r="K99" s="394"/>
      <c r="L99" s="396"/>
    </row>
    <row r="100" spans="2:12" x14ac:dyDescent="0.2">
      <c r="B100" s="426">
        <v>45088</v>
      </c>
      <c r="C100" s="394">
        <v>53.22</v>
      </c>
      <c r="D100" s="420">
        <f t="shared" si="2"/>
        <v>-3.6567704561911718E-2</v>
      </c>
      <c r="E100" s="394"/>
      <c r="F100" s="418">
        <v>18826</v>
      </c>
      <c r="G100" s="420">
        <f t="shared" si="3"/>
        <v>1.4146115474535925E-2</v>
      </c>
      <c r="H100" s="397"/>
      <c r="I100" s="397"/>
      <c r="J100" s="397"/>
      <c r="K100" s="394"/>
      <c r="L100" s="396"/>
    </row>
    <row r="101" spans="2:12" x14ac:dyDescent="0.2">
      <c r="B101" s="426">
        <v>45095</v>
      </c>
      <c r="C101" s="394">
        <v>48.48</v>
      </c>
      <c r="D101" s="420">
        <f t="shared" si="2"/>
        <v>-8.9064261555806157E-2</v>
      </c>
      <c r="E101" s="394"/>
      <c r="F101" s="418">
        <v>18665.5</v>
      </c>
      <c r="G101" s="420">
        <f t="shared" si="3"/>
        <v>-8.5254435355359703E-3</v>
      </c>
      <c r="H101" s="397"/>
      <c r="I101" s="397"/>
      <c r="J101" s="397"/>
      <c r="K101" s="394"/>
      <c r="L101" s="396"/>
    </row>
    <row r="102" spans="2:12" x14ac:dyDescent="0.2">
      <c r="B102" s="426">
        <v>45102</v>
      </c>
      <c r="C102" s="394">
        <v>49.97</v>
      </c>
      <c r="D102" s="420">
        <f t="shared" si="2"/>
        <v>3.0734323432343169E-2</v>
      </c>
      <c r="E102" s="394"/>
      <c r="F102" s="418">
        <v>19189.05</v>
      </c>
      <c r="G102" s="420">
        <f t="shared" si="3"/>
        <v>2.8049074495727355E-2</v>
      </c>
      <c r="H102" s="397"/>
      <c r="I102" s="397"/>
      <c r="J102" s="397"/>
      <c r="K102" s="394"/>
      <c r="L102" s="396"/>
    </row>
    <row r="103" spans="2:12" x14ac:dyDescent="0.2">
      <c r="B103" s="426">
        <v>45109</v>
      </c>
      <c r="C103" s="394">
        <v>48.75</v>
      </c>
      <c r="D103" s="420">
        <f t="shared" si="2"/>
        <v>-2.4414648789273574E-2</v>
      </c>
      <c r="E103" s="394"/>
      <c r="F103" s="418">
        <v>19331.8</v>
      </c>
      <c r="G103" s="420">
        <f t="shared" si="3"/>
        <v>7.4391384669902916E-3</v>
      </c>
      <c r="H103" s="397"/>
      <c r="I103" s="397"/>
      <c r="J103" s="397"/>
      <c r="K103" s="394"/>
      <c r="L103" s="396"/>
    </row>
    <row r="104" spans="2:12" x14ac:dyDescent="0.2">
      <c r="B104" s="426">
        <v>45116</v>
      </c>
      <c r="C104" s="394">
        <v>48.38</v>
      </c>
      <c r="D104" s="420">
        <f t="shared" si="2"/>
        <v>-7.5897435897435139E-3</v>
      </c>
      <c r="E104" s="394"/>
      <c r="F104" s="418">
        <v>19564.5</v>
      </c>
      <c r="G104" s="420">
        <f t="shared" si="3"/>
        <v>1.2037161567986399E-2</v>
      </c>
      <c r="H104" s="397"/>
      <c r="I104" s="397"/>
      <c r="J104" s="397"/>
      <c r="K104" s="394"/>
      <c r="L104" s="396"/>
    </row>
    <row r="105" spans="2:12" x14ac:dyDescent="0.2">
      <c r="B105" s="426">
        <v>45123</v>
      </c>
      <c r="C105" s="394">
        <v>48.35</v>
      </c>
      <c r="D105" s="420">
        <f t="shared" si="2"/>
        <v>-6.2009094667214715E-4</v>
      </c>
      <c r="E105" s="394"/>
      <c r="F105" s="418">
        <v>19745</v>
      </c>
      <c r="G105" s="420">
        <f t="shared" si="3"/>
        <v>9.225893838329613E-3</v>
      </c>
      <c r="H105" s="397"/>
      <c r="I105" s="397"/>
      <c r="J105" s="397"/>
      <c r="K105" s="394"/>
      <c r="L105" s="396"/>
    </row>
    <row r="106" spans="2:12" x14ac:dyDescent="0.2">
      <c r="B106" s="426">
        <v>45130</v>
      </c>
      <c r="C106" s="394">
        <v>51.71</v>
      </c>
      <c r="D106" s="420">
        <f t="shared" si="2"/>
        <v>6.9493278179938001E-2</v>
      </c>
      <c r="E106" s="394"/>
      <c r="F106" s="418">
        <v>19646.05</v>
      </c>
      <c r="G106" s="420">
        <f t="shared" si="3"/>
        <v>-5.0113952899468739E-3</v>
      </c>
      <c r="H106" s="397"/>
      <c r="I106" s="397"/>
      <c r="J106" s="397"/>
      <c r="K106" s="394"/>
      <c r="L106" s="396"/>
    </row>
    <row r="107" spans="2:12" x14ac:dyDescent="0.2">
      <c r="B107" s="426">
        <v>45137</v>
      </c>
      <c r="C107" s="394">
        <v>55.7</v>
      </c>
      <c r="D107" s="420">
        <f t="shared" si="2"/>
        <v>7.7161090698124157E-2</v>
      </c>
      <c r="E107" s="394"/>
      <c r="F107" s="418">
        <v>19517</v>
      </c>
      <c r="G107" s="420">
        <f t="shared" si="3"/>
        <v>-6.568750461288575E-3</v>
      </c>
      <c r="H107" s="397"/>
      <c r="I107" s="397"/>
      <c r="J107" s="397"/>
      <c r="K107" s="394"/>
      <c r="L107" s="396"/>
    </row>
    <row r="108" spans="2:12" x14ac:dyDescent="0.2">
      <c r="B108" s="426">
        <v>45144</v>
      </c>
      <c r="C108" s="394">
        <v>57.62</v>
      </c>
      <c r="D108" s="420">
        <f t="shared" si="2"/>
        <v>3.4470377019748533E-2</v>
      </c>
      <c r="E108" s="394"/>
      <c r="F108" s="418">
        <v>19428.3</v>
      </c>
      <c r="G108" s="420">
        <f t="shared" si="3"/>
        <v>-4.5447558538710409E-3</v>
      </c>
      <c r="H108" s="397"/>
      <c r="I108" s="397"/>
      <c r="J108" s="397"/>
      <c r="K108" s="394"/>
      <c r="L108" s="396"/>
    </row>
    <row r="109" spans="2:12" x14ac:dyDescent="0.2">
      <c r="B109" s="426">
        <v>45151</v>
      </c>
      <c r="C109" s="394">
        <v>60.92</v>
      </c>
      <c r="D109" s="420">
        <f t="shared" si="2"/>
        <v>5.7271780631725111E-2</v>
      </c>
      <c r="E109" s="394"/>
      <c r="F109" s="418">
        <v>19310.150000000001</v>
      </c>
      <c r="G109" s="420">
        <f t="shared" si="3"/>
        <v>-6.0813349598265454E-3</v>
      </c>
      <c r="H109" s="397"/>
      <c r="I109" s="397"/>
      <c r="J109" s="397"/>
      <c r="K109" s="394"/>
      <c r="L109" s="396"/>
    </row>
    <row r="110" spans="2:12" x14ac:dyDescent="0.2">
      <c r="B110" s="426">
        <v>45158</v>
      </c>
      <c r="C110" s="394">
        <v>65.010000000000005</v>
      </c>
      <c r="D110" s="420">
        <f t="shared" si="2"/>
        <v>6.7137229152987477E-2</v>
      </c>
      <c r="E110" s="394"/>
      <c r="F110" s="418">
        <v>19265.8</v>
      </c>
      <c r="G110" s="420">
        <f t="shared" si="3"/>
        <v>-2.2967196008317758E-3</v>
      </c>
      <c r="H110" s="397"/>
      <c r="I110" s="397"/>
      <c r="J110" s="397"/>
      <c r="K110" s="394"/>
      <c r="L110" s="396"/>
    </row>
    <row r="111" spans="2:12" x14ac:dyDescent="0.2">
      <c r="B111" s="426">
        <v>45165</v>
      </c>
      <c r="C111" s="394">
        <v>66.05</v>
      </c>
      <c r="D111" s="420">
        <f t="shared" si="2"/>
        <v>1.5997538840178294E-2</v>
      </c>
      <c r="E111" s="394"/>
      <c r="F111" s="418">
        <v>19435.3</v>
      </c>
      <c r="G111" s="420">
        <f t="shared" si="3"/>
        <v>8.7979736112697715E-3</v>
      </c>
      <c r="H111" s="397"/>
      <c r="I111" s="397"/>
      <c r="J111" s="397"/>
      <c r="K111" s="394"/>
      <c r="L111" s="396"/>
    </row>
    <row r="112" spans="2:12" x14ac:dyDescent="0.2">
      <c r="B112" s="426">
        <v>45172</v>
      </c>
      <c r="C112" s="394">
        <v>73.83</v>
      </c>
      <c r="D112" s="420">
        <f t="shared" si="2"/>
        <v>0.11778955336866015</v>
      </c>
      <c r="E112" s="394"/>
      <c r="F112" s="418">
        <v>19819.95</v>
      </c>
      <c r="G112" s="420">
        <f t="shared" si="3"/>
        <v>1.9791307569216876E-2</v>
      </c>
      <c r="H112" s="397"/>
      <c r="I112" s="397"/>
      <c r="J112" s="397"/>
      <c r="K112" s="394"/>
      <c r="L112" s="396"/>
    </row>
    <row r="113" spans="2:12" x14ac:dyDescent="0.2">
      <c r="B113" s="426">
        <v>45179</v>
      </c>
      <c r="C113" s="394">
        <v>75.88</v>
      </c>
      <c r="D113" s="420">
        <f t="shared" si="2"/>
        <v>2.7766490586482506E-2</v>
      </c>
      <c r="E113" s="394"/>
      <c r="F113" s="418">
        <v>20192.349999999999</v>
      </c>
      <c r="G113" s="420">
        <f t="shared" si="3"/>
        <v>1.8789149316723597E-2</v>
      </c>
      <c r="H113" s="397"/>
      <c r="I113" s="397"/>
      <c r="J113" s="397"/>
      <c r="K113" s="394"/>
      <c r="L113" s="396"/>
    </row>
    <row r="114" spans="2:12" x14ac:dyDescent="0.2">
      <c r="B114" s="426">
        <v>45186</v>
      </c>
      <c r="C114" s="394">
        <v>76.78</v>
      </c>
      <c r="D114" s="420">
        <f t="shared" si="2"/>
        <v>1.1860832894043272E-2</v>
      </c>
      <c r="E114" s="394"/>
      <c r="F114" s="418">
        <v>19674.25</v>
      </c>
      <c r="G114" s="420">
        <f t="shared" si="3"/>
        <v>-2.5658231954180599E-2</v>
      </c>
      <c r="H114" s="397"/>
      <c r="I114" s="397"/>
      <c r="J114" s="397"/>
      <c r="K114" s="394"/>
      <c r="L114" s="396"/>
    </row>
    <row r="115" spans="2:12" x14ac:dyDescent="0.2">
      <c r="B115" s="426">
        <v>45193</v>
      </c>
      <c r="C115" s="394">
        <v>75.489999999999995</v>
      </c>
      <c r="D115" s="420">
        <f t="shared" si="2"/>
        <v>-1.6801250325605754E-2</v>
      </c>
      <c r="E115" s="394"/>
      <c r="F115" s="418">
        <v>19638.3</v>
      </c>
      <c r="G115" s="420">
        <f t="shared" si="3"/>
        <v>-1.8272615220402688E-3</v>
      </c>
      <c r="H115" s="397"/>
      <c r="I115" s="397"/>
      <c r="J115" s="397"/>
      <c r="K115" s="394"/>
      <c r="L115" s="396"/>
    </row>
    <row r="116" spans="2:12" x14ac:dyDescent="0.2">
      <c r="B116" s="426">
        <v>45200</v>
      </c>
      <c r="C116" s="394">
        <v>72.86</v>
      </c>
      <c r="D116" s="420">
        <f t="shared" si="2"/>
        <v>-3.4839051530003884E-2</v>
      </c>
      <c r="E116" s="394"/>
      <c r="F116" s="418">
        <v>19653.5</v>
      </c>
      <c r="G116" s="420">
        <f t="shared" si="3"/>
        <v>7.7399774929598486E-4</v>
      </c>
      <c r="H116" s="397"/>
      <c r="I116" s="397"/>
      <c r="J116" s="397"/>
      <c r="K116" s="394"/>
      <c r="L116" s="396"/>
    </row>
    <row r="117" spans="2:12" x14ac:dyDescent="0.2">
      <c r="B117" s="426">
        <v>45207</v>
      </c>
      <c r="C117" s="394">
        <v>68.38</v>
      </c>
      <c r="D117" s="420">
        <f t="shared" si="2"/>
        <v>-6.1487784792753297E-2</v>
      </c>
      <c r="E117" s="394"/>
      <c r="F117" s="418">
        <v>19751.05</v>
      </c>
      <c r="G117" s="420">
        <f t="shared" si="3"/>
        <v>4.9634925076957881E-3</v>
      </c>
      <c r="H117" s="397"/>
      <c r="I117" s="397"/>
      <c r="J117" s="397"/>
      <c r="K117" s="394"/>
      <c r="L117" s="396"/>
    </row>
    <row r="118" spans="2:12" x14ac:dyDescent="0.2">
      <c r="B118" s="426">
        <v>45214</v>
      </c>
      <c r="C118" s="394">
        <v>67.66</v>
      </c>
      <c r="D118" s="420">
        <f t="shared" si="2"/>
        <v>-1.0529394559812832E-2</v>
      </c>
      <c r="E118" s="394"/>
      <c r="F118" s="418">
        <v>19542.650000000001</v>
      </c>
      <c r="G118" s="420">
        <f t="shared" si="3"/>
        <v>-1.0551337776978809E-2</v>
      </c>
      <c r="H118" s="397"/>
      <c r="I118" s="397"/>
      <c r="J118" s="397"/>
      <c r="K118" s="394"/>
      <c r="L118" s="396"/>
    </row>
    <row r="119" spans="2:12" x14ac:dyDescent="0.2">
      <c r="B119" s="426">
        <v>45221</v>
      </c>
      <c r="C119" s="394">
        <v>70.83</v>
      </c>
      <c r="D119" s="420">
        <f t="shared" si="2"/>
        <v>4.6851906591782511E-2</v>
      </c>
      <c r="E119" s="394"/>
      <c r="F119" s="418">
        <v>19047.25</v>
      </c>
      <c r="G119" s="420">
        <f t="shared" si="3"/>
        <v>-2.5349683896503383E-2</v>
      </c>
      <c r="H119" s="397"/>
      <c r="I119" s="397"/>
      <c r="J119" s="397"/>
      <c r="K119" s="394"/>
      <c r="L119" s="396"/>
    </row>
    <row r="120" spans="2:12" x14ac:dyDescent="0.2">
      <c r="B120" s="426">
        <v>45228</v>
      </c>
      <c r="C120" s="394">
        <v>76.930000000000007</v>
      </c>
      <c r="D120" s="420">
        <f t="shared" si="2"/>
        <v>8.6121699844698751E-2</v>
      </c>
      <c r="E120" s="394"/>
      <c r="F120" s="418">
        <v>19230.599999999999</v>
      </c>
      <c r="G120" s="420">
        <f t="shared" si="3"/>
        <v>9.6260615049414966E-3</v>
      </c>
      <c r="H120" s="397"/>
      <c r="I120" s="397"/>
      <c r="J120" s="397"/>
      <c r="K120" s="394"/>
      <c r="L120" s="396"/>
    </row>
    <row r="121" spans="2:12" x14ac:dyDescent="0.2">
      <c r="B121" s="426">
        <v>45235</v>
      </c>
      <c r="C121" s="394">
        <v>79.88</v>
      </c>
      <c r="D121" s="420">
        <f t="shared" si="2"/>
        <v>3.8346548810606951E-2</v>
      </c>
      <c r="E121" s="394"/>
      <c r="F121" s="418">
        <v>19425.349999999999</v>
      </c>
      <c r="G121" s="420">
        <f t="shared" si="3"/>
        <v>1.0127089118384225E-2</v>
      </c>
      <c r="H121" s="397"/>
      <c r="I121" s="397"/>
      <c r="J121" s="397"/>
      <c r="K121" s="394"/>
      <c r="L121" s="396"/>
    </row>
    <row r="122" spans="2:12" x14ac:dyDescent="0.2">
      <c r="B122" s="426">
        <v>45242</v>
      </c>
      <c r="C122" s="394">
        <v>77.459999999999994</v>
      </c>
      <c r="D122" s="420">
        <f t="shared" si="2"/>
        <v>-3.0295443164747193E-2</v>
      </c>
      <c r="E122" s="394"/>
      <c r="F122" s="418">
        <v>19731.8</v>
      </c>
      <c r="G122" s="420">
        <f t="shared" si="3"/>
        <v>1.5775777527818002E-2</v>
      </c>
      <c r="H122" s="397"/>
      <c r="I122" s="397"/>
      <c r="J122" s="397"/>
      <c r="K122" s="394"/>
      <c r="L122" s="396"/>
    </row>
    <row r="123" spans="2:12" x14ac:dyDescent="0.2">
      <c r="B123" s="426">
        <v>45249</v>
      </c>
      <c r="C123" s="394">
        <v>79.44</v>
      </c>
      <c r="D123" s="420">
        <f t="shared" si="2"/>
        <v>2.5561580170410547E-2</v>
      </c>
      <c r="E123" s="394"/>
      <c r="F123" s="418">
        <v>19794.7</v>
      </c>
      <c r="G123" s="420">
        <f t="shared" si="3"/>
        <v>3.1877476966115648E-3</v>
      </c>
      <c r="H123" s="397"/>
      <c r="I123" s="397"/>
      <c r="J123" s="397"/>
      <c r="K123" s="394"/>
      <c r="L123" s="396"/>
    </row>
    <row r="124" spans="2:12" x14ac:dyDescent="0.2">
      <c r="B124" s="426">
        <v>45256</v>
      </c>
      <c r="C124" s="394">
        <v>88.08</v>
      </c>
      <c r="D124" s="420">
        <f t="shared" si="2"/>
        <v>0.10876132930513593</v>
      </c>
      <c r="E124" s="394"/>
      <c r="F124" s="418">
        <v>20267.900000000001</v>
      </c>
      <c r="G124" s="420">
        <f t="shared" si="3"/>
        <v>2.3905388816198414E-2</v>
      </c>
      <c r="H124" s="397"/>
      <c r="I124" s="397"/>
      <c r="J124" s="397"/>
      <c r="K124" s="394"/>
      <c r="L124" s="396"/>
    </row>
    <row r="125" spans="2:12" x14ac:dyDescent="0.2">
      <c r="B125" s="426">
        <v>45263</v>
      </c>
      <c r="C125" s="394">
        <v>106.76</v>
      </c>
      <c r="D125" s="420">
        <f t="shared" si="2"/>
        <v>0.212079927338783</v>
      </c>
      <c r="E125" s="394"/>
      <c r="F125" s="418">
        <v>20969.400000000001</v>
      </c>
      <c r="G125" s="420">
        <f t="shared" si="3"/>
        <v>3.4611380557433069E-2</v>
      </c>
      <c r="H125" s="397"/>
      <c r="I125" s="397"/>
      <c r="J125" s="397"/>
      <c r="K125" s="394"/>
      <c r="L125" s="396"/>
    </row>
    <row r="126" spans="2:12" x14ac:dyDescent="0.2">
      <c r="B126" s="426">
        <v>45270</v>
      </c>
      <c r="C126" s="394">
        <v>107.77</v>
      </c>
      <c r="D126" s="420">
        <f t="shared" si="2"/>
        <v>9.460472086923799E-3</v>
      </c>
      <c r="E126" s="394"/>
      <c r="F126" s="418">
        <v>21456.65</v>
      </c>
      <c r="G126" s="420">
        <f t="shared" si="3"/>
        <v>2.3236239472755438E-2</v>
      </c>
      <c r="H126" s="397"/>
      <c r="I126" s="397"/>
      <c r="J126" s="397"/>
      <c r="K126" s="394"/>
      <c r="L126" s="396"/>
    </row>
    <row r="127" spans="2:12" x14ac:dyDescent="0.2">
      <c r="B127" s="426">
        <v>45277</v>
      </c>
      <c r="C127" s="394">
        <v>102.51</v>
      </c>
      <c r="D127" s="420">
        <f t="shared" si="2"/>
        <v>-4.8807645912591568E-2</v>
      </c>
      <c r="E127" s="394"/>
      <c r="F127" s="418">
        <v>21349.4</v>
      </c>
      <c r="G127" s="420">
        <f t="shared" si="3"/>
        <v>-4.9984503638732525E-3</v>
      </c>
      <c r="H127" s="397"/>
      <c r="I127" s="397"/>
      <c r="J127" s="397"/>
      <c r="K127" s="394"/>
      <c r="L127" s="396"/>
    </row>
    <row r="128" spans="2:12" x14ac:dyDescent="0.2">
      <c r="B128" s="426">
        <v>45284</v>
      </c>
      <c r="C128" s="394">
        <v>105.03</v>
      </c>
      <c r="D128" s="420">
        <f t="shared" si="2"/>
        <v>2.4582967515364373E-2</v>
      </c>
      <c r="E128" s="394"/>
      <c r="F128" s="418">
        <v>21731.4</v>
      </c>
      <c r="G128" s="420">
        <f t="shared" si="3"/>
        <v>1.7892774504201459E-2</v>
      </c>
      <c r="H128" s="397"/>
      <c r="I128" s="397"/>
      <c r="J128" s="397"/>
      <c r="K128" s="394"/>
      <c r="L128" s="396"/>
    </row>
    <row r="129" spans="2:12" x14ac:dyDescent="0.2">
      <c r="B129" s="426">
        <v>45291</v>
      </c>
      <c r="C129" s="394">
        <v>110.22</v>
      </c>
      <c r="D129" s="420">
        <f t="shared" si="2"/>
        <v>4.941445301342462E-2</v>
      </c>
      <c r="E129" s="394"/>
      <c r="F129" s="418">
        <v>21710.799999999999</v>
      </c>
      <c r="G129" s="420">
        <f t="shared" si="3"/>
        <v>-9.479370864280412E-4</v>
      </c>
      <c r="H129" s="397"/>
      <c r="I129" s="397"/>
      <c r="J129" s="397"/>
      <c r="K129" s="394"/>
      <c r="L129" s="396"/>
    </row>
    <row r="130" spans="2:12" x14ac:dyDescent="0.2">
      <c r="B130" s="426">
        <v>45298</v>
      </c>
      <c r="C130" s="394">
        <v>108.23</v>
      </c>
      <c r="D130" s="420">
        <f t="shared" si="2"/>
        <v>-1.8054799491925233E-2</v>
      </c>
      <c r="E130" s="394"/>
      <c r="F130" s="418">
        <v>21894.55</v>
      </c>
      <c r="G130" s="420">
        <f t="shared" si="3"/>
        <v>8.4635296718684749E-3</v>
      </c>
      <c r="H130" s="397"/>
      <c r="I130" s="397"/>
      <c r="J130" s="397"/>
      <c r="K130" s="394"/>
      <c r="L130" s="396"/>
    </row>
    <row r="131" spans="2:12" x14ac:dyDescent="0.2">
      <c r="B131" s="426">
        <v>45305</v>
      </c>
      <c r="C131" s="394">
        <v>103.35</v>
      </c>
      <c r="D131" s="420">
        <f t="shared" si="2"/>
        <v>-4.5089161969878999E-2</v>
      </c>
      <c r="E131" s="394"/>
      <c r="F131" s="418">
        <v>21622.400000000001</v>
      </c>
      <c r="G131" s="420">
        <f t="shared" si="3"/>
        <v>-1.2430033958222397E-2</v>
      </c>
      <c r="H131" s="397"/>
      <c r="I131" s="397"/>
      <c r="J131" s="397"/>
      <c r="K131" s="394"/>
      <c r="L131" s="396"/>
    </row>
    <row r="132" spans="2:12" x14ac:dyDescent="0.2">
      <c r="B132" s="426">
        <v>45312</v>
      </c>
      <c r="C132" s="394">
        <v>108.66</v>
      </c>
      <c r="D132" s="420">
        <f t="shared" si="2"/>
        <v>5.137880986937593E-2</v>
      </c>
      <c r="E132" s="394"/>
      <c r="F132" s="418">
        <v>21352.6</v>
      </c>
      <c r="G132" s="420">
        <f t="shared" si="3"/>
        <v>-1.2477800799171379E-2</v>
      </c>
      <c r="H132" s="397"/>
      <c r="I132" s="397"/>
      <c r="J132" s="397"/>
      <c r="K132" s="394"/>
      <c r="L132" s="396"/>
    </row>
    <row r="133" spans="2:12" x14ac:dyDescent="0.2">
      <c r="B133" s="426">
        <v>45319</v>
      </c>
      <c r="C133" s="394">
        <v>111.88</v>
      </c>
      <c r="D133" s="420">
        <f t="shared" si="2"/>
        <v>2.9633719860114205E-2</v>
      </c>
      <c r="E133" s="394"/>
      <c r="F133" s="418">
        <v>21853.8</v>
      </c>
      <c r="G133" s="420">
        <f t="shared" si="3"/>
        <v>2.3472551352060167E-2</v>
      </c>
      <c r="H133" s="397"/>
      <c r="I133" s="397"/>
      <c r="J133" s="397"/>
      <c r="K133" s="394"/>
      <c r="L133" s="396"/>
    </row>
    <row r="134" spans="2:12" x14ac:dyDescent="0.2">
      <c r="B134" s="426">
        <v>45326</v>
      </c>
      <c r="C134" s="394">
        <v>113.9</v>
      </c>
      <c r="D134" s="420">
        <f t="shared" si="2"/>
        <v>1.8055058991776951E-2</v>
      </c>
      <c r="E134" s="394"/>
      <c r="F134" s="418">
        <v>21782.5</v>
      </c>
      <c r="G134" s="420">
        <f t="shared" si="3"/>
        <v>-3.2625904876955047E-3</v>
      </c>
      <c r="H134" s="397"/>
      <c r="I134" s="397"/>
      <c r="J134" s="397"/>
      <c r="K134" s="394"/>
      <c r="L134" s="396"/>
    </row>
    <row r="135" spans="2:12" x14ac:dyDescent="0.2">
      <c r="B135" s="426">
        <v>45333</v>
      </c>
      <c r="C135" s="394">
        <v>112.75</v>
      </c>
      <c r="D135" s="420">
        <f t="shared" si="2"/>
        <v>-1.0096575943810415E-2</v>
      </c>
      <c r="E135" s="394"/>
      <c r="F135" s="418">
        <v>22040.7</v>
      </c>
      <c r="G135" s="420">
        <f t="shared" si="3"/>
        <v>1.1853552163433978E-2</v>
      </c>
      <c r="H135" s="397"/>
      <c r="I135" s="397"/>
      <c r="J135" s="397"/>
      <c r="K135" s="394"/>
      <c r="L135" s="396"/>
    </row>
    <row r="136" spans="2:12" x14ac:dyDescent="0.2">
      <c r="B136" s="426">
        <v>45340</v>
      </c>
      <c r="C136" s="394">
        <v>111.81</v>
      </c>
      <c r="D136" s="420">
        <f t="shared" si="2"/>
        <v>-8.3370288248336699E-3</v>
      </c>
      <c r="E136" s="394"/>
      <c r="F136" s="418">
        <v>22212.7</v>
      </c>
      <c r="G136" s="420">
        <f t="shared" si="3"/>
        <v>7.8037448901351336E-3</v>
      </c>
      <c r="H136" s="397"/>
      <c r="I136" s="397"/>
      <c r="J136" s="397"/>
      <c r="K136" s="394"/>
      <c r="L136" s="396"/>
    </row>
    <row r="137" spans="2:12" x14ac:dyDescent="0.2">
      <c r="B137" s="426">
        <v>45347</v>
      </c>
      <c r="C137" s="394">
        <v>110.83</v>
      </c>
      <c r="D137" s="420">
        <f t="shared" si="2"/>
        <v>-8.7648689741526287E-3</v>
      </c>
      <c r="E137" s="394"/>
      <c r="F137" s="418">
        <v>22338.75</v>
      </c>
      <c r="G137" s="420">
        <f t="shared" si="3"/>
        <v>5.6746816010659895E-3</v>
      </c>
      <c r="H137" s="397"/>
      <c r="I137" s="397"/>
      <c r="J137" s="397"/>
      <c r="K137" s="394"/>
      <c r="L137" s="396"/>
    </row>
    <row r="138" spans="2:12" x14ac:dyDescent="0.2">
      <c r="B138" s="426">
        <v>45354</v>
      </c>
      <c r="C138" s="394">
        <v>113.37</v>
      </c>
      <c r="D138" s="420">
        <f t="shared" si="2"/>
        <v>2.2917982495714195E-2</v>
      </c>
      <c r="E138" s="394"/>
      <c r="F138" s="418">
        <v>22493.55</v>
      </c>
      <c r="G138" s="420">
        <f t="shared" si="3"/>
        <v>6.929662581836471E-3</v>
      </c>
      <c r="H138" s="397"/>
      <c r="I138" s="397"/>
      <c r="J138" s="397"/>
      <c r="K138" s="394"/>
      <c r="L138" s="396"/>
    </row>
    <row r="139" spans="2:12" x14ac:dyDescent="0.2">
      <c r="B139" s="426">
        <v>45361</v>
      </c>
      <c r="C139" s="394">
        <v>106.08</v>
      </c>
      <c r="D139" s="420">
        <f t="shared" si="2"/>
        <v>-6.4302725588780141E-2</v>
      </c>
      <c r="E139" s="394"/>
      <c r="F139" s="418">
        <v>22023.35</v>
      </c>
      <c r="G139" s="420">
        <f t="shared" si="3"/>
        <v>-2.0903770191899484E-2</v>
      </c>
      <c r="H139" s="397"/>
      <c r="I139" s="397"/>
      <c r="J139" s="397"/>
      <c r="K139" s="394"/>
      <c r="L139" s="396"/>
    </row>
    <row r="140" spans="2:12" x14ac:dyDescent="0.2">
      <c r="B140" s="426">
        <v>45368</v>
      </c>
      <c r="C140" s="394">
        <v>106.21</v>
      </c>
      <c r="D140" s="420">
        <f t="shared" ref="D140:D203" si="4">C140/C139-1</f>
        <v>1.225490196078427E-3</v>
      </c>
      <c r="E140" s="394"/>
      <c r="F140" s="418">
        <v>22096.75</v>
      </c>
      <c r="G140" s="420">
        <f t="shared" ref="G140:G203" si="5">F140/F139-1</f>
        <v>3.3328262957270649E-3</v>
      </c>
      <c r="H140" s="397"/>
      <c r="I140" s="397"/>
      <c r="J140" s="397"/>
      <c r="K140" s="394"/>
      <c r="L140" s="396"/>
    </row>
    <row r="141" spans="2:12" x14ac:dyDescent="0.2">
      <c r="B141" s="426">
        <v>45375</v>
      </c>
      <c r="C141" s="394">
        <v>106.76</v>
      </c>
      <c r="D141" s="420">
        <f t="shared" si="4"/>
        <v>5.1784201111007011E-3</v>
      </c>
      <c r="E141" s="394"/>
      <c r="F141" s="418">
        <v>22326.9</v>
      </c>
      <c r="G141" s="420">
        <f t="shared" si="5"/>
        <v>1.0415558849152129E-2</v>
      </c>
      <c r="H141" s="397"/>
      <c r="I141" s="397"/>
      <c r="J141" s="397"/>
      <c r="K141" s="394"/>
      <c r="L141" s="396"/>
    </row>
    <row r="142" spans="2:12" x14ac:dyDescent="0.2">
      <c r="B142" s="426">
        <v>45382</v>
      </c>
      <c r="C142" s="394">
        <v>125.34</v>
      </c>
      <c r="D142" s="420">
        <f t="shared" si="4"/>
        <v>0.17403521918321463</v>
      </c>
      <c r="E142" s="394"/>
      <c r="F142" s="418">
        <v>22513.7</v>
      </c>
      <c r="G142" s="420">
        <f t="shared" si="5"/>
        <v>8.3665891816597782E-3</v>
      </c>
      <c r="H142" s="397"/>
      <c r="I142" s="397"/>
      <c r="J142" s="397"/>
      <c r="K142" s="394"/>
      <c r="L142" s="396"/>
    </row>
    <row r="143" spans="2:12" x14ac:dyDescent="0.2">
      <c r="B143" s="426">
        <v>45389</v>
      </c>
      <c r="C143" s="394">
        <v>119.04</v>
      </c>
      <c r="D143" s="420">
        <f t="shared" si="4"/>
        <v>-5.0263283867879371E-2</v>
      </c>
      <c r="E143" s="394"/>
      <c r="F143" s="418">
        <v>22519.4</v>
      </c>
      <c r="G143" s="420">
        <f t="shared" si="5"/>
        <v>2.5317917534661838E-4</v>
      </c>
      <c r="H143" s="397"/>
      <c r="I143" s="397"/>
      <c r="J143" s="397"/>
      <c r="K143" s="394"/>
      <c r="L143" s="396"/>
    </row>
    <row r="144" spans="2:12" x14ac:dyDescent="0.2">
      <c r="B144" s="426">
        <v>45396</v>
      </c>
      <c r="C144" s="394">
        <v>118.91</v>
      </c>
      <c r="D144" s="420">
        <f t="shared" si="4"/>
        <v>-1.0920698924732353E-3</v>
      </c>
      <c r="E144" s="394"/>
      <c r="F144" s="418">
        <v>22147</v>
      </c>
      <c r="G144" s="420">
        <f t="shared" si="5"/>
        <v>-1.6536852669254087E-2</v>
      </c>
      <c r="H144" s="397"/>
      <c r="I144" s="397"/>
      <c r="J144" s="397"/>
      <c r="K144" s="394"/>
      <c r="L144" s="396"/>
    </row>
    <row r="145" spans="2:12" x14ac:dyDescent="0.2">
      <c r="B145" s="426">
        <v>45403</v>
      </c>
      <c r="C145" s="394">
        <v>118.32</v>
      </c>
      <c r="D145" s="420">
        <f t="shared" si="4"/>
        <v>-4.961735766546127E-3</v>
      </c>
      <c r="E145" s="394"/>
      <c r="F145" s="418">
        <v>22419.95</v>
      </c>
      <c r="G145" s="420">
        <f t="shared" si="5"/>
        <v>1.2324468325281002E-2</v>
      </c>
      <c r="H145" s="397"/>
      <c r="I145" s="397"/>
      <c r="J145" s="397"/>
      <c r="K145" s="394"/>
      <c r="L145" s="396"/>
    </row>
    <row r="146" spans="2:12" x14ac:dyDescent="0.2">
      <c r="B146" s="426">
        <v>45410</v>
      </c>
      <c r="C146" s="394">
        <v>120.94</v>
      </c>
      <c r="D146" s="420">
        <f t="shared" si="4"/>
        <v>2.2143340094658681E-2</v>
      </c>
      <c r="E146" s="394"/>
      <c r="F146" s="418">
        <v>22475.85</v>
      </c>
      <c r="G146" s="420">
        <f t="shared" si="5"/>
        <v>2.4933151055197555E-3</v>
      </c>
      <c r="H146" s="397"/>
      <c r="I146" s="397"/>
      <c r="J146" s="397"/>
      <c r="K146" s="394"/>
      <c r="L146" s="396"/>
    </row>
    <row r="147" spans="2:12" x14ac:dyDescent="0.2">
      <c r="B147" s="426">
        <v>45417</v>
      </c>
      <c r="C147" s="394">
        <v>120.62</v>
      </c>
      <c r="D147" s="420">
        <f t="shared" si="4"/>
        <v>-2.6459401356043744E-3</v>
      </c>
      <c r="E147" s="394"/>
      <c r="F147" s="418">
        <v>22055.200000000001</v>
      </c>
      <c r="G147" s="420">
        <f t="shared" si="5"/>
        <v>-1.8715643679771743E-2</v>
      </c>
      <c r="H147" s="397"/>
      <c r="I147" s="397"/>
      <c r="J147" s="397"/>
      <c r="K147" s="394"/>
      <c r="L147" s="396"/>
    </row>
    <row r="148" spans="2:12" x14ac:dyDescent="0.2">
      <c r="B148" s="426">
        <v>45424</v>
      </c>
      <c r="C148" s="394">
        <v>127.19</v>
      </c>
      <c r="D148" s="420">
        <f t="shared" si="4"/>
        <v>5.4468579008456253E-2</v>
      </c>
      <c r="E148" s="394"/>
      <c r="F148" s="418">
        <v>22466.1</v>
      </c>
      <c r="G148" s="420">
        <f t="shared" si="5"/>
        <v>1.8630527041241907E-2</v>
      </c>
      <c r="H148" s="397"/>
      <c r="I148" s="397"/>
      <c r="J148" s="397"/>
      <c r="K148" s="394"/>
      <c r="L148" s="396"/>
    </row>
    <row r="149" spans="2:12" x14ac:dyDescent="0.2">
      <c r="B149" s="426">
        <v>45431</v>
      </c>
      <c r="C149" s="394">
        <v>141.4</v>
      </c>
      <c r="D149" s="420">
        <f t="shared" si="4"/>
        <v>0.11172261970280695</v>
      </c>
      <c r="E149" s="394"/>
      <c r="F149" s="418">
        <v>22957.1</v>
      </c>
      <c r="G149" s="420">
        <f t="shared" si="5"/>
        <v>2.1855150649200406E-2</v>
      </c>
      <c r="H149" s="397"/>
      <c r="I149" s="397"/>
      <c r="J149" s="397"/>
      <c r="K149" s="394"/>
      <c r="L149" s="396"/>
    </row>
    <row r="150" spans="2:12" x14ac:dyDescent="0.2">
      <c r="B150" s="426">
        <v>45438</v>
      </c>
      <c r="C150" s="394">
        <v>151.16</v>
      </c>
      <c r="D150" s="420">
        <f t="shared" si="4"/>
        <v>6.9024045261669054E-2</v>
      </c>
      <c r="E150" s="394"/>
      <c r="F150" s="418">
        <v>22530.7</v>
      </c>
      <c r="G150" s="420">
        <f t="shared" si="5"/>
        <v>-1.8573774562117951E-2</v>
      </c>
      <c r="H150" s="397"/>
      <c r="I150" s="397"/>
      <c r="J150" s="397"/>
      <c r="K150" s="394"/>
      <c r="L150" s="396"/>
    </row>
    <row r="151" spans="2:12" x14ac:dyDescent="0.2">
      <c r="B151" s="426">
        <v>45445</v>
      </c>
      <c r="C151" s="394">
        <v>153.41</v>
      </c>
      <c r="D151" s="420">
        <f t="shared" si="4"/>
        <v>1.4884890182587984E-2</v>
      </c>
      <c r="E151" s="394"/>
      <c r="F151" s="418">
        <v>23290.15</v>
      </c>
      <c r="G151" s="420">
        <f t="shared" si="5"/>
        <v>3.3707341538434354E-2</v>
      </c>
      <c r="H151" s="397"/>
      <c r="I151" s="397"/>
      <c r="J151" s="397"/>
      <c r="K151" s="394"/>
      <c r="L151" s="396"/>
    </row>
    <row r="152" spans="2:12" x14ac:dyDescent="0.2">
      <c r="B152" s="426">
        <v>45452</v>
      </c>
      <c r="C152" s="394">
        <v>149.35</v>
      </c>
      <c r="D152" s="420">
        <f t="shared" si="4"/>
        <v>-2.6465028355387554E-2</v>
      </c>
      <c r="E152" s="394"/>
      <c r="F152" s="418">
        <v>23465.599999999999</v>
      </c>
      <c r="G152" s="420">
        <f t="shared" si="5"/>
        <v>7.5332275661599279E-3</v>
      </c>
      <c r="H152" s="397"/>
      <c r="I152" s="397"/>
      <c r="J152" s="397"/>
      <c r="K152" s="394"/>
      <c r="L152" s="396"/>
    </row>
    <row r="153" spans="2:12" x14ac:dyDescent="0.2">
      <c r="B153" s="426">
        <v>45459</v>
      </c>
      <c r="C153" s="394">
        <v>146.72999999999999</v>
      </c>
      <c r="D153" s="420">
        <f t="shared" si="4"/>
        <v>-1.7542684968195554E-2</v>
      </c>
      <c r="E153" s="394"/>
      <c r="F153" s="418">
        <v>23501.1</v>
      </c>
      <c r="G153" s="420">
        <f t="shared" si="5"/>
        <v>1.5128528569481325E-3</v>
      </c>
      <c r="H153" s="397"/>
      <c r="I153" s="397"/>
      <c r="J153" s="397"/>
      <c r="K153" s="394"/>
      <c r="L153" s="396"/>
    </row>
    <row r="154" spans="2:12" x14ac:dyDescent="0.2">
      <c r="B154" s="426">
        <v>45466</v>
      </c>
      <c r="C154" s="394">
        <v>143.72</v>
      </c>
      <c r="D154" s="420">
        <f t="shared" si="4"/>
        <v>-2.0513869011108743E-2</v>
      </c>
      <c r="E154" s="394"/>
      <c r="F154" s="418">
        <v>24010.6</v>
      </c>
      <c r="G154" s="420">
        <f t="shared" si="5"/>
        <v>2.1679836262983532E-2</v>
      </c>
      <c r="H154" s="397"/>
      <c r="I154" s="397"/>
      <c r="J154" s="397"/>
      <c r="K154" s="394"/>
      <c r="L154" s="396"/>
    </row>
    <row r="155" spans="2:12" x14ac:dyDescent="0.2">
      <c r="B155" s="426">
        <v>45473</v>
      </c>
      <c r="C155" s="394">
        <v>141.78</v>
      </c>
      <c r="D155" s="420">
        <f t="shared" si="4"/>
        <v>-1.3498469245755595E-2</v>
      </c>
      <c r="E155" s="394"/>
      <c r="F155" s="418">
        <v>24323.85</v>
      </c>
      <c r="G155" s="420">
        <f t="shared" si="5"/>
        <v>1.3046321208133094E-2</v>
      </c>
      <c r="H155" s="397"/>
      <c r="I155" s="397"/>
      <c r="J155" s="397"/>
      <c r="K155" s="394"/>
      <c r="L155" s="396"/>
    </row>
    <row r="156" spans="2:12" x14ac:dyDescent="0.2">
      <c r="B156" s="426">
        <v>45480</v>
      </c>
      <c r="C156" s="394">
        <v>141.99</v>
      </c>
      <c r="D156" s="420">
        <f t="shared" si="4"/>
        <v>1.4811680067710054E-3</v>
      </c>
      <c r="E156" s="394"/>
      <c r="F156" s="418">
        <v>24502.15</v>
      </c>
      <c r="G156" s="420">
        <f t="shared" si="5"/>
        <v>7.3302540510651326E-3</v>
      </c>
      <c r="H156" s="397"/>
      <c r="I156" s="397"/>
      <c r="J156" s="397"/>
      <c r="K156" s="394"/>
      <c r="L156" s="396"/>
    </row>
    <row r="157" spans="2:12" x14ac:dyDescent="0.2">
      <c r="B157" s="426">
        <v>45487</v>
      </c>
      <c r="C157" s="394">
        <v>138.9</v>
      </c>
      <c r="D157" s="420">
        <f t="shared" si="4"/>
        <v>-2.1762095922248093E-2</v>
      </c>
      <c r="E157" s="394"/>
      <c r="F157" s="418">
        <v>24530.9</v>
      </c>
      <c r="G157" s="420">
        <f t="shared" si="5"/>
        <v>1.1733664188653403E-3</v>
      </c>
      <c r="H157" s="397"/>
      <c r="I157" s="397"/>
      <c r="J157" s="397"/>
      <c r="K157" s="394"/>
      <c r="L157" s="396"/>
    </row>
    <row r="158" spans="2:12" x14ac:dyDescent="0.2">
      <c r="B158" s="426">
        <v>45494</v>
      </c>
      <c r="C158" s="394">
        <v>142.53</v>
      </c>
      <c r="D158" s="420">
        <f t="shared" si="4"/>
        <v>2.6133909287257007E-2</v>
      </c>
      <c r="E158" s="394"/>
      <c r="F158" s="418">
        <v>24834.85</v>
      </c>
      <c r="G158" s="420">
        <f t="shared" si="5"/>
        <v>1.2390495252925682E-2</v>
      </c>
      <c r="H158" s="397"/>
      <c r="I158" s="397"/>
      <c r="J158" s="397"/>
      <c r="K158" s="394"/>
      <c r="L158" s="396"/>
    </row>
    <row r="159" spans="2:12" x14ac:dyDescent="0.2">
      <c r="B159" s="426">
        <v>45501</v>
      </c>
      <c r="C159" s="394">
        <v>145.27000000000001</v>
      </c>
      <c r="D159" s="420">
        <f t="shared" si="4"/>
        <v>1.922402301269921E-2</v>
      </c>
      <c r="E159" s="394"/>
      <c r="F159" s="418">
        <v>24717.7</v>
      </c>
      <c r="G159" s="420">
        <f t="shared" si="5"/>
        <v>-4.7171615693268887E-3</v>
      </c>
      <c r="H159" s="397"/>
      <c r="I159" s="397"/>
      <c r="J159" s="397"/>
      <c r="K159" s="394"/>
      <c r="L159" s="396"/>
    </row>
    <row r="160" spans="2:12" x14ac:dyDescent="0.2">
      <c r="B160" s="426">
        <v>45508</v>
      </c>
      <c r="C160" s="394">
        <v>139.08000000000001</v>
      </c>
      <c r="D160" s="420">
        <f t="shared" si="4"/>
        <v>-4.2610311833138237E-2</v>
      </c>
      <c r="E160" s="394"/>
      <c r="F160" s="418">
        <v>24367.5</v>
      </c>
      <c r="G160" s="420">
        <f t="shared" si="5"/>
        <v>-1.4167984885325113E-2</v>
      </c>
      <c r="H160" s="397"/>
      <c r="I160" s="397"/>
      <c r="J160" s="397"/>
      <c r="K160" s="394"/>
      <c r="L160" s="396"/>
    </row>
    <row r="161" spans="2:12" x14ac:dyDescent="0.2">
      <c r="B161" s="426">
        <v>45515</v>
      </c>
      <c r="C161" s="394">
        <v>139.47999999999999</v>
      </c>
      <c r="D161" s="420">
        <f t="shared" si="4"/>
        <v>2.8760425654297261E-3</v>
      </c>
      <c r="E161" s="394"/>
      <c r="F161" s="418">
        <v>24541.15</v>
      </c>
      <c r="G161" s="420">
        <f t="shared" si="5"/>
        <v>7.1262952703396998E-3</v>
      </c>
      <c r="H161" s="397"/>
      <c r="I161" s="397"/>
      <c r="J161" s="397"/>
      <c r="K161" s="394"/>
      <c r="L161" s="396"/>
    </row>
    <row r="162" spans="2:12" x14ac:dyDescent="0.2">
      <c r="B162" s="426">
        <v>45522</v>
      </c>
      <c r="C162" s="394">
        <v>135.16</v>
      </c>
      <c r="D162" s="420">
        <f t="shared" si="4"/>
        <v>-3.097218239174071E-2</v>
      </c>
      <c r="E162" s="394"/>
      <c r="F162" s="418">
        <v>24823.15</v>
      </c>
      <c r="G162" s="420">
        <f t="shared" si="5"/>
        <v>1.1490904052988471E-2</v>
      </c>
      <c r="H162" s="397"/>
      <c r="I162" s="397"/>
      <c r="J162" s="397"/>
      <c r="K162" s="394"/>
      <c r="L162" s="396"/>
    </row>
    <row r="163" spans="2:12" x14ac:dyDescent="0.2">
      <c r="B163" s="426">
        <v>45529</v>
      </c>
      <c r="C163" s="394">
        <v>126.41</v>
      </c>
      <c r="D163" s="420">
        <f t="shared" si="4"/>
        <v>-6.4738088191772736E-2</v>
      </c>
      <c r="E163" s="394"/>
      <c r="F163" s="418">
        <v>25235.9</v>
      </c>
      <c r="G163" s="420">
        <f t="shared" si="5"/>
        <v>1.6627623810837822E-2</v>
      </c>
      <c r="H163" s="397"/>
      <c r="I163" s="397"/>
      <c r="J163" s="397"/>
      <c r="K163" s="394"/>
      <c r="L163" s="396"/>
    </row>
    <row r="164" spans="2:12" x14ac:dyDescent="0.2">
      <c r="B164" s="426">
        <v>45536</v>
      </c>
      <c r="C164" s="394">
        <v>126.94</v>
      </c>
      <c r="D164" s="420">
        <f t="shared" si="4"/>
        <v>4.1927062732378673E-3</v>
      </c>
      <c r="E164" s="394"/>
      <c r="F164" s="418">
        <v>24852.15</v>
      </c>
      <c r="G164" s="420">
        <f t="shared" si="5"/>
        <v>-1.5206511358818231E-2</v>
      </c>
      <c r="H164" s="397"/>
      <c r="I164" s="397"/>
      <c r="J164" s="397"/>
      <c r="K164" s="394"/>
      <c r="L164" s="396"/>
    </row>
    <row r="165" spans="2:12" x14ac:dyDescent="0.2">
      <c r="B165" s="426">
        <v>45543</v>
      </c>
      <c r="C165" s="394">
        <v>126.69</v>
      </c>
      <c r="D165" s="420">
        <f t="shared" si="4"/>
        <v>-1.969434378446544E-3</v>
      </c>
      <c r="E165" s="394"/>
      <c r="F165" s="418">
        <v>25356.5</v>
      </c>
      <c r="G165" s="420">
        <f t="shared" si="5"/>
        <v>2.0294018827344829E-2</v>
      </c>
      <c r="H165" s="397"/>
      <c r="I165" s="397"/>
      <c r="J165" s="397"/>
      <c r="K165" s="394"/>
      <c r="L165" s="396"/>
    </row>
    <row r="166" spans="2:12" x14ac:dyDescent="0.2">
      <c r="B166" s="426">
        <v>45550</v>
      </c>
      <c r="C166" s="394">
        <v>133.03</v>
      </c>
      <c r="D166" s="420">
        <f t="shared" si="4"/>
        <v>5.0043413055489872E-2</v>
      </c>
      <c r="E166" s="394"/>
      <c r="F166" s="418">
        <v>25790.95</v>
      </c>
      <c r="G166" s="420">
        <f t="shared" si="5"/>
        <v>1.7133673811448702E-2</v>
      </c>
      <c r="H166" s="397"/>
      <c r="I166" s="397"/>
      <c r="J166" s="397"/>
      <c r="K166" s="394"/>
      <c r="L166" s="396"/>
    </row>
    <row r="167" spans="2:12" x14ac:dyDescent="0.2">
      <c r="B167" s="426">
        <v>45557</v>
      </c>
      <c r="C167" s="394">
        <v>130.86000000000001</v>
      </c>
      <c r="D167" s="420">
        <f t="shared" si="4"/>
        <v>-1.6312110050364481E-2</v>
      </c>
      <c r="E167" s="394"/>
      <c r="F167" s="418">
        <v>26178.95</v>
      </c>
      <c r="G167" s="420">
        <f t="shared" si="5"/>
        <v>1.5044036764834123E-2</v>
      </c>
      <c r="H167" s="397"/>
      <c r="I167" s="397"/>
      <c r="J167" s="397"/>
      <c r="K167" s="394"/>
      <c r="L167" s="396"/>
    </row>
    <row r="168" spans="2:12" x14ac:dyDescent="0.2">
      <c r="B168" s="426">
        <v>45564</v>
      </c>
      <c r="C168" s="394">
        <v>128.41999999999999</v>
      </c>
      <c r="D168" s="420">
        <f t="shared" si="4"/>
        <v>-1.8645881094299432E-2</v>
      </c>
      <c r="E168" s="394"/>
      <c r="F168" s="418">
        <v>25014.6</v>
      </c>
      <c r="G168" s="420">
        <f t="shared" si="5"/>
        <v>-4.4476573735768743E-2</v>
      </c>
      <c r="H168" s="397"/>
      <c r="I168" s="397"/>
      <c r="J168" s="397"/>
      <c r="K168" s="394"/>
      <c r="L168" s="396"/>
    </row>
    <row r="169" spans="2:12" x14ac:dyDescent="0.2">
      <c r="B169" s="426">
        <v>45571</v>
      </c>
      <c r="C169" s="394">
        <v>128.46</v>
      </c>
      <c r="D169" s="420">
        <f t="shared" si="4"/>
        <v>3.1147796293429231E-4</v>
      </c>
      <c r="E169" s="394"/>
      <c r="F169" s="418">
        <v>24964.25</v>
      </c>
      <c r="G169" s="420">
        <f t="shared" si="5"/>
        <v>-2.0128245104857889E-3</v>
      </c>
      <c r="H169" s="397"/>
      <c r="I169" s="397"/>
      <c r="J169" s="397"/>
      <c r="K169" s="394"/>
      <c r="L169" s="396"/>
    </row>
    <row r="170" spans="2:12" x14ac:dyDescent="0.2">
      <c r="B170" s="426">
        <v>45578</v>
      </c>
      <c r="C170" s="394">
        <v>122.28</v>
      </c>
      <c r="D170" s="420">
        <f t="shared" si="4"/>
        <v>-4.8108360579168674E-2</v>
      </c>
      <c r="E170" s="394"/>
      <c r="F170" s="418">
        <v>24854.05</v>
      </c>
      <c r="G170" s="420">
        <f t="shared" si="5"/>
        <v>-4.4143124668275524E-3</v>
      </c>
      <c r="H170" s="397"/>
      <c r="I170" s="397"/>
      <c r="J170" s="397"/>
      <c r="K170" s="394"/>
      <c r="L170" s="396"/>
    </row>
    <row r="171" spans="2:12" x14ac:dyDescent="0.2">
      <c r="B171" s="426">
        <v>45585</v>
      </c>
      <c r="C171" s="394">
        <v>118.46</v>
      </c>
      <c r="D171" s="420">
        <f t="shared" si="4"/>
        <v>-3.1239777559699089E-2</v>
      </c>
      <c r="E171" s="394"/>
      <c r="F171" s="418">
        <v>24180.799999999999</v>
      </c>
      <c r="G171" s="420">
        <f t="shared" si="5"/>
        <v>-2.7088140564616281E-2</v>
      </c>
      <c r="H171" s="397"/>
      <c r="I171" s="397"/>
      <c r="J171" s="397"/>
      <c r="K171" s="394"/>
      <c r="L171" s="396"/>
    </row>
    <row r="172" spans="2:12" x14ac:dyDescent="0.2">
      <c r="B172" s="426">
        <v>45592</v>
      </c>
      <c r="C172" s="394">
        <v>119.47</v>
      </c>
      <c r="D172" s="420">
        <f t="shared" si="4"/>
        <v>8.5260847543475737E-3</v>
      </c>
      <c r="E172" s="394"/>
      <c r="F172" s="418">
        <v>24304.35</v>
      </c>
      <c r="G172" s="420">
        <f t="shared" si="5"/>
        <v>5.1094256600276999E-3</v>
      </c>
      <c r="H172" s="397"/>
      <c r="I172" s="397"/>
      <c r="J172" s="397"/>
      <c r="K172" s="394"/>
      <c r="L172" s="396"/>
    </row>
    <row r="173" spans="2:12" x14ac:dyDescent="0.2">
      <c r="B173" s="426">
        <v>45599</v>
      </c>
      <c r="C173" s="394">
        <v>117.8</v>
      </c>
      <c r="D173" s="420">
        <f t="shared" si="4"/>
        <v>-1.3978404620406781E-2</v>
      </c>
      <c r="E173" s="394"/>
      <c r="F173" s="418">
        <v>24148.2</v>
      </c>
      <c r="G173" s="420">
        <f t="shared" si="5"/>
        <v>-6.4247758117372822E-3</v>
      </c>
      <c r="H173" s="397"/>
      <c r="I173" s="397"/>
      <c r="J173" s="397"/>
      <c r="K173" s="394"/>
      <c r="L173" s="396"/>
    </row>
    <row r="174" spans="2:12" x14ac:dyDescent="0.2">
      <c r="B174" s="426">
        <v>45606</v>
      </c>
      <c r="C174" s="394">
        <v>109.82</v>
      </c>
      <c r="D174" s="420">
        <f t="shared" si="4"/>
        <v>-6.7741935483870974E-2</v>
      </c>
      <c r="E174" s="394"/>
      <c r="F174" s="418">
        <v>23532.7</v>
      </c>
      <c r="G174" s="420">
        <f t="shared" si="5"/>
        <v>-2.5488442202731498E-2</v>
      </c>
      <c r="H174" s="397"/>
      <c r="I174" s="397"/>
      <c r="J174" s="397"/>
      <c r="K174" s="394"/>
      <c r="L174" s="396"/>
    </row>
    <row r="175" spans="2:12" x14ac:dyDescent="0.2">
      <c r="B175" s="426">
        <v>45613</v>
      </c>
      <c r="C175" s="394">
        <v>92.09</v>
      </c>
      <c r="D175" s="420">
        <f t="shared" si="4"/>
        <v>-0.1614460025496266</v>
      </c>
      <c r="E175" s="394"/>
      <c r="F175" s="418">
        <v>23907.25</v>
      </c>
      <c r="G175" s="420">
        <f t="shared" si="5"/>
        <v>1.5916150717937061E-2</v>
      </c>
      <c r="H175" s="397"/>
      <c r="I175" s="397"/>
      <c r="J175" s="397"/>
      <c r="K175" s="394"/>
      <c r="L175" s="396"/>
    </row>
    <row r="176" spans="2:12" x14ac:dyDescent="0.2">
      <c r="B176" s="426">
        <v>45620</v>
      </c>
      <c r="C176" s="394">
        <v>110.96</v>
      </c>
      <c r="D176" s="420">
        <f t="shared" si="4"/>
        <v>0.20490824193723522</v>
      </c>
      <c r="E176" s="394"/>
      <c r="F176" s="418">
        <v>24131.1</v>
      </c>
      <c r="G176" s="420">
        <f t="shared" si="5"/>
        <v>9.3632684645870157E-3</v>
      </c>
      <c r="H176" s="397"/>
      <c r="I176" s="397"/>
      <c r="J176" s="397"/>
      <c r="K176" s="394"/>
      <c r="L176" s="396"/>
    </row>
    <row r="177" spans="2:12" x14ac:dyDescent="0.2">
      <c r="B177" s="426">
        <v>45627</v>
      </c>
      <c r="C177" s="394">
        <v>107.22</v>
      </c>
      <c r="D177" s="420">
        <f t="shared" si="4"/>
        <v>-3.3705839942321458E-2</v>
      </c>
      <c r="E177" s="394"/>
      <c r="F177" s="418">
        <v>24677.8</v>
      </c>
      <c r="G177" s="420">
        <f t="shared" si="5"/>
        <v>2.2655411481449228E-2</v>
      </c>
      <c r="H177" s="397"/>
      <c r="I177" s="397"/>
      <c r="J177" s="397"/>
      <c r="K177" s="394"/>
      <c r="L177" s="396"/>
    </row>
    <row r="178" spans="2:12" x14ac:dyDescent="0.2">
      <c r="B178" s="426">
        <v>45634</v>
      </c>
      <c r="C178" s="394">
        <v>107.32</v>
      </c>
      <c r="D178" s="420">
        <f t="shared" si="4"/>
        <v>9.3266181682527538E-4</v>
      </c>
      <c r="E178" s="394"/>
      <c r="F178" s="418">
        <v>24768.3</v>
      </c>
      <c r="G178" s="420">
        <f t="shared" si="5"/>
        <v>3.6672636944945491E-3</v>
      </c>
      <c r="H178" s="397"/>
      <c r="I178" s="397"/>
      <c r="J178" s="397"/>
      <c r="K178" s="394"/>
      <c r="L178" s="396"/>
    </row>
    <row r="179" spans="2:12" x14ac:dyDescent="0.2">
      <c r="B179" s="426">
        <v>45641</v>
      </c>
      <c r="C179" s="394">
        <v>99.58</v>
      </c>
      <c r="D179" s="420">
        <f t="shared" si="4"/>
        <v>-7.2120760342899715E-2</v>
      </c>
      <c r="E179" s="394"/>
      <c r="F179" s="418">
        <v>23587.5</v>
      </c>
      <c r="G179" s="420">
        <f t="shared" si="5"/>
        <v>-4.7673841159869612E-2</v>
      </c>
      <c r="H179" s="397"/>
      <c r="I179" s="397"/>
      <c r="J179" s="397"/>
      <c r="K179" s="394"/>
      <c r="L179" s="396"/>
    </row>
    <row r="180" spans="2:12" x14ac:dyDescent="0.2">
      <c r="B180" s="426">
        <v>45648</v>
      </c>
      <c r="C180" s="394">
        <v>101.35</v>
      </c>
      <c r="D180" s="420">
        <f t="shared" si="4"/>
        <v>1.7774653544888386E-2</v>
      </c>
      <c r="E180" s="394"/>
      <c r="F180" s="418">
        <v>23813.4</v>
      </c>
      <c r="G180" s="420">
        <f t="shared" si="5"/>
        <v>9.5771065182830295E-3</v>
      </c>
      <c r="H180" s="397"/>
      <c r="I180" s="397"/>
      <c r="J180" s="397"/>
      <c r="K180" s="394"/>
      <c r="L180" s="396"/>
    </row>
    <row r="181" spans="2:12" x14ac:dyDescent="0.2">
      <c r="B181" s="426">
        <v>45655</v>
      </c>
      <c r="C181" s="394">
        <v>104.09</v>
      </c>
      <c r="D181" s="420">
        <f t="shared" si="4"/>
        <v>2.7035027133695211E-2</v>
      </c>
      <c r="E181" s="394"/>
      <c r="F181" s="418">
        <v>24004.75</v>
      </c>
      <c r="G181" s="420">
        <f t="shared" si="5"/>
        <v>8.035391838208783E-3</v>
      </c>
      <c r="H181" s="397"/>
      <c r="I181" s="397"/>
      <c r="J181" s="397"/>
      <c r="K181" s="394"/>
      <c r="L181" s="396"/>
    </row>
    <row r="182" spans="2:12" x14ac:dyDescent="0.2">
      <c r="B182" s="426">
        <v>45662</v>
      </c>
      <c r="C182" s="394">
        <v>96.46</v>
      </c>
      <c r="D182" s="420">
        <f t="shared" si="4"/>
        <v>-7.3301950235373337E-2</v>
      </c>
      <c r="E182" s="394"/>
      <c r="F182" s="418">
        <v>23431.5</v>
      </c>
      <c r="G182" s="420">
        <f t="shared" si="5"/>
        <v>-2.3880690280048689E-2</v>
      </c>
      <c r="H182" s="397"/>
      <c r="I182" s="397"/>
      <c r="J182" s="397"/>
      <c r="K182" s="394"/>
      <c r="L182" s="396"/>
    </row>
    <row r="183" spans="2:12" x14ac:dyDescent="0.2">
      <c r="B183" s="426">
        <v>45669</v>
      </c>
      <c r="C183" s="394">
        <v>110.26</v>
      </c>
      <c r="D183" s="420">
        <f t="shared" si="4"/>
        <v>0.14306448268712435</v>
      </c>
      <c r="E183" s="394"/>
      <c r="F183" s="418">
        <v>23203.200000000001</v>
      </c>
      <c r="G183" s="420">
        <f t="shared" si="5"/>
        <v>-9.7432942833365344E-3</v>
      </c>
      <c r="H183" s="397"/>
      <c r="I183" s="397"/>
      <c r="J183" s="397"/>
      <c r="K183" s="394"/>
      <c r="L183" s="396"/>
    </row>
    <row r="184" spans="2:12" x14ac:dyDescent="0.2">
      <c r="B184" s="426">
        <v>45676</v>
      </c>
      <c r="C184" s="394">
        <v>102.97</v>
      </c>
      <c r="D184" s="420">
        <f t="shared" si="4"/>
        <v>-6.6116452022492389E-2</v>
      </c>
      <c r="E184" s="394"/>
      <c r="F184" s="418">
        <v>23092.2</v>
      </c>
      <c r="G184" s="420">
        <f t="shared" si="5"/>
        <v>-4.7838229209764549E-3</v>
      </c>
      <c r="H184" s="397"/>
      <c r="I184" s="397"/>
      <c r="J184" s="397"/>
      <c r="K184" s="394"/>
      <c r="L184" s="396"/>
    </row>
    <row r="185" spans="2:12" x14ac:dyDescent="0.2">
      <c r="B185" s="426">
        <v>45683</v>
      </c>
      <c r="C185" s="394">
        <v>102.64</v>
      </c>
      <c r="D185" s="420">
        <f t="shared" si="4"/>
        <v>-3.2048169369719437E-3</v>
      </c>
      <c r="E185" s="394"/>
      <c r="F185" s="418">
        <v>23508.400000000001</v>
      </c>
      <c r="G185" s="420">
        <f t="shared" si="5"/>
        <v>1.8023401841314346E-2</v>
      </c>
      <c r="H185" s="397"/>
      <c r="I185" s="397"/>
      <c r="J185" s="397"/>
      <c r="K185" s="394"/>
      <c r="L185" s="396"/>
    </row>
    <row r="186" spans="2:12" x14ac:dyDescent="0.2">
      <c r="B186" s="426">
        <v>45690</v>
      </c>
      <c r="C186" s="394">
        <v>98.82</v>
      </c>
      <c r="D186" s="420">
        <f t="shared" si="4"/>
        <v>-3.7217459080280624E-2</v>
      </c>
      <c r="E186" s="394"/>
      <c r="F186" s="418">
        <v>23559.95</v>
      </c>
      <c r="G186" s="420">
        <f t="shared" si="5"/>
        <v>2.1928332000475947E-3</v>
      </c>
      <c r="H186" s="397"/>
      <c r="I186" s="397"/>
      <c r="J186" s="397"/>
      <c r="K186" s="394"/>
      <c r="L186" s="396"/>
    </row>
    <row r="187" spans="2:12" x14ac:dyDescent="0.2">
      <c r="B187" s="426">
        <v>45697</v>
      </c>
      <c r="C187" s="394">
        <v>97.73</v>
      </c>
      <c r="D187" s="420">
        <f t="shared" si="4"/>
        <v>-1.1030155838898881E-2</v>
      </c>
      <c r="E187" s="394"/>
      <c r="F187" s="418">
        <v>22929.25</v>
      </c>
      <c r="G187" s="420">
        <f t="shared" si="5"/>
        <v>-2.6770005878620329E-2</v>
      </c>
      <c r="H187" s="397"/>
      <c r="I187" s="397"/>
      <c r="J187" s="397"/>
      <c r="K187" s="394"/>
      <c r="L187" s="396"/>
    </row>
    <row r="188" spans="2:12" x14ac:dyDescent="0.2">
      <c r="B188" s="426">
        <v>45704</v>
      </c>
      <c r="C188" s="394">
        <v>95.73</v>
      </c>
      <c r="D188" s="420">
        <f t="shared" si="4"/>
        <v>-2.0464545175483462E-2</v>
      </c>
      <c r="E188" s="394"/>
      <c r="F188" s="418">
        <v>22795.9</v>
      </c>
      <c r="G188" s="420">
        <f t="shared" si="5"/>
        <v>-5.8157157342695331E-3</v>
      </c>
      <c r="H188" s="397"/>
      <c r="I188" s="397"/>
      <c r="J188" s="397"/>
      <c r="K188" s="394"/>
      <c r="L188" s="396"/>
    </row>
    <row r="189" spans="2:12" x14ac:dyDescent="0.2">
      <c r="B189" s="426">
        <v>45711</v>
      </c>
      <c r="C189" s="394">
        <v>95.79</v>
      </c>
      <c r="D189" s="420">
        <f t="shared" si="4"/>
        <v>6.2676277029138916E-4</v>
      </c>
      <c r="E189" s="394"/>
      <c r="F189" s="418">
        <v>22124.7</v>
      </c>
      <c r="G189" s="420">
        <f t="shared" si="5"/>
        <v>-2.9443891226053842E-2</v>
      </c>
      <c r="H189" s="397"/>
      <c r="I189" s="397"/>
      <c r="J189" s="397"/>
      <c r="K189" s="394"/>
      <c r="L189" s="396"/>
    </row>
    <row r="190" spans="2:12" x14ac:dyDescent="0.2">
      <c r="B190" s="426">
        <v>45718</v>
      </c>
      <c r="C190" s="394">
        <v>101.23</v>
      </c>
      <c r="D190" s="420">
        <f t="shared" si="4"/>
        <v>5.6790896753314613E-2</v>
      </c>
      <c r="E190" s="394"/>
      <c r="F190" s="418">
        <v>22552.5</v>
      </c>
      <c r="G190" s="420">
        <f t="shared" si="5"/>
        <v>1.9335855401429125E-2</v>
      </c>
      <c r="H190" s="397"/>
      <c r="I190" s="397"/>
      <c r="J190" s="397"/>
      <c r="K190" s="394"/>
      <c r="L190" s="396"/>
    </row>
    <row r="191" spans="2:12" x14ac:dyDescent="0.2">
      <c r="B191" s="426">
        <v>45725</v>
      </c>
      <c r="C191" s="394">
        <v>102.4</v>
      </c>
      <c r="D191" s="420">
        <f t="shared" si="4"/>
        <v>1.1557838585399605E-2</v>
      </c>
      <c r="E191" s="394"/>
      <c r="F191" s="418">
        <v>22397.200000000001</v>
      </c>
      <c r="G191" s="420">
        <f t="shared" si="5"/>
        <v>-6.8861545283227521E-3</v>
      </c>
      <c r="H191" s="397"/>
      <c r="I191" s="397"/>
      <c r="J191" s="397"/>
      <c r="K191" s="394"/>
      <c r="L191" s="396"/>
    </row>
    <row r="192" spans="2:12" x14ac:dyDescent="0.2">
      <c r="B192" s="426">
        <v>45732</v>
      </c>
      <c r="C192" s="394">
        <v>104.42</v>
      </c>
      <c r="D192" s="420">
        <f t="shared" si="4"/>
        <v>1.9726562500000044E-2</v>
      </c>
      <c r="E192" s="394"/>
      <c r="F192" s="418">
        <v>23350.400000000001</v>
      </c>
      <c r="G192" s="420">
        <f t="shared" si="5"/>
        <v>4.2558891289982803E-2</v>
      </c>
      <c r="H192" s="397"/>
      <c r="I192" s="397"/>
      <c r="J192" s="397"/>
      <c r="K192" s="394"/>
      <c r="L192" s="396"/>
    </row>
    <row r="193" spans="2:12" x14ac:dyDescent="0.2">
      <c r="B193" s="426">
        <v>45739</v>
      </c>
      <c r="C193" s="394">
        <v>101.86</v>
      </c>
      <c r="D193" s="420">
        <f t="shared" si="4"/>
        <v>-2.4516376173146948E-2</v>
      </c>
      <c r="E193" s="394"/>
      <c r="F193" s="418">
        <v>23519.35</v>
      </c>
      <c r="G193" s="420">
        <f t="shared" si="5"/>
        <v>7.2354220912702605E-3</v>
      </c>
      <c r="H193" s="397"/>
      <c r="I193" s="397"/>
      <c r="J193" s="397"/>
      <c r="K193" s="394"/>
      <c r="L193" s="396"/>
    </row>
    <row r="194" spans="2:12" x14ac:dyDescent="0.2">
      <c r="B194" s="426">
        <v>45746</v>
      </c>
      <c r="C194" s="394">
        <v>106.51</v>
      </c>
      <c r="D194" s="420">
        <f t="shared" si="4"/>
        <v>4.565089338307482E-2</v>
      </c>
      <c r="E194" s="394"/>
      <c r="F194" s="418">
        <v>22904.45</v>
      </c>
      <c r="G194" s="420">
        <f t="shared" si="5"/>
        <v>-2.6144430011883713E-2</v>
      </c>
      <c r="H194" s="397"/>
      <c r="I194" s="397"/>
      <c r="J194" s="397"/>
      <c r="K194" s="394"/>
      <c r="L194" s="396"/>
    </row>
    <row r="195" spans="2:12" x14ac:dyDescent="0.2">
      <c r="B195" s="426">
        <v>45753</v>
      </c>
      <c r="C195" s="394">
        <v>103.65</v>
      </c>
      <c r="D195" s="420">
        <f t="shared" si="4"/>
        <v>-2.6851938785090623E-2</v>
      </c>
      <c r="E195" s="394"/>
      <c r="F195" s="418">
        <v>22828.55</v>
      </c>
      <c r="G195" s="420">
        <f t="shared" si="5"/>
        <v>-3.3137665388167648E-3</v>
      </c>
      <c r="H195" s="397"/>
      <c r="I195" s="397"/>
      <c r="J195" s="397"/>
      <c r="K195" s="394"/>
      <c r="L195" s="396"/>
    </row>
    <row r="196" spans="2:12" x14ac:dyDescent="0.2">
      <c r="B196" s="426">
        <v>45760</v>
      </c>
      <c r="C196" s="394">
        <v>109.94</v>
      </c>
      <c r="D196" s="420">
        <f t="shared" si="4"/>
        <v>6.0684997588036582E-2</v>
      </c>
      <c r="E196" s="394"/>
      <c r="F196" s="418">
        <v>23851.65</v>
      </c>
      <c r="G196" s="420">
        <f t="shared" si="5"/>
        <v>4.4816687875489425E-2</v>
      </c>
      <c r="H196" s="397"/>
      <c r="I196" s="397"/>
      <c r="J196" s="397"/>
      <c r="K196" s="394"/>
      <c r="L196" s="396"/>
    </row>
    <row r="197" spans="2:12" x14ac:dyDescent="0.2">
      <c r="B197" s="426">
        <v>45767</v>
      </c>
      <c r="C197" s="394">
        <v>109.87</v>
      </c>
      <c r="D197" s="420">
        <f t="shared" si="4"/>
        <v>-6.3671093323625083E-4</v>
      </c>
      <c r="E197" s="394"/>
      <c r="F197" s="418">
        <v>24039.35</v>
      </c>
      <c r="G197" s="420">
        <f t="shared" si="5"/>
        <v>7.86947653516612E-3</v>
      </c>
      <c r="H197" s="397"/>
      <c r="I197" s="397"/>
      <c r="J197" s="397"/>
      <c r="K197" s="394"/>
      <c r="L197" s="396"/>
    </row>
    <row r="198" spans="2:12" x14ac:dyDescent="0.2">
      <c r="B198" s="426">
        <v>45774</v>
      </c>
      <c r="C198" s="394">
        <v>105.04</v>
      </c>
      <c r="D198" s="420">
        <f t="shared" si="4"/>
        <v>-4.3961044871211441E-2</v>
      </c>
      <c r="E198" s="394"/>
      <c r="F198" s="418">
        <v>24346.7</v>
      </c>
      <c r="G198" s="420">
        <f t="shared" si="5"/>
        <v>1.2785287455775673E-2</v>
      </c>
      <c r="H198" s="397"/>
      <c r="I198" s="397"/>
      <c r="J198" s="397"/>
      <c r="K198" s="394"/>
      <c r="L198" s="396"/>
    </row>
    <row r="199" spans="2:12" x14ac:dyDescent="0.2">
      <c r="B199" s="426">
        <v>45781</v>
      </c>
      <c r="C199" s="394">
        <v>102.4</v>
      </c>
      <c r="D199" s="420">
        <f t="shared" si="4"/>
        <v>-2.5133282559025139E-2</v>
      </c>
      <c r="E199" s="394"/>
      <c r="F199" s="418">
        <v>24008</v>
      </c>
      <c r="G199" s="420">
        <f t="shared" si="5"/>
        <v>-1.391153626569519E-2</v>
      </c>
      <c r="H199" s="397"/>
      <c r="I199" s="397"/>
      <c r="J199" s="397"/>
      <c r="K199" s="394"/>
      <c r="L199" s="396"/>
    </row>
    <row r="200" spans="2:12" x14ac:dyDescent="0.2">
      <c r="B200" s="426">
        <v>45788</v>
      </c>
      <c r="C200" s="394">
        <v>113.1</v>
      </c>
      <c r="D200" s="420">
        <f t="shared" si="4"/>
        <v>0.10449218749999978</v>
      </c>
      <c r="E200" s="394"/>
      <c r="F200" s="418">
        <v>25019.8</v>
      </c>
      <c r="G200" s="420">
        <f t="shared" si="5"/>
        <v>4.2144285238253865E-2</v>
      </c>
      <c r="H200" s="397"/>
      <c r="I200" s="397"/>
      <c r="J200" s="397"/>
      <c r="K200" s="394"/>
      <c r="L200" s="396"/>
    </row>
    <row r="201" spans="2:12" x14ac:dyDescent="0.2">
      <c r="B201" s="426">
        <v>45795</v>
      </c>
      <c r="C201" s="394">
        <v>110.64</v>
      </c>
      <c r="D201" s="420">
        <f t="shared" si="4"/>
        <v>-2.1750663129973424E-2</v>
      </c>
      <c r="E201" s="394"/>
      <c r="F201" s="418">
        <v>24853.15</v>
      </c>
      <c r="G201" s="420">
        <f t="shared" si="5"/>
        <v>-6.660724706032739E-3</v>
      </c>
      <c r="H201" s="397"/>
      <c r="I201" s="397"/>
      <c r="J201" s="397"/>
      <c r="K201" s="394"/>
      <c r="L201" s="396"/>
    </row>
    <row r="202" spans="2:12" x14ac:dyDescent="0.2">
      <c r="B202" s="426">
        <v>45802</v>
      </c>
      <c r="C202" s="394">
        <v>108.76</v>
      </c>
      <c r="D202" s="420">
        <f t="shared" si="4"/>
        <v>-1.6992046276211092E-2</v>
      </c>
      <c r="E202" s="394"/>
      <c r="F202" s="418">
        <v>24750.7</v>
      </c>
      <c r="G202" s="420">
        <f t="shared" si="5"/>
        <v>-4.1222138843567402E-3</v>
      </c>
      <c r="H202" s="397"/>
      <c r="I202" s="397"/>
      <c r="J202" s="397"/>
      <c r="K202" s="394"/>
      <c r="L202" s="396"/>
    </row>
    <row r="203" spans="2:12" x14ac:dyDescent="0.2">
      <c r="B203" s="426">
        <v>45809</v>
      </c>
      <c r="C203" s="394">
        <v>111.05</v>
      </c>
      <c r="D203" s="420">
        <f t="shared" si="4"/>
        <v>2.1055535123206903E-2</v>
      </c>
      <c r="E203" s="394"/>
      <c r="F203" s="418">
        <v>25003.05</v>
      </c>
      <c r="G203" s="420">
        <f t="shared" si="5"/>
        <v>1.0195671233540704E-2</v>
      </c>
      <c r="H203" s="397"/>
      <c r="I203" s="397"/>
      <c r="J203" s="397"/>
      <c r="K203" s="394"/>
      <c r="L203" s="396"/>
    </row>
    <row r="204" spans="2:12" x14ac:dyDescent="0.2">
      <c r="B204" s="426">
        <v>45816</v>
      </c>
      <c r="C204" s="394">
        <v>114.18</v>
      </c>
      <c r="D204" s="420">
        <f t="shared" ref="D204:D267" si="6">C204/C203-1</f>
        <v>2.8185502026114362E-2</v>
      </c>
      <c r="E204" s="394"/>
      <c r="F204" s="418">
        <v>24718.6</v>
      </c>
      <c r="G204" s="420">
        <f t="shared" ref="G204:G267" si="7">F204/F203-1</f>
        <v>-1.1376612053329516E-2</v>
      </c>
      <c r="H204" s="397"/>
      <c r="I204" s="397"/>
      <c r="J204" s="397"/>
      <c r="K204" s="394"/>
      <c r="L204" s="396"/>
    </row>
    <row r="205" spans="2:12" x14ac:dyDescent="0.2">
      <c r="B205" s="426">
        <v>45823</v>
      </c>
      <c r="C205" s="394">
        <v>106.05</v>
      </c>
      <c r="D205" s="420">
        <f t="shared" si="6"/>
        <v>-7.1203363110877604E-2</v>
      </c>
      <c r="E205" s="394"/>
      <c r="F205" s="418">
        <v>25112.400000000001</v>
      </c>
      <c r="G205" s="420">
        <f t="shared" si="7"/>
        <v>1.5931322971365791E-2</v>
      </c>
      <c r="H205" s="397"/>
      <c r="I205" s="397"/>
      <c r="J205" s="397"/>
      <c r="K205" s="394"/>
      <c r="L205" s="396"/>
    </row>
    <row r="206" spans="2:12" x14ac:dyDescent="0.2">
      <c r="B206" s="426">
        <v>45830</v>
      </c>
      <c r="C206" s="394">
        <v>116.87</v>
      </c>
      <c r="D206" s="420">
        <f t="shared" si="6"/>
        <v>0.10202734559170201</v>
      </c>
      <c r="E206" s="394"/>
      <c r="F206" s="418">
        <v>25637.8</v>
      </c>
      <c r="G206" s="420">
        <f t="shared" si="7"/>
        <v>2.092193498032846E-2</v>
      </c>
      <c r="H206" s="397"/>
      <c r="I206" s="397"/>
      <c r="J206" s="397"/>
      <c r="K206" s="394"/>
      <c r="L206" s="396"/>
    </row>
    <row r="207" spans="2:12" x14ac:dyDescent="0.2">
      <c r="B207" s="426">
        <v>45837</v>
      </c>
      <c r="C207" s="394">
        <v>116.96</v>
      </c>
      <c r="D207" s="420">
        <f t="shared" si="6"/>
        <v>7.7008642080933498E-4</v>
      </c>
      <c r="E207" s="394"/>
      <c r="F207" s="418">
        <v>25461</v>
      </c>
      <c r="G207" s="420">
        <f t="shared" si="7"/>
        <v>-6.8960675252947023E-3</v>
      </c>
      <c r="H207" s="397"/>
      <c r="I207" s="397"/>
      <c r="J207" s="397"/>
      <c r="K207" s="394"/>
      <c r="L207" s="396"/>
    </row>
    <row r="208" spans="2:12" x14ac:dyDescent="0.2">
      <c r="B208" s="426">
        <v>45844</v>
      </c>
      <c r="C208" s="394">
        <v>120.79</v>
      </c>
      <c r="D208" s="420">
        <f t="shared" si="6"/>
        <v>3.2746238030095798E-2</v>
      </c>
      <c r="E208" s="394"/>
      <c r="F208" s="418">
        <v>25149.85</v>
      </c>
      <c r="G208" s="420">
        <f t="shared" si="7"/>
        <v>-1.2220651192019205E-2</v>
      </c>
      <c r="H208" s="397"/>
      <c r="I208" s="397"/>
      <c r="J208" s="397"/>
      <c r="K208" s="394"/>
      <c r="L208" s="396"/>
    </row>
    <row r="209" spans="2:12" x14ac:dyDescent="0.2">
      <c r="B209" s="426">
        <v>45851</v>
      </c>
      <c r="C209" s="394">
        <v>118.93</v>
      </c>
      <c r="D209" s="420">
        <f t="shared" si="6"/>
        <v>-1.5398625714049152E-2</v>
      </c>
      <c r="E209" s="394"/>
      <c r="F209" s="418">
        <v>24968.400000000001</v>
      </c>
      <c r="G209" s="420">
        <f t="shared" si="7"/>
        <v>-7.214754759968578E-3</v>
      </c>
      <c r="H209" s="397"/>
      <c r="I209" s="397"/>
      <c r="J209" s="397"/>
      <c r="K209" s="394"/>
      <c r="L209" s="396"/>
    </row>
    <row r="210" spans="2:12" x14ac:dyDescent="0.2">
      <c r="B210" s="426">
        <v>45858</v>
      </c>
      <c r="C210" s="394">
        <v>114</v>
      </c>
      <c r="D210" s="420">
        <f t="shared" si="6"/>
        <v>-4.1452955520053902E-2</v>
      </c>
      <c r="E210" s="394"/>
      <c r="F210" s="418">
        <v>24837</v>
      </c>
      <c r="G210" s="420">
        <f t="shared" si="7"/>
        <v>-5.2626519921180615E-3</v>
      </c>
      <c r="H210" s="397"/>
      <c r="I210" s="397"/>
      <c r="J210" s="397"/>
      <c r="K210" s="394"/>
      <c r="L210" s="396"/>
    </row>
    <row r="211" spans="2:12" x14ac:dyDescent="0.2">
      <c r="B211" s="426">
        <v>45865</v>
      </c>
      <c r="C211" s="394">
        <v>113.4</v>
      </c>
      <c r="D211" s="420">
        <f t="shared" si="6"/>
        <v>-5.2631578947367474E-3</v>
      </c>
      <c r="E211" s="394"/>
      <c r="F211" s="418">
        <v>24565.35</v>
      </c>
      <c r="G211" s="420">
        <f t="shared" si="7"/>
        <v>-1.0937311269477057E-2</v>
      </c>
      <c r="H211" s="397"/>
      <c r="I211" s="397"/>
      <c r="J211" s="397"/>
      <c r="K211" s="394"/>
      <c r="L211" s="396"/>
    </row>
    <row r="212" spans="2:12" x14ac:dyDescent="0.2">
      <c r="B212" s="426">
        <v>45872</v>
      </c>
      <c r="C212" s="394">
        <v>115.38</v>
      </c>
      <c r="D212" s="420">
        <f t="shared" si="6"/>
        <v>1.7460317460317398E-2</v>
      </c>
      <c r="E212" s="394"/>
      <c r="F212" s="418">
        <v>24363.3</v>
      </c>
      <c r="G212" s="420">
        <f t="shared" si="7"/>
        <v>-8.2249998473459263E-3</v>
      </c>
      <c r="H212" s="397"/>
      <c r="I212" s="397"/>
      <c r="J212" s="397"/>
      <c r="K212" s="394"/>
      <c r="L212" s="396"/>
    </row>
    <row r="213" spans="2:12" x14ac:dyDescent="0.2">
      <c r="B213" s="426">
        <v>45879</v>
      </c>
      <c r="C213" s="394">
        <v>116.81</v>
      </c>
      <c r="D213" s="420">
        <f t="shared" si="6"/>
        <v>1.2393829086496888E-2</v>
      </c>
      <c r="E213" s="394"/>
      <c r="F213" s="418">
        <v>24631.3</v>
      </c>
      <c r="G213" s="420">
        <f t="shared" si="7"/>
        <v>1.100015186776826E-2</v>
      </c>
      <c r="H213" s="397"/>
      <c r="I213" s="397"/>
      <c r="J213" s="397"/>
      <c r="K213" s="394"/>
      <c r="L213" s="396"/>
    </row>
    <row r="214" spans="2:12" x14ac:dyDescent="0.2">
      <c r="B214" s="426">
        <v>45886</v>
      </c>
      <c r="C214" s="394">
        <v>118.86</v>
      </c>
      <c r="D214" s="420">
        <f t="shared" si="6"/>
        <v>1.7549867305881373E-2</v>
      </c>
      <c r="E214" s="394"/>
      <c r="F214" s="418">
        <v>24870.1</v>
      </c>
      <c r="G214" s="420">
        <f t="shared" si="7"/>
        <v>9.6949815884666002E-3</v>
      </c>
      <c r="H214" s="397"/>
      <c r="I214" s="397"/>
      <c r="J214" s="397"/>
      <c r="K214" s="394"/>
      <c r="L214" s="396"/>
    </row>
    <row r="215" spans="2:12" x14ac:dyDescent="0.2">
      <c r="B215" s="426">
        <v>45893</v>
      </c>
      <c r="C215" s="394">
        <v>120.13</v>
      </c>
      <c r="D215" s="420">
        <f t="shared" si="6"/>
        <v>1.0684839306747351E-2</v>
      </c>
      <c r="E215" s="394"/>
      <c r="F215" s="418">
        <v>24426.85</v>
      </c>
      <c r="G215" s="420">
        <f t="shared" si="7"/>
        <v>-1.7822606262138052E-2</v>
      </c>
      <c r="H215" s="397"/>
      <c r="I215" s="397"/>
      <c r="J215" s="397"/>
      <c r="K215" s="394"/>
      <c r="L215" s="396"/>
    </row>
    <row r="216" spans="2:12" x14ac:dyDescent="0.2">
      <c r="B216" s="426">
        <v>45900</v>
      </c>
      <c r="C216" s="394">
        <v>121.94</v>
      </c>
      <c r="D216" s="420">
        <f t="shared" si="6"/>
        <v>1.5067010738366804E-2</v>
      </c>
      <c r="E216" s="394"/>
      <c r="F216" s="418">
        <v>24741</v>
      </c>
      <c r="G216" s="420">
        <f t="shared" si="7"/>
        <v>1.2860847796584585E-2</v>
      </c>
      <c r="H216" s="397"/>
      <c r="I216" s="397"/>
      <c r="J216" s="397"/>
      <c r="K216" s="394"/>
      <c r="L216" s="396"/>
    </row>
    <row r="217" spans="2:12" x14ac:dyDescent="0.2">
      <c r="B217" s="426">
        <v>45907</v>
      </c>
      <c r="C217" s="394">
        <v>129.71</v>
      </c>
      <c r="D217" s="420">
        <f t="shared" si="6"/>
        <v>6.3719862227324953E-2</v>
      </c>
      <c r="E217" s="394"/>
      <c r="F217" s="418">
        <v>25114</v>
      </c>
      <c r="G217" s="420">
        <f t="shared" si="7"/>
        <v>1.5076189321369338E-2</v>
      </c>
      <c r="H217" s="397"/>
      <c r="I217" s="397"/>
      <c r="J217" s="397"/>
      <c r="K217" s="394"/>
      <c r="L217" s="396"/>
    </row>
    <row r="218" spans="2:12" x14ac:dyDescent="0.2">
      <c r="B218" s="426">
        <v>45914</v>
      </c>
      <c r="C218" s="394">
        <v>141.88</v>
      </c>
      <c r="D218" s="420">
        <f t="shared" si="6"/>
        <v>9.38246858376377E-2</v>
      </c>
      <c r="E218" s="394"/>
      <c r="F218" s="418">
        <v>25327.05</v>
      </c>
      <c r="G218" s="420">
        <f t="shared" si="7"/>
        <v>8.4833160786812467E-3</v>
      </c>
      <c r="H218" s="397"/>
      <c r="I218" s="397"/>
      <c r="J218" s="397"/>
      <c r="K218" s="394"/>
      <c r="L218" s="396"/>
    </row>
    <row r="219" spans="2:12" x14ac:dyDescent="0.2">
      <c r="B219" s="426">
        <v>45921</v>
      </c>
      <c r="C219" s="394">
        <v>146.25</v>
      </c>
      <c r="D219" s="420">
        <f t="shared" si="6"/>
        <v>3.080067662813657E-2</v>
      </c>
      <c r="E219" s="394"/>
      <c r="F219" s="418">
        <v>24654.7</v>
      </c>
      <c r="G219" s="420">
        <f t="shared" si="7"/>
        <v>-2.6546715863079107E-2</v>
      </c>
      <c r="H219" s="397"/>
      <c r="I219" s="397"/>
      <c r="J219" s="397"/>
      <c r="K219" s="394"/>
      <c r="L219" s="396"/>
    </row>
    <row r="220" spans="2:12" x14ac:dyDescent="0.2">
      <c r="B220" s="426">
        <v>45928</v>
      </c>
      <c r="C220" s="394">
        <v>147.38</v>
      </c>
      <c r="D220" s="420">
        <f t="shared" si="6"/>
        <v>7.7264957264957523E-3</v>
      </c>
      <c r="E220" s="394"/>
      <c r="F220" s="418">
        <v>24894.25</v>
      </c>
      <c r="G220" s="420">
        <f t="shared" si="7"/>
        <v>9.7162001565624934E-3</v>
      </c>
      <c r="H220" s="397"/>
      <c r="I220" s="397"/>
      <c r="J220" s="397"/>
      <c r="K220" s="394"/>
      <c r="L220" s="396"/>
    </row>
    <row r="221" spans="2:12" x14ac:dyDescent="0.2">
      <c r="B221" s="426">
        <v>45935</v>
      </c>
      <c r="C221" s="394">
        <v>149.69999999999999</v>
      </c>
      <c r="D221" s="420">
        <f t="shared" si="6"/>
        <v>1.5741620301261916E-2</v>
      </c>
      <c r="E221" s="394"/>
      <c r="F221" s="418">
        <v>25285.35</v>
      </c>
      <c r="G221" s="420">
        <f t="shared" si="7"/>
        <v>1.5710455225604214E-2</v>
      </c>
      <c r="H221" s="397"/>
      <c r="I221" s="397"/>
      <c r="J221" s="397"/>
      <c r="K221" s="394"/>
      <c r="L221" s="396"/>
    </row>
    <row r="222" spans="2:12" x14ac:dyDescent="0.2">
      <c r="B222" s="426">
        <v>45942</v>
      </c>
      <c r="C222" s="394">
        <v>165.98</v>
      </c>
      <c r="D222" s="420">
        <f t="shared" si="6"/>
        <v>0.10875083500333993</v>
      </c>
      <c r="E222" s="394"/>
      <c r="F222" s="418">
        <v>25709.85</v>
      </c>
      <c r="G222" s="420">
        <f t="shared" si="7"/>
        <v>1.6788377459675319E-2</v>
      </c>
      <c r="H222" s="397"/>
      <c r="I222" s="397"/>
      <c r="J222" s="397"/>
      <c r="K222" s="394"/>
      <c r="L222" s="396"/>
    </row>
    <row r="223" spans="2:12" x14ac:dyDescent="0.2">
      <c r="B223" s="426">
        <v>45949</v>
      </c>
      <c r="C223" s="394">
        <v>167.72</v>
      </c>
      <c r="D223" s="420">
        <f t="shared" si="6"/>
        <v>1.0483190745873117E-2</v>
      </c>
      <c r="E223" s="394"/>
      <c r="F223" s="418">
        <v>25795.15</v>
      </c>
      <c r="G223" s="420">
        <f t="shared" si="7"/>
        <v>3.3177945417808274E-3</v>
      </c>
      <c r="H223" s="397"/>
      <c r="I223" s="397"/>
      <c r="J223" s="397"/>
      <c r="K223" s="394"/>
      <c r="L223" s="396"/>
    </row>
    <row r="224" spans="2:12" x14ac:dyDescent="0.2">
      <c r="B224" s="426">
        <v>45956</v>
      </c>
      <c r="C224" s="394">
        <v>157.85</v>
      </c>
      <c r="D224" s="420">
        <f t="shared" si="6"/>
        <v>-5.8848080133555913E-2</v>
      </c>
      <c r="E224" s="394"/>
      <c r="F224" s="418">
        <v>25722.1</v>
      </c>
      <c r="G224" s="420">
        <f t="shared" si="7"/>
        <v>-2.8319277073404203E-3</v>
      </c>
      <c r="H224" s="397"/>
      <c r="I224" s="397"/>
      <c r="J224" s="397"/>
      <c r="K224" s="394"/>
      <c r="L224" s="396"/>
    </row>
    <row r="225" spans="2:12" x14ac:dyDescent="0.2">
      <c r="B225" s="426">
        <v>45963</v>
      </c>
      <c r="C225" s="394">
        <v>151.47999999999999</v>
      </c>
      <c r="D225" s="420">
        <f t="shared" si="6"/>
        <v>-4.0354767184035523E-2</v>
      </c>
      <c r="E225" s="394"/>
      <c r="F225" s="418">
        <v>25492.3</v>
      </c>
      <c r="G225" s="420">
        <f t="shared" si="7"/>
        <v>-8.9339517379996014E-3</v>
      </c>
      <c r="H225" s="397"/>
      <c r="I225" s="397"/>
      <c r="J225" s="397"/>
      <c r="K225" s="394"/>
      <c r="L225" s="396"/>
    </row>
    <row r="226" spans="2:12" x14ac:dyDescent="0.2">
      <c r="B226" s="426">
        <v>45970</v>
      </c>
      <c r="C226" s="394">
        <v>153.91</v>
      </c>
      <c r="D226" s="420">
        <f t="shared" si="6"/>
        <v>1.6041721679429743E-2</v>
      </c>
      <c r="E226" s="394"/>
      <c r="F226" s="418">
        <v>25910.05</v>
      </c>
      <c r="G226" s="420">
        <f t="shared" si="7"/>
        <v>1.6387301263518728E-2</v>
      </c>
      <c r="H226" s="397"/>
      <c r="I226" s="397"/>
      <c r="J226" s="397"/>
      <c r="K226" s="394"/>
      <c r="L226" s="396"/>
    </row>
    <row r="227" spans="2:12" x14ac:dyDescent="0.2">
      <c r="B227" s="426">
        <v>45977</v>
      </c>
      <c r="C227" s="394">
        <v>149.12</v>
      </c>
      <c r="D227" s="420">
        <f t="shared" si="6"/>
        <v>-3.1122084335000966E-2</v>
      </c>
      <c r="E227" s="394"/>
      <c r="F227" s="418">
        <v>26068.15</v>
      </c>
      <c r="G227" s="420">
        <f t="shared" si="7"/>
        <v>6.1018793865701415E-3</v>
      </c>
      <c r="H227" s="397"/>
      <c r="I227" s="397"/>
      <c r="J227" s="397"/>
      <c r="K227" s="394"/>
      <c r="L227" s="396"/>
    </row>
    <row r="228" spans="2:12" x14ac:dyDescent="0.2">
      <c r="B228" s="426">
        <v>45984</v>
      </c>
      <c r="C228" s="394">
        <v>147.49</v>
      </c>
      <c r="D228" s="420">
        <f t="shared" si="6"/>
        <v>-1.0930793991416277E-2</v>
      </c>
      <c r="E228" s="394"/>
      <c r="F228" s="418">
        <v>26202.95</v>
      </c>
      <c r="G228" s="420">
        <f t="shared" si="7"/>
        <v>5.1710612375637233E-3</v>
      </c>
      <c r="H228" s="397"/>
      <c r="I228" s="397"/>
      <c r="J228" s="397"/>
      <c r="K228" s="394"/>
      <c r="L228" s="396"/>
    </row>
    <row r="229" spans="2:12" x14ac:dyDescent="0.2">
      <c r="B229" s="426">
        <v>45991</v>
      </c>
      <c r="C229" s="394">
        <v>143.78</v>
      </c>
      <c r="D229" s="420">
        <f t="shared" si="6"/>
        <v>-2.5154247745609926E-2</v>
      </c>
      <c r="E229" s="394"/>
      <c r="F229" s="418">
        <v>26186.45</v>
      </c>
      <c r="G229" s="420">
        <f t="shared" si="7"/>
        <v>-6.297000910202577E-4</v>
      </c>
      <c r="H229" s="397"/>
      <c r="I229" s="397"/>
      <c r="J229" s="397"/>
      <c r="K229" s="394"/>
      <c r="L229" s="396"/>
    </row>
    <row r="230" spans="2:12" x14ac:dyDescent="0.2">
      <c r="B230" s="426">
        <v>45998</v>
      </c>
      <c r="C230" s="394">
        <v>144.49</v>
      </c>
      <c r="D230" s="420">
        <f t="shared" si="6"/>
        <v>4.9380998748087546E-3</v>
      </c>
      <c r="E230" s="394"/>
      <c r="F230" s="418">
        <v>26046.95</v>
      </c>
      <c r="G230" s="420">
        <f t="shared" si="7"/>
        <v>-5.3271825696113995E-3</v>
      </c>
      <c r="H230" s="397"/>
      <c r="I230" s="397"/>
      <c r="J230" s="397"/>
      <c r="K230" s="394"/>
      <c r="L230" s="396"/>
    </row>
    <row r="231" spans="2:12" x14ac:dyDescent="0.2">
      <c r="B231" s="426">
        <v>46005</v>
      </c>
      <c r="C231" s="394">
        <v>141.76</v>
      </c>
      <c r="D231" s="420">
        <f t="shared" si="6"/>
        <v>-1.8894041110111504E-2</v>
      </c>
      <c r="E231" s="394"/>
      <c r="F231" s="418">
        <v>25966.400000000001</v>
      </c>
      <c r="G231" s="420">
        <f t="shared" si="7"/>
        <v>-3.0924925951022475E-3</v>
      </c>
      <c r="H231" s="397"/>
      <c r="I231" s="397"/>
      <c r="J231" s="397"/>
      <c r="K231" s="394"/>
      <c r="L231" s="396"/>
    </row>
    <row r="232" spans="2:12" x14ac:dyDescent="0.2">
      <c r="B232" s="426">
        <v>46012</v>
      </c>
      <c r="C232" s="394">
        <v>142.19</v>
      </c>
      <c r="D232" s="420">
        <f t="shared" si="6"/>
        <v>3.0332957110610348E-3</v>
      </c>
      <c r="E232" s="394"/>
      <c r="F232" s="418">
        <v>26042.3</v>
      </c>
      <c r="G232" s="420">
        <f t="shared" si="7"/>
        <v>2.9230081952060782E-3</v>
      </c>
      <c r="H232" s="397"/>
      <c r="I232" s="397"/>
      <c r="J232" s="397"/>
      <c r="K232" s="394"/>
      <c r="L232" s="396"/>
    </row>
    <row r="233" spans="2:12" x14ac:dyDescent="0.2">
      <c r="B233" s="426">
        <v>46019</v>
      </c>
      <c r="C233" s="394">
        <v>148.16999999999999</v>
      </c>
      <c r="D233" s="420">
        <f t="shared" si="6"/>
        <v>4.2056403403896159E-2</v>
      </c>
      <c r="E233" s="394"/>
      <c r="F233" s="418">
        <v>26328.55</v>
      </c>
      <c r="G233" s="420">
        <f t="shared" si="7"/>
        <v>1.0991732681061128E-2</v>
      </c>
      <c r="H233" s="397"/>
      <c r="I233" s="397"/>
      <c r="J233" s="397"/>
      <c r="K233" s="394"/>
      <c r="L233" s="396"/>
    </row>
    <row r="234" spans="2:12" x14ac:dyDescent="0.2">
      <c r="B234" s="426">
        <v>46026</v>
      </c>
      <c r="C234" s="394">
        <v>141.68</v>
      </c>
      <c r="D234" s="420">
        <f t="shared" si="6"/>
        <v>-4.3801039346696213E-2</v>
      </c>
      <c r="E234" s="394"/>
      <c r="F234" s="418">
        <v>25683.3</v>
      </c>
      <c r="G234" s="420">
        <f t="shared" si="7"/>
        <v>-2.4507616256877029E-2</v>
      </c>
      <c r="H234" s="397"/>
      <c r="I234" s="397"/>
      <c r="J234" s="397"/>
      <c r="K234" s="394"/>
      <c r="L234" s="396"/>
    </row>
    <row r="235" spans="2:12" x14ac:dyDescent="0.2">
      <c r="B235" s="426">
        <v>46033</v>
      </c>
      <c r="C235" s="394">
        <v>142.63</v>
      </c>
      <c r="D235" s="420">
        <f t="shared" si="6"/>
        <v>6.7052512704686151E-3</v>
      </c>
      <c r="E235" s="394"/>
      <c r="F235" s="418">
        <v>25694.35</v>
      </c>
      <c r="G235" s="420">
        <f t="shared" si="7"/>
        <v>4.3024066222008273E-4</v>
      </c>
      <c r="H235" s="397"/>
      <c r="I235" s="397"/>
      <c r="J235" s="397"/>
      <c r="K235" s="394"/>
      <c r="L235" s="396"/>
    </row>
    <row r="236" spans="2:12" x14ac:dyDescent="0.2">
      <c r="B236" s="426">
        <v>46040</v>
      </c>
      <c r="C236" s="394">
        <v>132.96</v>
      </c>
      <c r="D236" s="420">
        <f t="shared" si="6"/>
        <v>-6.7797798499614315E-2</v>
      </c>
      <c r="E236" s="394"/>
      <c r="F236" s="418">
        <v>25048.65</v>
      </c>
      <c r="G236" s="420">
        <f t="shared" si="7"/>
        <v>-2.5130038315816394E-2</v>
      </c>
      <c r="H236" s="397"/>
      <c r="I236" s="397"/>
      <c r="J236" s="397"/>
      <c r="K236" s="394"/>
      <c r="L236" s="396"/>
    </row>
    <row r="237" spans="2:12" x14ac:dyDescent="0.2">
      <c r="B237" s="426">
        <v>46047</v>
      </c>
      <c r="C237" s="394">
        <v>135.38</v>
      </c>
      <c r="D237" s="420">
        <f t="shared" si="6"/>
        <v>1.8200962695547496E-2</v>
      </c>
      <c r="E237" s="394"/>
      <c r="F237" s="418">
        <v>25320.65</v>
      </c>
      <c r="G237" s="420">
        <f t="shared" si="7"/>
        <v>1.0858868641623332E-2</v>
      </c>
      <c r="H237" s="397"/>
      <c r="I237" s="397"/>
      <c r="J237" s="397"/>
      <c r="K237" s="394"/>
      <c r="L237" s="396"/>
    </row>
    <row r="238" spans="2:12" x14ac:dyDescent="0.2">
      <c r="B238" s="426">
        <v>46054</v>
      </c>
      <c r="C238" s="394">
        <v>152.74</v>
      </c>
      <c r="D238" s="420">
        <f t="shared" si="6"/>
        <v>0.12823164426059996</v>
      </c>
      <c r="E238" s="394"/>
      <c r="F238" s="418">
        <v>25693.7</v>
      </c>
      <c r="G238" s="420">
        <f t="shared" si="7"/>
        <v>1.4733034104574605E-2</v>
      </c>
      <c r="H238" s="397"/>
      <c r="I238" s="397"/>
      <c r="J238" s="397"/>
      <c r="K238" s="394"/>
      <c r="L238" s="396"/>
    </row>
    <row r="239" spans="2:12" x14ac:dyDescent="0.2">
      <c r="B239" s="426">
        <v>46061</v>
      </c>
      <c r="C239" s="394">
        <v>139.9</v>
      </c>
      <c r="D239" s="420">
        <f t="shared" si="6"/>
        <v>-8.4064423202828364E-2</v>
      </c>
      <c r="E239" s="394"/>
      <c r="F239" s="418">
        <v>25471.1</v>
      </c>
      <c r="G239" s="420">
        <f t="shared" si="7"/>
        <v>-8.6636023616685209E-3</v>
      </c>
      <c r="H239" s="397"/>
      <c r="I239" s="397"/>
      <c r="J239" s="397"/>
      <c r="K239" s="394"/>
      <c r="L239" s="396"/>
    </row>
    <row r="240" spans="2:12" x14ac:dyDescent="0.2">
      <c r="B240" s="426">
        <v>46068</v>
      </c>
      <c r="C240" s="394">
        <v>142.69999999999999</v>
      </c>
      <c r="D240" s="420">
        <f t="shared" si="6"/>
        <v>2.0014295925661063E-2</v>
      </c>
      <c r="E240" s="394"/>
      <c r="F240" s="418">
        <v>25571.25</v>
      </c>
      <c r="G240" s="420">
        <f t="shared" si="7"/>
        <v>3.9319071418195684E-3</v>
      </c>
      <c r="H240" s="397"/>
      <c r="I240" s="397"/>
      <c r="J240" s="397"/>
      <c r="K240" s="394"/>
      <c r="L240" s="396"/>
    </row>
    <row r="241" spans="2:12" x14ac:dyDescent="0.2">
      <c r="B241" s="426">
        <v>46075</v>
      </c>
      <c r="C241" s="394">
        <v>140.11000000000001</v>
      </c>
      <c r="D241" s="420">
        <f t="shared" si="6"/>
        <v>-1.8149964961457377E-2</v>
      </c>
      <c r="E241" s="394"/>
      <c r="F241" s="418">
        <v>25178.65</v>
      </c>
      <c r="G241" s="420">
        <f t="shared" si="7"/>
        <v>-1.5353179840641329E-2</v>
      </c>
      <c r="H241" s="397"/>
      <c r="I241" s="397"/>
      <c r="J241" s="397"/>
      <c r="K241" s="394"/>
      <c r="L241" s="396"/>
    </row>
    <row r="242" spans="2:12" x14ac:dyDescent="0.2">
      <c r="B242" s="426">
        <v>46082</v>
      </c>
      <c r="C242" s="394">
        <v>138.99</v>
      </c>
      <c r="D242" s="420">
        <f t="shared" si="6"/>
        <v>-7.9937192206124275E-3</v>
      </c>
      <c r="E242" s="394"/>
      <c r="F242" s="418">
        <v>24450.45</v>
      </c>
      <c r="G242" s="420">
        <f t="shared" si="7"/>
        <v>-2.892132818876314E-2</v>
      </c>
      <c r="H242" s="397"/>
      <c r="I242" s="397"/>
      <c r="J242" s="397"/>
      <c r="K242" s="394"/>
      <c r="L242" s="396"/>
    </row>
    <row r="243" spans="2:12" x14ac:dyDescent="0.2">
      <c r="B243" s="426">
        <v>46089</v>
      </c>
      <c r="C243" s="394">
        <v>146.57</v>
      </c>
      <c r="D243" s="420">
        <f t="shared" si="6"/>
        <v>5.4536297575364934E-2</v>
      </c>
      <c r="E243" s="394"/>
      <c r="F243" s="418">
        <v>23151.1</v>
      </c>
      <c r="G243" s="420">
        <f t="shared" si="7"/>
        <v>-5.3142171207482991E-2</v>
      </c>
      <c r="H243" s="397"/>
      <c r="I243" s="397"/>
      <c r="J243" s="397"/>
      <c r="K243" s="394"/>
      <c r="L243" s="396"/>
    </row>
    <row r="244" spans="2:12" x14ac:dyDescent="0.2">
      <c r="B244" s="426">
        <v>46096</v>
      </c>
      <c r="C244" s="394">
        <v>151.54</v>
      </c>
      <c r="D244" s="420">
        <f t="shared" si="6"/>
        <v>3.390871256055128E-2</v>
      </c>
      <c r="E244" s="394"/>
      <c r="F244" s="418">
        <v>23114.5</v>
      </c>
      <c r="G244" s="420">
        <f t="shared" si="7"/>
        <v>-1.5809184012853805E-3</v>
      </c>
      <c r="H244" s="397"/>
      <c r="I244" s="397"/>
      <c r="J244" s="397"/>
      <c r="K244" s="394"/>
      <c r="L244" s="396"/>
    </row>
    <row r="245" spans="2:12" x14ac:dyDescent="0.2">
      <c r="B245" s="426">
        <v>46103</v>
      </c>
      <c r="C245" s="394">
        <v>153.91999999999999</v>
      </c>
      <c r="D245" s="420">
        <f t="shared" si="6"/>
        <v>1.5705424310413107E-2</v>
      </c>
      <c r="E245" s="394"/>
      <c r="F245" s="418">
        <v>22819.599999999999</v>
      </c>
      <c r="G245" s="420">
        <f t="shared" si="7"/>
        <v>-1.275822535637805E-2</v>
      </c>
      <c r="H245" s="397"/>
      <c r="I245" s="397"/>
      <c r="J245" s="397"/>
      <c r="K245" s="394"/>
      <c r="L245" s="396"/>
    </row>
    <row r="246" spans="2:12" x14ac:dyDescent="0.2">
      <c r="B246" s="426">
        <v>46110</v>
      </c>
      <c r="C246" s="394">
        <v>159.97</v>
      </c>
      <c r="D246" s="420">
        <f t="shared" si="6"/>
        <v>3.9306133056133064E-2</v>
      </c>
      <c r="E246" s="394"/>
      <c r="F246" s="418">
        <v>22713.1</v>
      </c>
      <c r="G246" s="420">
        <f t="shared" si="7"/>
        <v>-4.6670406142088616E-3</v>
      </c>
      <c r="H246" s="397"/>
      <c r="I246" s="397"/>
      <c r="J246" s="397"/>
      <c r="K246" s="394"/>
      <c r="L246" s="396"/>
    </row>
    <row r="247" spans="2:12" x14ac:dyDescent="0.2">
      <c r="B247" s="426">
        <v>46117</v>
      </c>
      <c r="C247" s="394">
        <v>175.81</v>
      </c>
      <c r="D247" s="420">
        <f t="shared" si="6"/>
        <v>9.9018565981121576E-2</v>
      </c>
      <c r="E247" s="394"/>
      <c r="F247" s="418">
        <v>24050.6</v>
      </c>
      <c r="G247" s="420">
        <f t="shared" si="7"/>
        <v>5.8886721759689342E-2</v>
      </c>
      <c r="H247" s="397"/>
      <c r="I247" s="397"/>
      <c r="J247" s="397"/>
      <c r="K247" s="394"/>
      <c r="L247" s="396"/>
    </row>
    <row r="248" spans="2:12" x14ac:dyDescent="0.2">
      <c r="B248" s="426">
        <v>46124</v>
      </c>
      <c r="C248" s="394">
        <v>198.5</v>
      </c>
      <c r="D248" s="420">
        <f t="shared" si="6"/>
        <v>0.12905978044479838</v>
      </c>
      <c r="E248" s="394"/>
      <c r="F248" s="418">
        <v>24353.55</v>
      </c>
      <c r="G248" s="420">
        <f t="shared" si="7"/>
        <v>1.2596359342386565E-2</v>
      </c>
      <c r="H248" s="397"/>
      <c r="I248" s="397"/>
      <c r="J248" s="397"/>
      <c r="K248" s="394"/>
      <c r="L248" s="396"/>
    </row>
    <row r="249" spans="2:12" x14ac:dyDescent="0.2">
      <c r="B249" s="426">
        <v>46131</v>
      </c>
      <c r="C249" s="394">
        <v>212.9</v>
      </c>
      <c r="D249" s="420">
        <f t="shared" si="6"/>
        <v>7.25440806045341E-2</v>
      </c>
      <c r="E249" s="394"/>
      <c r="F249" s="418">
        <v>23897.95</v>
      </c>
      <c r="G249" s="420">
        <f t="shared" si="7"/>
        <v>-1.8707744866764742E-2</v>
      </c>
      <c r="H249" s="397"/>
      <c r="I249" s="397"/>
      <c r="J249" s="397"/>
      <c r="K249" s="394"/>
      <c r="L249" s="396"/>
    </row>
    <row r="250" spans="2:12" x14ac:dyDescent="0.2">
      <c r="B250" s="426">
        <v>46138</v>
      </c>
      <c r="C250" s="394">
        <v>221.85</v>
      </c>
      <c r="D250" s="420">
        <f t="shared" si="6"/>
        <v>4.2038515735086879E-2</v>
      </c>
      <c r="E250" s="394"/>
      <c r="F250" s="418">
        <v>23997.55</v>
      </c>
      <c r="G250" s="420">
        <f t="shared" si="7"/>
        <v>4.167721499124255E-3</v>
      </c>
      <c r="H250" s="397"/>
      <c r="I250" s="397"/>
      <c r="J250" s="397"/>
      <c r="K250" s="394"/>
      <c r="L250" s="396"/>
    </row>
    <row r="251" spans="2:12" x14ac:dyDescent="0.2">
      <c r="B251" s="426">
        <v>46145</v>
      </c>
      <c r="C251" s="394">
        <v>225.33</v>
      </c>
      <c r="D251" s="420">
        <f t="shared" si="6"/>
        <v>1.5686274509804088E-2</v>
      </c>
      <c r="E251" s="394"/>
      <c r="F251" s="418">
        <v>24176.15</v>
      </c>
      <c r="G251" s="420">
        <f t="shared" si="7"/>
        <v>7.4424264143633234E-3</v>
      </c>
      <c r="H251" s="397"/>
      <c r="I251" s="397"/>
      <c r="J251" s="397"/>
      <c r="K251" s="394"/>
      <c r="L251" s="396"/>
    </row>
    <row r="252" spans="2:12" x14ac:dyDescent="0.2">
      <c r="B252" s="426">
        <v>46152</v>
      </c>
      <c r="C252" s="394">
        <v>221.33</v>
      </c>
      <c r="D252" s="420">
        <f t="shared" si="6"/>
        <v>-1.7751741889672878E-2</v>
      </c>
      <c r="E252" s="394"/>
      <c r="F252" s="418">
        <v>23643.5</v>
      </c>
      <c r="G252" s="420">
        <f t="shared" si="7"/>
        <v>-2.2032043977225579E-2</v>
      </c>
      <c r="H252" s="397"/>
      <c r="I252" s="397"/>
      <c r="J252" s="397"/>
      <c r="K252" s="394"/>
      <c r="L252" s="396"/>
    </row>
    <row r="253" spans="2:12" x14ac:dyDescent="0.2">
      <c r="B253" s="426">
        <v>46159</v>
      </c>
      <c r="C253" s="394">
        <v>219.32</v>
      </c>
      <c r="D253" s="420">
        <f t="shared" si="6"/>
        <v>-9.0814620702119875E-3</v>
      </c>
      <c r="E253" s="394"/>
      <c r="F253" s="418">
        <v>23719.3</v>
      </c>
      <c r="G253" s="420">
        <f t="shared" si="7"/>
        <v>3.2059551250871454E-3</v>
      </c>
      <c r="H253" s="397"/>
      <c r="I253" s="397"/>
      <c r="J253" s="397"/>
      <c r="K253" s="394"/>
      <c r="L253" s="396"/>
    </row>
    <row r="254" spans="2:12" x14ac:dyDescent="0.2">
      <c r="B254" s="426">
        <v>46166</v>
      </c>
      <c r="C254" s="394">
        <v>243.37</v>
      </c>
      <c r="D254" s="420">
        <f t="shared" si="6"/>
        <v>0.10965712201349631</v>
      </c>
      <c r="E254" s="394"/>
      <c r="F254" s="418">
        <v>23547.75</v>
      </c>
      <c r="G254" s="420">
        <f t="shared" si="7"/>
        <v>-7.2325068615008981E-3</v>
      </c>
      <c r="H254" s="397"/>
      <c r="I254" s="397"/>
      <c r="J254" s="397"/>
      <c r="K254" s="394"/>
      <c r="L254" s="396"/>
    </row>
    <row r="255" spans="2:12" x14ac:dyDescent="0.2">
      <c r="B255" s="426">
        <v>46173</v>
      </c>
      <c r="C255" s="394">
        <v>232.6</v>
      </c>
      <c r="D255" s="420">
        <f t="shared" si="6"/>
        <v>-4.4253605621070835E-2</v>
      </c>
      <c r="E255" s="394"/>
      <c r="F255" s="418">
        <v>23366.7</v>
      </c>
      <c r="G255" s="420">
        <f t="shared" si="7"/>
        <v>-7.6886326719113329E-3</v>
      </c>
      <c r="H255" s="397"/>
      <c r="I255" s="397"/>
      <c r="J255" s="397"/>
      <c r="K255" s="394"/>
      <c r="L255" s="396"/>
    </row>
    <row r="256" spans="2:12" x14ac:dyDescent="0.2">
      <c r="B256" s="426">
        <v>46180</v>
      </c>
      <c r="C256" s="394">
        <v>223.07</v>
      </c>
      <c r="D256" s="420">
        <f t="shared" si="6"/>
        <v>-4.0971625107480647E-2</v>
      </c>
      <c r="E256" s="394"/>
      <c r="F256" s="418">
        <v>23622.9</v>
      </c>
      <c r="G256" s="420">
        <f t="shared" si="7"/>
        <v>1.0964321020940027E-2</v>
      </c>
      <c r="H256" s="397"/>
      <c r="I256" s="397"/>
      <c r="J256" s="397"/>
      <c r="K256" s="394"/>
      <c r="L256" s="396"/>
    </row>
    <row r="257" spans="2:12" x14ac:dyDescent="0.2">
      <c r="B257" s="426">
        <v>46187</v>
      </c>
      <c r="C257" s="394">
        <v>231.76</v>
      </c>
      <c r="D257" s="420">
        <f t="shared" si="6"/>
        <v>3.8956381404940066E-2</v>
      </c>
      <c r="E257" s="394"/>
      <c r="F257" s="418">
        <v>24013.1</v>
      </c>
      <c r="G257" s="420">
        <f t="shared" si="7"/>
        <v>1.6517870371546062E-2</v>
      </c>
      <c r="H257" s="397"/>
      <c r="I257" s="397"/>
      <c r="J257" s="397"/>
      <c r="K257" s="394"/>
      <c r="L257" s="396"/>
    </row>
    <row r="258" spans="2:12" x14ac:dyDescent="0.2">
      <c r="B258" s="426">
        <v>46194</v>
      </c>
      <c r="C258" s="394">
        <v>229.27</v>
      </c>
      <c r="D258" s="420">
        <f t="shared" si="6"/>
        <v>-1.0743872972039936E-2</v>
      </c>
      <c r="E258" s="394"/>
      <c r="F258" s="418">
        <v>24056</v>
      </c>
      <c r="G258" s="420">
        <f t="shared" si="7"/>
        <v>1.7865248551833801E-3</v>
      </c>
      <c r="H258" s="397"/>
      <c r="I258" s="397"/>
      <c r="J258" s="397"/>
      <c r="K258" s="394"/>
      <c r="L258" s="396"/>
    </row>
    <row r="259" spans="2:12" x14ac:dyDescent="0.2">
      <c r="B259" s="426">
        <v>46201</v>
      </c>
      <c r="C259" s="394">
        <v>221.79</v>
      </c>
      <c r="D259" s="420">
        <f t="shared" si="6"/>
        <v>-3.2625288960614229E-2</v>
      </c>
      <c r="E259" s="394"/>
      <c r="F259" s="418">
        <v>24270.85</v>
      </c>
      <c r="G259" s="420">
        <f t="shared" si="7"/>
        <v>8.9312437645492349E-3</v>
      </c>
      <c r="H259" s="397"/>
      <c r="I259" s="397"/>
      <c r="J259" s="397"/>
      <c r="K259" s="394"/>
      <c r="L259" s="396"/>
    </row>
    <row r="260" spans="2:12" x14ac:dyDescent="0.2">
      <c r="B260" s="426">
        <v>46208</v>
      </c>
      <c r="C260" s="394">
        <v>218.45</v>
      </c>
      <c r="D260" s="420">
        <f t="shared" si="6"/>
        <v>-1.5059290319671792E-2</v>
      </c>
      <c r="E260" s="394"/>
      <c r="F260" s="418">
        <v>24206.9</v>
      </c>
      <c r="G260" s="420">
        <f t="shared" si="7"/>
        <v>-2.6348479760699428E-3</v>
      </c>
      <c r="H260" s="397"/>
      <c r="I260" s="397"/>
      <c r="J260" s="397"/>
      <c r="K260" s="394"/>
      <c r="L260" s="396"/>
    </row>
    <row r="261" spans="2:12" x14ac:dyDescent="0.2">
      <c r="B261" s="426">
        <v>46215</v>
      </c>
      <c r="C261" s="394">
        <v>214.45</v>
      </c>
      <c r="D261" s="420">
        <f t="shared" si="6"/>
        <v>-1.8310826276035752E-2</v>
      </c>
      <c r="E261" s="394"/>
      <c r="F261" s="418">
        <v>24334.3</v>
      </c>
      <c r="G261" s="420">
        <f t="shared" si="7"/>
        <v>5.262962213253175E-3</v>
      </c>
      <c r="H261" s="397"/>
      <c r="I261" s="397"/>
      <c r="J261" s="397"/>
      <c r="K261" s="394"/>
      <c r="L261" s="396"/>
    </row>
    <row r="262" spans="2:12" x14ac:dyDescent="0.2">
      <c r="B262" s="426">
        <v>46222</v>
      </c>
      <c r="C262" s="394">
        <v>213.66</v>
      </c>
      <c r="D262" s="420">
        <f t="shared" si="6"/>
        <v>-3.6838423875028559E-3</v>
      </c>
      <c r="E262" s="394"/>
      <c r="F262" s="418">
        <v>23767.45</v>
      </c>
      <c r="G262" s="420">
        <f t="shared" si="7"/>
        <v>-2.3294280090242925E-2</v>
      </c>
      <c r="H262" s="397"/>
      <c r="I262" s="397"/>
      <c r="J262" s="397"/>
      <c r="K262" s="394"/>
      <c r="L262" s="396"/>
    </row>
    <row r="263" spans="2:12" x14ac:dyDescent="0.2">
      <c r="B263" s="426">
        <v>46229</v>
      </c>
      <c r="C263" s="394">
        <v>211.31</v>
      </c>
      <c r="D263" s="420">
        <f t="shared" si="6"/>
        <v>-1.0998783113357669E-2</v>
      </c>
      <c r="E263" s="394"/>
      <c r="F263" s="418">
        <v>24383.599999999999</v>
      </c>
      <c r="G263" s="420">
        <f t="shared" si="7"/>
        <v>2.5924110495656683E-2</v>
      </c>
      <c r="H263" s="397"/>
      <c r="I263" s="397"/>
      <c r="J263" s="397"/>
      <c r="K263" s="394"/>
      <c r="L263" s="396"/>
    </row>
    <row r="264" spans="2:12" x14ac:dyDescent="0.2">
      <c r="B264" s="426">
        <v>46236</v>
      </c>
      <c r="C264" s="394">
        <v>209</v>
      </c>
      <c r="D264" s="420">
        <f t="shared" si="6"/>
        <v>-1.0931806350858886E-2</v>
      </c>
      <c r="E264" s="394"/>
      <c r="F264" s="418">
        <v>24570.65</v>
      </c>
      <c r="G264" s="420">
        <f t="shared" si="7"/>
        <v>7.6711396184321323E-3</v>
      </c>
      <c r="H264" s="397"/>
      <c r="I264" s="397"/>
      <c r="J264" s="397"/>
      <c r="K264" s="394"/>
      <c r="L264" s="396"/>
    </row>
    <row r="265" spans="2:12" x14ac:dyDescent="0.2">
      <c r="B265" s="426">
        <v>46243</v>
      </c>
      <c r="C265" s="394">
        <v>205.25</v>
      </c>
      <c r="D265" s="420">
        <f t="shared" si="6"/>
        <v>-1.7942583732057371E-2</v>
      </c>
      <c r="E265" s="394"/>
      <c r="F265" s="418">
        <v>24366</v>
      </c>
      <c r="G265" s="420">
        <f t="shared" si="7"/>
        <v>-8.3290429842108882E-3</v>
      </c>
      <c r="H265" s="397"/>
      <c r="I265" s="397"/>
      <c r="J265" s="397"/>
      <c r="K265" s="394"/>
      <c r="L265" s="396"/>
    </row>
    <row r="266" spans="2:12" x14ac:dyDescent="0.2">
      <c r="B266" s="426">
        <v>46250</v>
      </c>
      <c r="C266" s="394">
        <v>205.5</v>
      </c>
      <c r="D266" s="420">
        <f t="shared" si="6"/>
        <v>1.2180267965895553E-3</v>
      </c>
      <c r="E266" s="394"/>
      <c r="F266" s="418">
        <v>24252</v>
      </c>
      <c r="G266" s="420">
        <f t="shared" si="7"/>
        <v>-4.6786505786752253E-3</v>
      </c>
      <c r="H266" s="397"/>
      <c r="I266" s="397"/>
      <c r="J266" s="397"/>
      <c r="K266" s="394"/>
      <c r="L266" s="396"/>
    </row>
    <row r="267" spans="2:12" x14ac:dyDescent="0.2">
      <c r="B267" s="426">
        <v>46257</v>
      </c>
      <c r="C267" s="394">
        <v>212.63</v>
      </c>
      <c r="D267" s="420">
        <f t="shared" si="6"/>
        <v>3.4695863746958544E-2</v>
      </c>
      <c r="E267" s="394"/>
      <c r="F267" s="418">
        <v>24175.65</v>
      </c>
      <c r="G267" s="420">
        <f t="shared" si="7"/>
        <v>-3.1481939633843936E-3</v>
      </c>
      <c r="H267" s="397"/>
      <c r="I267" s="397"/>
      <c r="J267" s="397"/>
      <c r="K267" s="394"/>
      <c r="L267" s="396"/>
    </row>
    <row r="268" spans="2:12" x14ac:dyDescent="0.2">
      <c r="B268" s="426">
        <v>46264</v>
      </c>
      <c r="C268" s="394">
        <v>207.2</v>
      </c>
      <c r="D268" s="420">
        <f t="shared" ref="D268:D270" si="8">C268/C267-1</f>
        <v>-2.5537318346423366E-2</v>
      </c>
      <c r="E268" s="394"/>
      <c r="F268" s="418">
        <v>23897.7</v>
      </c>
      <c r="G268" s="420">
        <f t="shared" ref="G268:G270" si="9">F268/F267-1</f>
        <v>-1.1497105558692322E-2</v>
      </c>
      <c r="H268" s="397"/>
      <c r="I268" s="397"/>
      <c r="J268" s="397"/>
      <c r="K268" s="394"/>
      <c r="L268" s="396"/>
    </row>
    <row r="269" spans="2:12" x14ac:dyDescent="0.2">
      <c r="B269" s="426">
        <v>46271</v>
      </c>
      <c r="C269" s="394">
        <v>209.97</v>
      </c>
      <c r="D269" s="420">
        <f t="shared" si="8"/>
        <v>1.3368725868725839E-2</v>
      </c>
      <c r="E269" s="394"/>
      <c r="F269" s="418">
        <v>23398.1</v>
      </c>
      <c r="G269" s="420">
        <f t="shared" si="9"/>
        <v>-2.0905777543445692E-2</v>
      </c>
      <c r="H269" s="397"/>
      <c r="I269" s="397"/>
      <c r="J269" s="397"/>
      <c r="K269" s="394"/>
      <c r="L269" s="396"/>
    </row>
    <row r="270" spans="2:12" x14ac:dyDescent="0.2">
      <c r="B270" s="427">
        <v>46278</v>
      </c>
      <c r="C270" s="428">
        <v>202.25</v>
      </c>
      <c r="D270" s="422">
        <f t="shared" si="8"/>
        <v>-3.676715721293522E-2</v>
      </c>
      <c r="E270" s="394"/>
      <c r="F270" s="421">
        <v>23118.6</v>
      </c>
      <c r="G270" s="422">
        <f t="shared" si="9"/>
        <v>-1.1945414371252405E-2</v>
      </c>
      <c r="H270" s="397"/>
      <c r="I270" s="397"/>
      <c r="J270" s="397"/>
    </row>
    <row r="273" customFormat="1" x14ac:dyDescent="0.2"/>
    <row r="274" customFormat="1" x14ac:dyDescent="0.2"/>
    <row r="275" customFormat="1" x14ac:dyDescent="0.2"/>
  </sheetData>
  <printOptions horizontalCentered="1" verticalCentered="1"/>
  <pageMargins left="0.25" right="0.25" top="0.25" bottom="0.25" header="0" footer="0"/>
  <pageSetup paperSize="9" scale="14" orientation="landscape" horizontalDpi="0" verticalDpi="0"/>
  <rowBreaks count="1" manualBreakCount="1">
    <brk id="39"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E0E34-0FD1-DE48-A428-04B3DFA292D5}">
  <sheetPr>
    <pageSetUpPr fitToPage="1"/>
  </sheetPr>
  <dimension ref="B1:N30"/>
  <sheetViews>
    <sheetView showGridLines="0" zoomScale="183" zoomScaleNormal="183" zoomScaleSheetLayoutView="150" workbookViewId="0"/>
  </sheetViews>
  <sheetFormatPr baseColWidth="10" defaultRowHeight="15" x14ac:dyDescent="0.2"/>
  <cols>
    <col min="1" max="1" width="3.83203125" customWidth="1"/>
    <col min="3" max="3" width="14.1640625" bestFit="1" customWidth="1"/>
    <col min="7" max="7" width="7" bestFit="1" customWidth="1"/>
  </cols>
  <sheetData>
    <row r="1" spans="2:14" ht="21" x14ac:dyDescent="0.25">
      <c r="B1" s="485" t="s">
        <v>518</v>
      </c>
      <c r="C1" s="491"/>
      <c r="D1" s="491"/>
      <c r="E1" s="491"/>
      <c r="F1" s="491"/>
      <c r="G1" s="491"/>
    </row>
    <row r="2" spans="2:14" ht="3" customHeight="1" thickBot="1" x14ac:dyDescent="0.25">
      <c r="B2" s="208"/>
      <c r="C2" s="208"/>
      <c r="D2" s="208"/>
      <c r="E2" s="208"/>
      <c r="F2" s="208"/>
      <c r="G2" s="208"/>
    </row>
    <row r="3" spans="2:14" ht="16" thickTop="1" x14ac:dyDescent="0.2"/>
    <row r="4" spans="2:14" x14ac:dyDescent="0.2">
      <c r="B4" s="447" t="s">
        <v>519</v>
      </c>
      <c r="C4" s="448" t="s">
        <v>476</v>
      </c>
    </row>
    <row r="5" spans="2:14" x14ac:dyDescent="0.2">
      <c r="B5" s="441">
        <v>2025</v>
      </c>
      <c r="C5" s="442">
        <v>0.1051</v>
      </c>
      <c r="E5" s="449" t="s">
        <v>520</v>
      </c>
      <c r="F5" s="450"/>
      <c r="G5" s="438" cm="1">
        <f t="array" ref="G5">(PRODUCT(1+C5:C30)^(1/COUNT(C5:C30)))-1</f>
        <v>0.11650334143488061</v>
      </c>
      <c r="H5" s="395"/>
      <c r="K5" s="395"/>
      <c r="L5" s="395"/>
      <c r="M5" s="395"/>
    </row>
    <row r="6" spans="2:14" x14ac:dyDescent="0.2">
      <c r="B6" s="441">
        <v>2024</v>
      </c>
      <c r="C6" s="442">
        <v>8.7499999999999994E-2</v>
      </c>
      <c r="D6" s="395"/>
      <c r="E6" s="451" t="s">
        <v>521</v>
      </c>
      <c r="F6" s="452"/>
      <c r="G6" s="413">
        <v>1.2999999999999999E-2</v>
      </c>
      <c r="H6" s="395"/>
      <c r="I6" s="395"/>
      <c r="J6" s="395"/>
      <c r="K6" s="395"/>
    </row>
    <row r="7" spans="2:14" x14ac:dyDescent="0.2">
      <c r="B7" s="441">
        <v>2023</v>
      </c>
      <c r="C7" s="442">
        <v>0.19420000000000001</v>
      </c>
      <c r="E7" s="453" t="s">
        <v>522</v>
      </c>
      <c r="F7" s="454"/>
      <c r="G7" s="440">
        <f>G5+G6</f>
        <v>0.12950334143488063</v>
      </c>
      <c r="H7" s="395"/>
      <c r="I7" s="395"/>
      <c r="K7" s="395"/>
      <c r="M7" s="395"/>
      <c r="N7" s="395"/>
    </row>
    <row r="8" spans="2:14" x14ac:dyDescent="0.2">
      <c r="B8" s="441">
        <v>2022</v>
      </c>
      <c r="C8" s="442">
        <v>4.3200000000000002E-2</v>
      </c>
      <c r="E8" s="395"/>
      <c r="I8" s="395"/>
      <c r="J8" s="395"/>
      <c r="L8" s="395"/>
      <c r="M8" s="395"/>
    </row>
    <row r="9" spans="2:14" x14ac:dyDescent="0.2">
      <c r="B9" s="441">
        <v>2021</v>
      </c>
      <c r="C9" s="442">
        <v>0.2412</v>
      </c>
      <c r="D9" s="395"/>
      <c r="E9" s="395"/>
      <c r="G9" s="395"/>
      <c r="H9" s="395"/>
      <c r="I9" s="395"/>
      <c r="J9" s="395"/>
      <c r="K9" s="395"/>
      <c r="L9" s="395"/>
      <c r="N9" s="395"/>
    </row>
    <row r="10" spans="2:14" x14ac:dyDescent="0.2">
      <c r="B10" s="441">
        <v>2020</v>
      </c>
      <c r="C10" s="442">
        <v>0.14899999999999999</v>
      </c>
      <c r="F10" s="395"/>
      <c r="H10" s="395"/>
      <c r="I10" s="395"/>
      <c r="J10" s="395"/>
      <c r="L10" s="395"/>
      <c r="M10" s="395"/>
      <c r="N10" s="395"/>
    </row>
    <row r="11" spans="2:14" x14ac:dyDescent="0.2">
      <c r="B11" s="441">
        <v>2019</v>
      </c>
      <c r="C11" s="442">
        <v>0.1202</v>
      </c>
      <c r="E11" s="395"/>
      <c r="F11" s="395"/>
      <c r="G11" s="395"/>
      <c r="K11" s="395"/>
      <c r="L11" s="395"/>
      <c r="M11" s="395"/>
      <c r="N11" s="395"/>
    </row>
    <row r="12" spans="2:14" x14ac:dyDescent="0.2">
      <c r="B12" s="441">
        <v>2018</v>
      </c>
      <c r="C12" s="442">
        <v>3.15E-2</v>
      </c>
      <c r="F12" s="395"/>
      <c r="I12" s="395"/>
      <c r="J12" s="395"/>
      <c r="M12" s="395"/>
    </row>
    <row r="13" spans="2:14" x14ac:dyDescent="0.2">
      <c r="B13" s="441">
        <v>2017</v>
      </c>
      <c r="C13" s="442">
        <v>0.28649999999999998</v>
      </c>
      <c r="D13" s="395"/>
      <c r="E13" s="395"/>
      <c r="F13" s="395"/>
      <c r="G13" s="395"/>
      <c r="I13" s="395"/>
      <c r="L13" s="395"/>
      <c r="N13" s="395"/>
    </row>
    <row r="14" spans="2:14" x14ac:dyDescent="0.2">
      <c r="B14" s="441">
        <v>2016</v>
      </c>
      <c r="C14" s="442">
        <v>3.0099999999999998E-2</v>
      </c>
      <c r="E14" s="395"/>
      <c r="F14" s="395"/>
      <c r="G14" s="395"/>
      <c r="H14" s="395"/>
      <c r="I14" s="395"/>
      <c r="J14" s="395"/>
      <c r="L14" s="395"/>
    </row>
    <row r="15" spans="2:14" x14ac:dyDescent="0.2">
      <c r="B15" s="441">
        <v>2015</v>
      </c>
      <c r="C15" s="442">
        <v>-4.0599999999999997E-2</v>
      </c>
      <c r="D15" s="395"/>
      <c r="G15" s="395"/>
      <c r="I15" s="395"/>
      <c r="L15" s="395"/>
      <c r="N15" s="395"/>
    </row>
    <row r="16" spans="2:14" x14ac:dyDescent="0.2">
      <c r="B16" s="441">
        <v>2014</v>
      </c>
      <c r="C16" s="442">
        <v>0.31390000000000001</v>
      </c>
      <c r="D16" s="395"/>
      <c r="E16" s="395"/>
      <c r="G16" s="395"/>
      <c r="H16" s="395"/>
      <c r="I16" s="395"/>
      <c r="J16" s="395"/>
      <c r="K16" s="395"/>
      <c r="L16" s="395"/>
      <c r="M16" s="395"/>
    </row>
    <row r="17" spans="2:14" x14ac:dyDescent="0.2">
      <c r="B17" s="441">
        <v>2013</v>
      </c>
      <c r="C17" s="442">
        <v>6.7599999999999993E-2</v>
      </c>
      <c r="F17" s="395"/>
      <c r="G17" s="395"/>
      <c r="K17" s="395"/>
      <c r="L17" s="395"/>
      <c r="N17" s="395"/>
    </row>
    <row r="18" spans="2:14" x14ac:dyDescent="0.2">
      <c r="B18" s="441">
        <v>2012</v>
      </c>
      <c r="C18" s="442">
        <v>0.27699999999999997</v>
      </c>
      <c r="D18" s="395"/>
      <c r="H18" s="395"/>
      <c r="J18" s="395"/>
      <c r="K18" s="395"/>
      <c r="M18" s="395"/>
      <c r="N18" s="395"/>
    </row>
    <row r="19" spans="2:14" x14ac:dyDescent="0.2">
      <c r="B19" s="441">
        <v>2011</v>
      </c>
      <c r="C19" s="442">
        <v>-0.2462</v>
      </c>
      <c r="E19" s="395"/>
      <c r="H19" s="395"/>
      <c r="L19" s="395"/>
    </row>
    <row r="20" spans="2:14" x14ac:dyDescent="0.2">
      <c r="B20" s="441">
        <v>2010</v>
      </c>
      <c r="C20" s="442">
        <v>0.17949999999999999</v>
      </c>
      <c r="D20" s="395"/>
      <c r="E20" s="395"/>
      <c r="F20" s="395"/>
      <c r="H20" s="395"/>
      <c r="I20" s="395"/>
      <c r="J20" s="395"/>
      <c r="K20" s="395"/>
      <c r="N20" s="395"/>
    </row>
    <row r="21" spans="2:14" x14ac:dyDescent="0.2">
      <c r="B21" s="441">
        <v>2009</v>
      </c>
      <c r="C21" s="442">
        <v>0.75760000000000005</v>
      </c>
      <c r="E21" s="395"/>
      <c r="F21" s="395"/>
      <c r="G21" s="395"/>
      <c r="I21" s="395"/>
      <c r="J21" s="395"/>
      <c r="K21" s="395"/>
      <c r="M21" s="395"/>
      <c r="N21" s="395"/>
    </row>
    <row r="22" spans="2:14" x14ac:dyDescent="0.2">
      <c r="B22" s="441">
        <v>2008</v>
      </c>
      <c r="C22" s="442">
        <v>-0.51790000000000003</v>
      </c>
      <c r="D22" s="395"/>
      <c r="F22" s="395"/>
      <c r="I22" s="395"/>
      <c r="J22" s="395"/>
      <c r="N22" s="395"/>
    </row>
    <row r="23" spans="2:14" x14ac:dyDescent="0.2">
      <c r="B23" s="441">
        <v>2007</v>
      </c>
      <c r="C23" s="442">
        <v>0.54770000000000008</v>
      </c>
      <c r="E23" s="395"/>
      <c r="F23" s="395"/>
      <c r="G23" s="395"/>
      <c r="H23" s="395"/>
      <c r="I23" s="395"/>
      <c r="K23" s="395"/>
      <c r="L23" s="395"/>
      <c r="N23" s="395"/>
    </row>
    <row r="24" spans="2:14" x14ac:dyDescent="0.2">
      <c r="B24" s="441">
        <v>2006</v>
      </c>
      <c r="C24" s="442">
        <v>0.39829999999999999</v>
      </c>
      <c r="D24" s="395"/>
      <c r="E24" s="395"/>
      <c r="F24" s="395"/>
      <c r="H24" s="395"/>
      <c r="I24" s="395"/>
      <c r="J24" s="395"/>
      <c r="K24" s="395"/>
      <c r="L24" s="395"/>
      <c r="M24" s="395"/>
      <c r="N24" s="395"/>
    </row>
    <row r="25" spans="2:14" x14ac:dyDescent="0.2">
      <c r="B25" s="441">
        <v>2005</v>
      </c>
      <c r="C25" s="442">
        <v>0.36340000000000006</v>
      </c>
      <c r="D25" s="395"/>
      <c r="G25" s="395"/>
      <c r="H25" s="395"/>
      <c r="I25" s="395"/>
      <c r="J25" s="395"/>
      <c r="K25" s="395"/>
      <c r="M25" s="395"/>
      <c r="N25" s="395"/>
    </row>
    <row r="26" spans="2:14" x14ac:dyDescent="0.2">
      <c r="B26" s="441">
        <v>2004</v>
      </c>
      <c r="C26" s="442">
        <v>0.10679999999999999</v>
      </c>
      <c r="F26" s="395"/>
      <c r="H26" s="395"/>
      <c r="I26" s="395"/>
      <c r="K26" s="395"/>
      <c r="L26" s="395"/>
      <c r="M26" s="395"/>
      <c r="N26" s="395"/>
    </row>
    <row r="27" spans="2:14" x14ac:dyDescent="0.2">
      <c r="B27" s="441">
        <v>2003</v>
      </c>
      <c r="C27" s="442">
        <v>0.71900000000000008</v>
      </c>
      <c r="D27" s="395"/>
      <c r="G27" s="395"/>
      <c r="H27" s="395"/>
      <c r="I27" s="395"/>
      <c r="J27" s="395"/>
      <c r="K27" s="395"/>
      <c r="L27" s="395"/>
      <c r="M27" s="395"/>
      <c r="N27" s="395"/>
    </row>
    <row r="28" spans="2:14" x14ac:dyDescent="0.2">
      <c r="B28" s="441">
        <v>2002</v>
      </c>
      <c r="C28" s="442">
        <v>3.2500000000000001E-2</v>
      </c>
      <c r="D28" s="395"/>
      <c r="H28" s="395"/>
      <c r="J28" s="395"/>
      <c r="M28" s="395"/>
      <c r="N28" s="395"/>
    </row>
    <row r="29" spans="2:14" x14ac:dyDescent="0.2">
      <c r="B29" s="443">
        <v>2001</v>
      </c>
      <c r="C29" s="444">
        <v>-0.1618</v>
      </c>
    </row>
    <row r="30" spans="2:14" x14ac:dyDescent="0.2">
      <c r="B30" s="445">
        <v>2000</v>
      </c>
      <c r="C30" s="446">
        <v>-0.14649999999999999</v>
      </c>
    </row>
  </sheetData>
  <printOptions horizontalCentered="1" verticalCentered="1"/>
  <pageMargins left="0.25" right="0.25" top="0.25" bottom="0.25" header="0" footer="0"/>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770B5-E623-9F44-9CA1-C99C829472A7}">
  <sheetPr>
    <pageSetUpPr fitToPage="1"/>
  </sheetPr>
  <dimension ref="B1:M33"/>
  <sheetViews>
    <sheetView showGridLines="0" topLeftCell="A13" zoomScale="160" zoomScaleNormal="160" workbookViewId="0">
      <selection activeCell="M19" sqref="M19"/>
    </sheetView>
  </sheetViews>
  <sheetFormatPr baseColWidth="10" defaultRowHeight="15" x14ac:dyDescent="0.2"/>
  <cols>
    <col min="1" max="2" width="3.83203125" customWidth="1"/>
    <col min="7" max="13" width="10.83203125" customWidth="1"/>
  </cols>
  <sheetData>
    <row r="1" spans="2:13" ht="21" x14ac:dyDescent="0.25">
      <c r="B1" s="381" t="str">
        <f>Cover!B11</f>
        <v>Adani Power</v>
      </c>
      <c r="C1" s="5"/>
      <c r="D1" s="5"/>
      <c r="E1" s="5"/>
      <c r="F1" s="5"/>
      <c r="G1" s="5"/>
      <c r="H1" s="5"/>
      <c r="I1" s="5"/>
      <c r="J1" s="5"/>
      <c r="K1" s="5"/>
      <c r="L1" s="5"/>
      <c r="M1" s="5"/>
    </row>
    <row r="2" spans="2:13" ht="3" customHeight="1" thickBot="1" x14ac:dyDescent="0.3">
      <c r="B2" s="504"/>
      <c r="C2" s="208"/>
      <c r="D2" s="208"/>
      <c r="E2" s="208"/>
      <c r="F2" s="208"/>
      <c r="G2" s="208"/>
      <c r="H2" s="208"/>
      <c r="I2" s="208"/>
      <c r="J2" s="208"/>
      <c r="K2" s="208"/>
      <c r="L2" s="208"/>
      <c r="M2" s="208"/>
    </row>
    <row r="3" spans="2:13" ht="16" thickTop="1" x14ac:dyDescent="0.2"/>
    <row r="4" spans="2:13" x14ac:dyDescent="0.2">
      <c r="B4" s="455" t="s">
        <v>530</v>
      </c>
      <c r="C4" s="455"/>
      <c r="D4" s="455"/>
      <c r="E4" s="455"/>
      <c r="F4" s="455"/>
      <c r="G4" s="455"/>
      <c r="H4" s="455"/>
      <c r="I4" s="455"/>
      <c r="J4" s="455"/>
      <c r="K4" s="455"/>
      <c r="L4" s="455"/>
      <c r="M4" s="455"/>
    </row>
    <row r="6" spans="2:13" x14ac:dyDescent="0.2">
      <c r="H6" s="247" t="str">
        <f>Model!K6</f>
        <v>Projected</v>
      </c>
      <c r="I6" s="248"/>
      <c r="J6" s="248"/>
      <c r="K6" s="248"/>
      <c r="L6" s="248"/>
      <c r="M6" s="249"/>
    </row>
    <row r="7" spans="2:13" x14ac:dyDescent="0.2">
      <c r="G7" s="245">
        <f>Model!J7</f>
        <v>2026</v>
      </c>
      <c r="H7" s="246">
        <f>Model!K7</f>
        <v>2027</v>
      </c>
      <c r="I7" s="246">
        <f>Model!L7</f>
        <v>2028</v>
      </c>
      <c r="J7" s="246">
        <f>Model!M7</f>
        <v>2029</v>
      </c>
      <c r="K7" s="246">
        <f>Model!N7</f>
        <v>2030</v>
      </c>
      <c r="L7" s="246">
        <f>Model!O7</f>
        <v>2031</v>
      </c>
      <c r="M7" s="246">
        <f>Model!P7</f>
        <v>2032</v>
      </c>
    </row>
    <row r="8" spans="2:13" x14ac:dyDescent="0.2">
      <c r="G8" s="378"/>
      <c r="H8" s="379"/>
      <c r="I8" s="379"/>
      <c r="J8" s="379"/>
      <c r="K8" s="379"/>
      <c r="L8" s="379"/>
      <c r="M8" s="379"/>
    </row>
    <row r="9" spans="2:13" x14ac:dyDescent="0.2">
      <c r="B9" t="s">
        <v>531</v>
      </c>
      <c r="G9" s="279">
        <f ca="1">-Model!K195-Model!K143</f>
        <v>27407.871261666667</v>
      </c>
      <c r="H9" s="279">
        <f ca="1">-Model!L195-Model!L143</f>
        <v>40051.938340754168</v>
      </c>
      <c r="I9" s="279">
        <f ca="1">-Model!M195-Model!M143</f>
        <v>45272.463276832488</v>
      </c>
      <c r="J9" s="279">
        <f ca="1">-Model!N195-Model!N143</f>
        <v>32571.775345259055</v>
      </c>
      <c r="K9" s="279">
        <f ca="1">-Model!O195-Model!O143</f>
        <v>12710.385603335411</v>
      </c>
      <c r="L9" s="279">
        <f ca="1">-Model!P195-Model!P143</f>
        <v>1308.0359387672615</v>
      </c>
      <c r="M9" s="279">
        <f>-Model!Q195-Model!Q143</f>
        <v>0</v>
      </c>
    </row>
    <row r="10" spans="2:13" x14ac:dyDescent="0.2">
      <c r="B10" t="s">
        <v>328</v>
      </c>
      <c r="G10" s="279">
        <f>Model!J371</f>
        <v>-447.11</v>
      </c>
      <c r="H10" s="279">
        <f ca="1">Model!K371</f>
        <v>-4410.9780540708525</v>
      </c>
      <c r="I10" s="279">
        <f ca="1">Model!L371</f>
        <v>-6552.8591605753136</v>
      </c>
      <c r="J10" s="279">
        <f ca="1">Model!M371</f>
        <v>-6313.4889799085358</v>
      </c>
      <c r="K10" s="279">
        <f ca="1">Model!N371</f>
        <v>-13214.51829443383</v>
      </c>
      <c r="L10" s="279">
        <f ca="1">Model!O371</f>
        <v>-17800.025322550857</v>
      </c>
      <c r="M10" s="279">
        <f ca="1">Model!P371</f>
        <v>-11561.360370721508</v>
      </c>
    </row>
    <row r="11" spans="2:13" x14ac:dyDescent="0.2">
      <c r="B11" s="2" t="s">
        <v>534</v>
      </c>
      <c r="G11" s="493">
        <f ca="1">G9+G10</f>
        <v>26960.761261666667</v>
      </c>
      <c r="H11" s="493">
        <f t="shared" ref="H11:M11" ca="1" si="0">H9+H10</f>
        <v>35640.960286683316</v>
      </c>
      <c r="I11" s="493">
        <f t="shared" ca="1" si="0"/>
        <v>38719.604116257178</v>
      </c>
      <c r="J11" s="493">
        <f t="shared" ca="1" si="0"/>
        <v>26258.286365350519</v>
      </c>
      <c r="K11" s="493">
        <f t="shared" ca="1" si="0"/>
        <v>-504.13269109841895</v>
      </c>
      <c r="L11" s="493">
        <f t="shared" ca="1" si="0"/>
        <v>-16491.989383783595</v>
      </c>
      <c r="M11" s="493">
        <f t="shared" ca="1" si="0"/>
        <v>-11561.360370721508</v>
      </c>
    </row>
    <row r="12" spans="2:13" x14ac:dyDescent="0.2">
      <c r="G12" s="279"/>
      <c r="H12" s="279"/>
      <c r="I12" s="279"/>
      <c r="J12" s="279"/>
      <c r="K12" s="279"/>
      <c r="L12" s="279"/>
      <c r="M12" s="279"/>
    </row>
    <row r="13" spans="2:13" x14ac:dyDescent="0.2">
      <c r="B13" t="s">
        <v>21</v>
      </c>
      <c r="G13" s="279">
        <f>Model!J153</f>
        <v>19446.212871999996</v>
      </c>
      <c r="H13" s="279">
        <f ca="1">Model!K153</f>
        <v>23625.493808181633</v>
      </c>
      <c r="I13" s="279">
        <f ca="1">Model!L153</f>
        <v>30073.000868827272</v>
      </c>
      <c r="J13" s="279">
        <f ca="1">Model!M153</f>
        <v>36241.910201183717</v>
      </c>
      <c r="K13" s="279">
        <f ca="1">Model!N153</f>
        <v>49757.343940397346</v>
      </c>
      <c r="L13" s="279">
        <f ca="1">Model!O153</f>
        <v>68137.195855659811</v>
      </c>
      <c r="M13" s="279">
        <f ca="1">Model!P153</f>
        <v>79534.111395933214</v>
      </c>
    </row>
    <row r="14" spans="2:13" x14ac:dyDescent="0.2">
      <c r="B14" t="s">
        <v>532</v>
      </c>
      <c r="G14" s="291">
        <f>Assumptions!$H$45</f>
        <v>0.25168000000000001</v>
      </c>
      <c r="H14" s="291">
        <f>Assumptions!$H$45</f>
        <v>0.25168000000000001</v>
      </c>
      <c r="I14" s="291">
        <f>Assumptions!$H$45</f>
        <v>0.25168000000000001</v>
      </c>
      <c r="J14" s="291">
        <f>Assumptions!$H$45</f>
        <v>0.25168000000000001</v>
      </c>
      <c r="K14" s="291">
        <f>Assumptions!$H$45</f>
        <v>0.25168000000000001</v>
      </c>
      <c r="L14" s="291">
        <f>Assumptions!$H$45</f>
        <v>0.25168000000000001</v>
      </c>
      <c r="M14" s="291">
        <f>Assumptions!$H$45</f>
        <v>0.25168000000000001</v>
      </c>
    </row>
    <row r="15" spans="2:13" x14ac:dyDescent="0.2">
      <c r="B15" s="2" t="s">
        <v>533</v>
      </c>
      <c r="G15" s="292">
        <f>G13*(1-G14)</f>
        <v>14551.990016375037</v>
      </c>
      <c r="H15" s="292">
        <f t="shared" ref="H15:M15" ca="1" si="1">H13*(1-H14)</f>
        <v>17679.429526538479</v>
      </c>
      <c r="I15" s="292">
        <f t="shared" ca="1" si="1"/>
        <v>22504.228010160823</v>
      </c>
      <c r="J15" s="292">
        <f t="shared" ca="1" si="1"/>
        <v>27120.546241749798</v>
      </c>
      <c r="K15" s="292">
        <f t="shared" ca="1" si="1"/>
        <v>37234.415617478138</v>
      </c>
      <c r="L15" s="292">
        <f t="shared" ca="1" si="1"/>
        <v>50988.426402707351</v>
      </c>
      <c r="M15" s="292">
        <f t="shared" ca="1" si="1"/>
        <v>59516.966239804744</v>
      </c>
    </row>
    <row r="17" spans="2:13" ht="16" thickBot="1" x14ac:dyDescent="0.25">
      <c r="B17" t="s">
        <v>529</v>
      </c>
      <c r="G17" s="496">
        <f ca="1">G11/G15</f>
        <v>1.8527198844507391</v>
      </c>
      <c r="H17" s="496">
        <f t="shared" ref="H17:M17" ca="1" si="2">H11/H15</f>
        <v>2.0159564669879702</v>
      </c>
      <c r="I17" s="496">
        <f t="shared" ca="1" si="2"/>
        <v>1.7205479831956463</v>
      </c>
      <c r="J17" s="496">
        <f t="shared" ca="1" si="2"/>
        <v>0.96820639714579559</v>
      </c>
      <c r="K17" s="496">
        <f t="shared" ca="1" si="2"/>
        <v>-1.3539428046287771E-2</v>
      </c>
      <c r="L17" s="496">
        <f t="shared" ca="1" si="2"/>
        <v>-0.32344574146159399</v>
      </c>
      <c r="M17" s="496">
        <f t="shared" ca="1" si="2"/>
        <v>-0.19425318696753918</v>
      </c>
    </row>
    <row r="18" spans="2:13" ht="16" thickTop="1" x14ac:dyDescent="0.2"/>
    <row r="19" spans="2:13" x14ac:dyDescent="0.2">
      <c r="J19" s="497" t="s">
        <v>535</v>
      </c>
      <c r="K19" s="498"/>
      <c r="L19" s="498"/>
      <c r="M19" s="499">
        <f ca="1">AVERAGE(G17:M17)</f>
        <v>0.86088462504353291</v>
      </c>
    </row>
    <row r="20" spans="2:13" x14ac:dyDescent="0.2">
      <c r="J20" s="500" t="s">
        <v>536</v>
      </c>
      <c r="K20" s="501"/>
      <c r="L20" s="501"/>
      <c r="M20" s="502">
        <f ca="1">MEDIAN(G17:M17)</f>
        <v>0.96820639714579559</v>
      </c>
    </row>
    <row r="22" spans="2:13" x14ac:dyDescent="0.2">
      <c r="B22" s="455" t="s">
        <v>554</v>
      </c>
      <c r="C22" s="455"/>
      <c r="D22" s="455"/>
      <c r="E22" s="455"/>
      <c r="F22" s="455"/>
      <c r="G22" s="455"/>
      <c r="H22" s="455"/>
      <c r="I22" s="455"/>
      <c r="J22" s="455"/>
      <c r="K22" s="455"/>
      <c r="L22" s="455"/>
      <c r="M22" s="455"/>
    </row>
    <row r="24" spans="2:13" x14ac:dyDescent="0.2">
      <c r="H24" s="247" t="str">
        <f>H6</f>
        <v>Projected</v>
      </c>
      <c r="I24" s="248"/>
      <c r="J24" s="248"/>
      <c r="K24" s="248"/>
      <c r="L24" s="248"/>
      <c r="M24" s="249"/>
    </row>
    <row r="25" spans="2:13" x14ac:dyDescent="0.2">
      <c r="G25" s="245">
        <f>G7</f>
        <v>2026</v>
      </c>
      <c r="H25" s="246">
        <f t="shared" ref="H25:M25" si="3">H7</f>
        <v>2027</v>
      </c>
      <c r="I25" s="246">
        <f t="shared" si="3"/>
        <v>2028</v>
      </c>
      <c r="J25" s="246">
        <f t="shared" si="3"/>
        <v>2029</v>
      </c>
      <c r="K25" s="246">
        <f t="shared" si="3"/>
        <v>2030</v>
      </c>
      <c r="L25" s="246">
        <f t="shared" si="3"/>
        <v>2031</v>
      </c>
      <c r="M25" s="246">
        <f t="shared" si="3"/>
        <v>2032</v>
      </c>
    </row>
    <row r="27" spans="2:13" x14ac:dyDescent="0.2">
      <c r="B27" t="s">
        <v>529</v>
      </c>
      <c r="G27" s="494">
        <f ca="1">G17</f>
        <v>1.8527198844507391</v>
      </c>
      <c r="H27" s="494">
        <f t="shared" ref="H27:M27" ca="1" si="4">H17</f>
        <v>2.0159564669879702</v>
      </c>
      <c r="I27" s="494">
        <f t="shared" ca="1" si="4"/>
        <v>1.7205479831956463</v>
      </c>
      <c r="J27" s="494">
        <f t="shared" ca="1" si="4"/>
        <v>0.96820639714579559</v>
      </c>
      <c r="K27" s="494">
        <f t="shared" ca="1" si="4"/>
        <v>-1.3539428046287771E-2</v>
      </c>
      <c r="L27" s="494">
        <f t="shared" ca="1" si="4"/>
        <v>-0.32344574146159399</v>
      </c>
      <c r="M27" s="494">
        <f t="shared" ca="1" si="4"/>
        <v>-0.19425318696753918</v>
      </c>
    </row>
    <row r="28" spans="2:13" x14ac:dyDescent="0.2">
      <c r="B28" t="s">
        <v>537</v>
      </c>
      <c r="G28" s="503">
        <f>'Ratio Analysis'!F32</f>
        <v>9.1024747961474597E-2</v>
      </c>
      <c r="H28" s="503">
        <f ca="1">'Ratio Analysis'!G32</f>
        <v>8.802970374303952E-2</v>
      </c>
      <c r="I28" s="503">
        <f ca="1">'Ratio Analysis'!H32</f>
        <v>8.6218651567706736E-2</v>
      </c>
      <c r="J28" s="503">
        <f ca="1">'Ratio Analysis'!I32</f>
        <v>8.2669914317464802E-2</v>
      </c>
      <c r="K28" s="503">
        <f ca="1">'Ratio Analysis'!J32</f>
        <v>0.10188156739554363</v>
      </c>
      <c r="L28" s="503">
        <f ca="1">'Ratio Analysis'!K32</f>
        <v>0.13899602524541327</v>
      </c>
      <c r="M28" s="503">
        <f ca="1">'Ratio Analysis'!L32</f>
        <v>0.1662471880298243</v>
      </c>
    </row>
    <row r="30" spans="2:13" ht="16" thickBot="1" x14ac:dyDescent="0.25">
      <c r="B30" s="2" t="s">
        <v>538</v>
      </c>
      <c r="G30" s="505">
        <f ca="1">G27*G28</f>
        <v>0.16864336052534087</v>
      </c>
      <c r="H30" s="505">
        <f t="shared" ref="H30:M30" ca="1" si="5">H27*H28</f>
        <v>0.17746405054781564</v>
      </c>
      <c r="I30" s="505">
        <f t="shared" ca="1" si="5"/>
        <v>0.14834332706866596</v>
      </c>
      <c r="J30" s="505">
        <f t="shared" ca="1" si="5"/>
        <v>8.0041539893664221E-2</v>
      </c>
      <c r="K30" s="505">
        <f t="shared" ca="1" si="5"/>
        <v>-1.3794181509949812E-3</v>
      </c>
      <c r="L30" s="505">
        <f t="shared" ca="1" si="5"/>
        <v>-4.4957672445717134E-2</v>
      </c>
      <c r="M30" s="505">
        <f t="shared" ca="1" si="5"/>
        <v>-3.2294046099185104E-2</v>
      </c>
    </row>
    <row r="31" spans="2:13" ht="16" thickTop="1" x14ac:dyDescent="0.2"/>
    <row r="32" spans="2:13" x14ac:dyDescent="0.2">
      <c r="J32" s="497" t="s">
        <v>552</v>
      </c>
      <c r="K32" s="498"/>
      <c r="L32" s="498"/>
      <c r="M32" s="499">
        <f ca="1">AVERAGE(G30:M30)</f>
        <v>7.0837305905655651E-2</v>
      </c>
    </row>
    <row r="33" spans="10:13" x14ac:dyDescent="0.2">
      <c r="J33" s="500" t="s">
        <v>553</v>
      </c>
      <c r="K33" s="501"/>
      <c r="L33" s="501"/>
      <c r="M33" s="502">
        <f ca="1">MEDIAN(G30:M30)</f>
        <v>8.0041539893664221E-2</v>
      </c>
    </row>
  </sheetData>
  <printOptions horizontalCentered="1" verticalCentered="1"/>
  <pageMargins left="0.25" right="0.25" top="0.25" bottom="0.25" header="0" footer="0"/>
  <pageSetup paperSize="9" orientation="landscape"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C02DF-21DB-4940-8903-E37A721547E7}">
  <sheetPr>
    <pageSetUpPr fitToPage="1"/>
  </sheetPr>
  <dimension ref="B1:N40"/>
  <sheetViews>
    <sheetView showGridLines="0" topLeftCell="A22" zoomScale="150" zoomScaleNormal="150" workbookViewId="0">
      <selection activeCell="E37" sqref="E37"/>
    </sheetView>
  </sheetViews>
  <sheetFormatPr baseColWidth="10" defaultRowHeight="15" x14ac:dyDescent="0.2"/>
  <cols>
    <col min="1" max="1" width="3.83203125" customWidth="1"/>
    <col min="4" max="5" width="12.6640625" bestFit="1" customWidth="1"/>
    <col min="7" max="7" width="10.83203125" customWidth="1"/>
    <col min="8" max="8" width="10.1640625" bestFit="1" customWidth="1"/>
    <col min="9" max="13" width="11.6640625" bestFit="1" customWidth="1"/>
  </cols>
  <sheetData>
    <row r="1" spans="2:13" ht="21" x14ac:dyDescent="0.25">
      <c r="B1" s="381" t="str">
        <f>Cover!B11</f>
        <v>Adani Power</v>
      </c>
      <c r="C1" s="5"/>
      <c r="D1" s="5"/>
      <c r="E1" s="5"/>
      <c r="F1" s="5"/>
      <c r="G1" s="5"/>
      <c r="H1" s="5"/>
      <c r="I1" s="5"/>
      <c r="J1" s="5"/>
      <c r="K1" s="5"/>
      <c r="L1" s="5"/>
      <c r="M1" s="5"/>
    </row>
    <row r="2" spans="2:13" ht="19" x14ac:dyDescent="0.25">
      <c r="B2" s="492" t="s">
        <v>564</v>
      </c>
      <c r="C2" s="491"/>
      <c r="D2" s="491"/>
      <c r="E2" s="491"/>
      <c r="F2" s="491"/>
      <c r="G2" s="491"/>
      <c r="H2" s="491"/>
      <c r="I2" s="491"/>
      <c r="J2" s="491"/>
      <c r="K2" s="491"/>
      <c r="L2" s="491"/>
      <c r="M2" s="491"/>
    </row>
    <row r="3" spans="2:13" ht="3" customHeight="1" thickBot="1" x14ac:dyDescent="0.25">
      <c r="B3" s="208"/>
      <c r="C3" s="208"/>
      <c r="D3" s="208"/>
      <c r="E3" s="208"/>
      <c r="F3" s="208"/>
      <c r="G3" s="208"/>
      <c r="H3" s="208"/>
      <c r="I3" s="208"/>
      <c r="J3" s="208"/>
      <c r="K3" s="208"/>
      <c r="L3" s="208"/>
      <c r="M3" s="208"/>
    </row>
    <row r="4" spans="2:13" ht="16" thickTop="1" x14ac:dyDescent="0.2"/>
    <row r="5" spans="2:13" x14ac:dyDescent="0.2">
      <c r="B5" s="455" t="s">
        <v>555</v>
      </c>
      <c r="C5" s="455"/>
      <c r="D5" s="455"/>
      <c r="E5" s="455"/>
      <c r="F5" s="455"/>
      <c r="G5" s="455"/>
      <c r="H5" s="455"/>
      <c r="I5" s="455"/>
      <c r="J5" s="455"/>
      <c r="K5" s="455"/>
      <c r="L5" s="455"/>
      <c r="M5" s="455"/>
    </row>
    <row r="7" spans="2:13" x14ac:dyDescent="0.2">
      <c r="B7" s="516" t="s">
        <v>549</v>
      </c>
      <c r="C7" s="267"/>
      <c r="D7" s="517">
        <f>Scenarios!I68</f>
        <v>4.4999999999999998E-2</v>
      </c>
    </row>
    <row r="8" spans="2:13" x14ac:dyDescent="0.2">
      <c r="B8" s="24" t="s">
        <v>470</v>
      </c>
      <c r="C8" s="25"/>
      <c r="D8" s="518">
        <f ca="1">Scenarios!I61</f>
        <v>9.1480245157121318E-2</v>
      </c>
      <c r="H8" s="247" t="str">
        <f>Model!K126</f>
        <v>Projected</v>
      </c>
      <c r="I8" s="247"/>
      <c r="J8" s="247"/>
      <c r="K8" s="247"/>
      <c r="L8" s="247"/>
      <c r="M8" s="247"/>
    </row>
    <row r="9" spans="2:13" x14ac:dyDescent="0.2">
      <c r="G9" s="245">
        <f>Model!J127</f>
        <v>2026</v>
      </c>
      <c r="H9" s="246">
        <f>Model!K127</f>
        <v>2027</v>
      </c>
      <c r="I9" s="246">
        <f>Model!L127</f>
        <v>2028</v>
      </c>
      <c r="J9" s="246">
        <f>Model!M127</f>
        <v>2029</v>
      </c>
      <c r="K9" s="246">
        <f>Model!N127</f>
        <v>2030</v>
      </c>
      <c r="L9" s="246">
        <f>Model!O127</f>
        <v>2031</v>
      </c>
      <c r="M9" s="246">
        <f>Model!P127</f>
        <v>2032</v>
      </c>
    </row>
    <row r="10" spans="2:13" x14ac:dyDescent="0.2">
      <c r="G10" s="378"/>
      <c r="H10" s="379"/>
      <c r="I10" s="379"/>
      <c r="J10" s="379"/>
      <c r="K10" s="379"/>
      <c r="L10" s="379"/>
      <c r="M10" s="379"/>
    </row>
    <row r="11" spans="2:13" x14ac:dyDescent="0.2">
      <c r="B11" t="s">
        <v>543</v>
      </c>
      <c r="G11" s="511">
        <f>Model!J190</f>
        <v>21649.046182846767</v>
      </c>
      <c r="H11" s="509">
        <f ca="1">Model!K190</f>
        <v>19356.539983732593</v>
      </c>
      <c r="I11" s="509">
        <f ca="1">Model!L190</f>
        <v>25192.707575286553</v>
      </c>
      <c r="J11" s="509">
        <f ca="1">Model!M190</f>
        <v>31400.287820025107</v>
      </c>
      <c r="K11" s="509">
        <f ca="1">Model!N190</f>
        <v>38730.000292786703</v>
      </c>
      <c r="L11" s="509">
        <f ca="1">Model!O190</f>
        <v>52505.55927801293</v>
      </c>
      <c r="M11" s="509">
        <f ca="1">Model!P190</f>
        <v>68373.615387784565</v>
      </c>
    </row>
    <row r="12" spans="2:13" x14ac:dyDescent="0.2">
      <c r="B12" t="s">
        <v>544</v>
      </c>
      <c r="G12" s="511">
        <f>Model!J156*Assumptions!$H$45</f>
        <v>847.36377440000001</v>
      </c>
      <c r="H12" s="511">
        <f>Model!K156*Assumptions!$H$45</f>
        <v>844.7977320912247</v>
      </c>
      <c r="I12" s="511">
        <f ca="1">Model!L156*Assumptions!$H$45</f>
        <v>1063.624178437819</v>
      </c>
      <c r="J12" s="511">
        <f ca="1">Model!M156*Assumptions!$H$45</f>
        <v>1321.5756350453373</v>
      </c>
      <c r="K12" s="511">
        <f ca="1">Model!N156*Assumptions!$H$45</f>
        <v>1550.2615506931845</v>
      </c>
      <c r="L12" s="511">
        <f ca="1">Model!O156*Assumptions!$H$45</f>
        <v>1994.9077692448172</v>
      </c>
      <c r="M12" s="511">
        <f ca="1">Model!P156*Assumptions!$H$45</f>
        <v>2101.3951111084621</v>
      </c>
    </row>
    <row r="13" spans="2:13" x14ac:dyDescent="0.2">
      <c r="B13" t="s">
        <v>545</v>
      </c>
      <c r="G13" s="511">
        <f>Model!J284</f>
        <v>23350.09</v>
      </c>
      <c r="H13" s="509">
        <f>Model!K284</f>
        <v>28851.7</v>
      </c>
      <c r="I13" s="509">
        <f>Model!L284</f>
        <v>41769.5</v>
      </c>
      <c r="J13" s="509">
        <f>Model!M284</f>
        <v>47265.5</v>
      </c>
      <c r="K13" s="509">
        <f>Model!N284</f>
        <v>35093.5</v>
      </c>
      <c r="L13" s="509">
        <f>Model!O284</f>
        <v>15945.5</v>
      </c>
      <c r="M13" s="509">
        <f>Model!P284</f>
        <v>5057.5</v>
      </c>
    </row>
    <row r="14" spans="2:13" x14ac:dyDescent="0.2">
      <c r="B14" s="2" t="s">
        <v>542</v>
      </c>
      <c r="G14" s="512">
        <f>G11+G12-G13</f>
        <v>-853.68004275323256</v>
      </c>
      <c r="H14" s="510">
        <f t="shared" ref="H14:M14" ca="1" si="0">H11+H12-H13</f>
        <v>-8650.3622841761826</v>
      </c>
      <c r="I14" s="510">
        <f t="shared" ca="1" si="0"/>
        <v>-15513.168246275629</v>
      </c>
      <c r="J14" s="510">
        <f t="shared" ca="1" si="0"/>
        <v>-14543.636544929555</v>
      </c>
      <c r="K14" s="510">
        <f t="shared" ca="1" si="0"/>
        <v>5186.761843479886</v>
      </c>
      <c r="L14" s="510">
        <f t="shared" ca="1" si="0"/>
        <v>38554.967047257749</v>
      </c>
      <c r="M14" s="510">
        <f t="shared" ca="1" si="0"/>
        <v>65417.510498893025</v>
      </c>
    </row>
    <row r="16" spans="2:13" x14ac:dyDescent="0.2">
      <c r="B16" t="s">
        <v>546</v>
      </c>
      <c r="G16" s="513"/>
      <c r="H16">
        <v>0.5</v>
      </c>
      <c r="I16">
        <f>H16+1</f>
        <v>1.5</v>
      </c>
      <c r="J16">
        <f t="shared" ref="J16:M16" si="1">I16+1</f>
        <v>2.5</v>
      </c>
      <c r="K16">
        <f t="shared" si="1"/>
        <v>3.5</v>
      </c>
      <c r="L16">
        <f t="shared" si="1"/>
        <v>4.5</v>
      </c>
      <c r="M16">
        <f t="shared" si="1"/>
        <v>5.5</v>
      </c>
    </row>
    <row r="17" spans="2:14" x14ac:dyDescent="0.2">
      <c r="B17" t="s">
        <v>547</v>
      </c>
      <c r="G17" s="513"/>
      <c r="H17" s="293">
        <f ca="1">1/(1+$D$8)^H16</f>
        <v>0.95717657178974414</v>
      </c>
      <c r="I17" s="293">
        <f t="shared" ref="I17:M17" ca="1" si="2">1/(1+$D$8)^I16</f>
        <v>0.87695272180758166</v>
      </c>
      <c r="J17" s="293">
        <f t="shared" ca="1" si="2"/>
        <v>0.80345267419965283</v>
      </c>
      <c r="K17" s="293">
        <f t="shared" ca="1" si="2"/>
        <v>0.73611288684752485</v>
      </c>
      <c r="L17" s="293">
        <f t="shared" ca="1" si="2"/>
        <v>0.67441704979420825</v>
      </c>
      <c r="M17" s="293">
        <f t="shared" ca="1" si="2"/>
        <v>0.61789212657451653</v>
      </c>
    </row>
    <row r="19" spans="2:14" ht="16" thickBot="1" x14ac:dyDescent="0.25">
      <c r="B19" t="s">
        <v>548</v>
      </c>
      <c r="G19" s="514"/>
      <c r="H19" s="283">
        <f ca="1">H14*H17</f>
        <v>-8279.9241159070589</v>
      </c>
      <c r="I19" s="283">
        <f t="shared" ref="I19:M19" ca="1" si="3">I14*I17</f>
        <v>-13604.31511743036</v>
      </c>
      <c r="J19" s="283">
        <f t="shared" ca="1" si="3"/>
        <v>-11685.12367461145</v>
      </c>
      <c r="K19" s="283">
        <f t="shared" ca="1" si="3"/>
        <v>3818.0422339945685</v>
      </c>
      <c r="L19" s="283">
        <f t="shared" ca="1" si="3"/>
        <v>26002.127130924488</v>
      </c>
      <c r="M19" s="283">
        <f t="shared" ca="1" si="3"/>
        <v>40420.964677371776</v>
      </c>
    </row>
    <row r="20" spans="2:14" ht="16" thickTop="1" x14ac:dyDescent="0.2"/>
    <row r="21" spans="2:14" x14ac:dyDescent="0.2">
      <c r="B21" s="474" t="s">
        <v>550</v>
      </c>
      <c r="C21" s="13"/>
      <c r="D21" s="14"/>
    </row>
    <row r="22" spans="2:14" x14ac:dyDescent="0.2">
      <c r="B22" s="58" t="s">
        <v>551</v>
      </c>
      <c r="D22" s="519">
        <f ca="1">M14*(1+D7)</f>
        <v>68361.298471343209</v>
      </c>
    </row>
    <row r="23" spans="2:14" x14ac:dyDescent="0.2">
      <c r="B23" s="58" t="s">
        <v>470</v>
      </c>
      <c r="D23" s="552">
        <f ca="1">D8</f>
        <v>9.1480245157121318E-2</v>
      </c>
    </row>
    <row r="24" spans="2:14" x14ac:dyDescent="0.2">
      <c r="B24" s="58" t="s">
        <v>549</v>
      </c>
      <c r="D24" s="552">
        <f>D7</f>
        <v>4.4999999999999998E-2</v>
      </c>
    </row>
    <row r="25" spans="2:14" ht="16" thickBot="1" x14ac:dyDescent="0.25">
      <c r="B25" s="524" t="s">
        <v>541</v>
      </c>
      <c r="C25" s="525"/>
      <c r="D25" s="526">
        <f ca="1">D22/(D23-D24)</f>
        <v>1470760.281927417</v>
      </c>
    </row>
    <row r="27" spans="2:14" x14ac:dyDescent="0.2">
      <c r="B27" s="474" t="s">
        <v>560</v>
      </c>
      <c r="C27" s="13"/>
      <c r="D27" s="13"/>
      <c r="E27" s="14"/>
      <c r="G27" s="474" t="s">
        <v>596</v>
      </c>
      <c r="H27" s="13"/>
      <c r="I27" s="13"/>
      <c r="J27" s="13"/>
      <c r="K27" s="13"/>
      <c r="L27" s="13"/>
      <c r="M27" s="14"/>
    </row>
    <row r="28" spans="2:14" x14ac:dyDescent="0.2">
      <c r="B28" s="58" t="s">
        <v>548</v>
      </c>
      <c r="E28" s="520">
        <f ca="1">SUM(H19:M19)</f>
        <v>36671.771134341965</v>
      </c>
      <c r="G28" s="58"/>
      <c r="M28" s="570" t="str">
        <f>Model!P1</f>
        <v>CURRENTLY RUNNING: BASE CASE SCENARIO</v>
      </c>
    </row>
    <row r="29" spans="2:14" x14ac:dyDescent="0.2">
      <c r="B29" s="58" t="s">
        <v>556</v>
      </c>
      <c r="E29" s="520">
        <f ca="1">D25*M17</f>
        <v>908771.19828146719</v>
      </c>
      <c r="G29" s="571" t="s">
        <v>600</v>
      </c>
      <c r="M29" s="22"/>
      <c r="N29" s="556"/>
    </row>
    <row r="30" spans="2:14" x14ac:dyDescent="0.2">
      <c r="B30" s="521" t="s">
        <v>557</v>
      </c>
      <c r="C30" s="522"/>
      <c r="D30" s="522"/>
      <c r="E30" s="523">
        <f ca="1">SUM(E28:E29)</f>
        <v>945442.96941580914</v>
      </c>
      <c r="G30" s="568"/>
      <c r="I30" s="557" t="s">
        <v>470</v>
      </c>
      <c r="J30" s="5"/>
      <c r="K30" s="5"/>
      <c r="L30" s="5"/>
      <c r="M30" s="558"/>
    </row>
    <row r="31" spans="2:14" x14ac:dyDescent="0.2">
      <c r="B31" s="58"/>
      <c r="E31" s="527"/>
      <c r="G31" s="568"/>
      <c r="H31" s="573">
        <f ca="1">E37</f>
        <v>465.49779664547151</v>
      </c>
      <c r="I31" s="574">
        <f ca="1">Scenarios!G61</f>
        <v>8.6480245157121313E-2</v>
      </c>
      <c r="J31" s="574">
        <f ca="1">Scenarios!H61</f>
        <v>8.8980245157121315E-2</v>
      </c>
      <c r="K31" s="574">
        <f ca="1">Scenarios!I61</f>
        <v>9.1480245157121318E-2</v>
      </c>
      <c r="L31" s="574">
        <f ca="1">Scenarios!J61</f>
        <v>9.398024515712132E-2</v>
      </c>
      <c r="M31" s="576">
        <f ca="1">Scenarios!K61</f>
        <v>9.6480245157121322E-2</v>
      </c>
    </row>
    <row r="32" spans="2:14" x14ac:dyDescent="0.2">
      <c r="B32" s="58" t="s">
        <v>558</v>
      </c>
      <c r="E32" s="551">
        <f>Model!J225</f>
        <v>6926.32</v>
      </c>
      <c r="G32" s="640" t="s">
        <v>549</v>
      </c>
      <c r="H32" s="574">
        <f>Scenarios!G68</f>
        <v>0.04</v>
      </c>
      <c r="I32" s="559">
        <f t="dataTable" ref="I32:M36" dt2D="1" dtr="1" r1="D23" r2="D24" ca="1"/>
        <v>465.49779664547157</v>
      </c>
      <c r="J32" s="559">
        <v>441.44526245603788</v>
      </c>
      <c r="K32" s="559">
        <v>419.72882186095518</v>
      </c>
      <c r="L32" s="559">
        <v>400.02389867672082</v>
      </c>
      <c r="M32" s="560">
        <v>382.06338392497622</v>
      </c>
    </row>
    <row r="33" spans="2:13" x14ac:dyDescent="0.2">
      <c r="B33" s="58" t="s">
        <v>559</v>
      </c>
      <c r="E33" s="520">
        <f>Model!J240+Model!J245+Model!J247</f>
        <v>54671</v>
      </c>
      <c r="G33" s="640"/>
      <c r="H33" s="574">
        <f>Scenarios!H68</f>
        <v>4.2500000000000003E-2</v>
      </c>
      <c r="I33" s="559">
        <v>492.28480106165193</v>
      </c>
      <c r="J33" s="559">
        <v>465.49779664547157</v>
      </c>
      <c r="K33" s="559">
        <v>441.44526245603788</v>
      </c>
      <c r="L33" s="559">
        <v>419.72882186095518</v>
      </c>
      <c r="M33" s="560">
        <v>400.02389867672082</v>
      </c>
    </row>
    <row r="34" spans="2:13" x14ac:dyDescent="0.2">
      <c r="B34" s="521" t="s">
        <v>561</v>
      </c>
      <c r="C34" s="522"/>
      <c r="D34" s="522"/>
      <c r="E34" s="523">
        <f ca="1">E30+E32-E33</f>
        <v>897698.28941580909</v>
      </c>
      <c r="G34" s="640"/>
      <c r="H34" s="574">
        <f>Scenarios!I68</f>
        <v>4.4999999999999998E-2</v>
      </c>
      <c r="I34" s="559">
        <v>522.30069242325828</v>
      </c>
      <c r="J34" s="559">
        <v>492.28480106165188</v>
      </c>
      <c r="K34" s="561">
        <v>465.49779664547151</v>
      </c>
      <c r="L34" s="559">
        <v>441.44526245603777</v>
      </c>
      <c r="M34" s="560">
        <v>419.72882186095512</v>
      </c>
    </row>
    <row r="35" spans="2:13" x14ac:dyDescent="0.2">
      <c r="B35" s="58" t="s">
        <v>562</v>
      </c>
      <c r="E35" s="550">
        <f>Assumptions!O9</f>
        <v>1928.4694704999999</v>
      </c>
      <c r="G35" s="640"/>
      <c r="H35" s="574">
        <f>Scenarios!J68</f>
        <v>4.7500000000000001E-2</v>
      </c>
      <c r="I35" s="559">
        <v>556.16672521427586</v>
      </c>
      <c r="J35" s="559">
        <v>522.30069242325828</v>
      </c>
      <c r="K35" s="559">
        <v>492.28480106165188</v>
      </c>
      <c r="L35" s="559">
        <v>465.49779664547151</v>
      </c>
      <c r="M35" s="560">
        <v>441.44526245603777</v>
      </c>
    </row>
    <row r="36" spans="2:13" x14ac:dyDescent="0.2">
      <c r="B36" s="58"/>
      <c r="E36" s="22"/>
      <c r="G36" s="641"/>
      <c r="H36" s="575">
        <f>Scenarios!K68</f>
        <v>0.05</v>
      </c>
      <c r="I36" s="562">
        <v>594.67445279724939</v>
      </c>
      <c r="J36" s="562">
        <v>556.16672521427586</v>
      </c>
      <c r="K36" s="562">
        <v>522.30069242325828</v>
      </c>
      <c r="L36" s="562">
        <v>492.28480106165188</v>
      </c>
      <c r="M36" s="563">
        <v>465.49779664547151</v>
      </c>
    </row>
    <row r="37" spans="2:13" ht="16" thickBot="1" x14ac:dyDescent="0.25">
      <c r="B37" s="553" t="s">
        <v>563</v>
      </c>
      <c r="C37" s="554"/>
      <c r="D37" s="554"/>
      <c r="E37" s="555">
        <f ca="1">E34/E35</f>
        <v>465.49779664547151</v>
      </c>
      <c r="G37" s="569"/>
      <c r="H37" s="556"/>
      <c r="I37" s="559"/>
      <c r="J37" s="559"/>
      <c r="K37" s="559"/>
      <c r="L37" s="559"/>
      <c r="M37" s="559"/>
    </row>
    <row r="38" spans="2:13" ht="16" thickTop="1" x14ac:dyDescent="0.2"/>
    <row r="39" spans="2:13" x14ac:dyDescent="0.2">
      <c r="B39" t="s">
        <v>565</v>
      </c>
      <c r="E39" s="305">
        <f>Assumptions!O8</f>
        <v>202.71</v>
      </c>
    </row>
    <row r="40" spans="2:13" x14ac:dyDescent="0.2">
      <c r="B40" t="s">
        <v>566</v>
      </c>
      <c r="E40" s="529">
        <f ca="1">E39/E37</f>
        <v>0.43546930073739165</v>
      </c>
    </row>
  </sheetData>
  <mergeCells count="1">
    <mergeCell ref="G32:G36"/>
  </mergeCells>
  <printOptions horizontalCentered="1" verticalCentered="1"/>
  <pageMargins left="0.25" right="0.25" top="0.25" bottom="0.25" header="0" footer="0"/>
  <pageSetup paperSize="9" scale="95" orientation="landscape"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992A-2CF5-9F45-9C68-E942DD4E38FC}">
  <sheetPr>
    <tabColor rgb="FF002060"/>
  </sheetPr>
  <dimension ref="A1"/>
  <sheetViews>
    <sheetView workbookViewId="0"/>
  </sheetViews>
  <sheetFormatPr baseColWidth="10" defaultRowHeight="15" x14ac:dyDescent="0.2"/>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6638-699D-3442-81EC-AFF5CB3BE7A1}">
  <sheetPr>
    <pageSetUpPr fitToPage="1"/>
  </sheetPr>
  <dimension ref="B1:P34"/>
  <sheetViews>
    <sheetView showGridLines="0" topLeftCell="A5" zoomScale="125" zoomScaleNormal="125" workbookViewId="0"/>
  </sheetViews>
  <sheetFormatPr baseColWidth="10" defaultRowHeight="15" x14ac:dyDescent="0.2"/>
  <cols>
    <col min="1" max="2" width="3.83203125" customWidth="1"/>
    <col min="4" max="5" width="11" bestFit="1" customWidth="1"/>
    <col min="6" max="8" width="11.6640625" bestFit="1" customWidth="1"/>
    <col min="9" max="9" width="3.83203125" customWidth="1"/>
    <col min="10" max="10" width="11.6640625" bestFit="1" customWidth="1"/>
    <col min="11" max="12" width="11" bestFit="1" customWidth="1"/>
    <col min="14" max="14" width="11.83203125" bestFit="1" customWidth="1"/>
    <col min="15" max="15" width="11.6640625" bestFit="1" customWidth="1"/>
    <col min="16" max="16" width="11.83203125" bestFit="1" customWidth="1"/>
  </cols>
  <sheetData>
    <row r="1" spans="2:16" ht="21" x14ac:dyDescent="0.25">
      <c r="B1" s="381" t="str">
        <f>Cover!B11</f>
        <v>Adani Power</v>
      </c>
      <c r="C1" s="41"/>
      <c r="D1" s="41"/>
      <c r="E1" s="41"/>
      <c r="F1" s="41"/>
      <c r="G1" s="41"/>
      <c r="H1" s="41"/>
      <c r="I1" s="41"/>
      <c r="J1" s="41"/>
      <c r="K1" s="41"/>
      <c r="L1" s="41"/>
      <c r="M1" s="41"/>
      <c r="N1" s="41"/>
      <c r="O1" s="41"/>
      <c r="P1" s="41"/>
    </row>
    <row r="2" spans="2:16" ht="19" x14ac:dyDescent="0.25">
      <c r="B2" s="492" t="s">
        <v>591</v>
      </c>
      <c r="C2" s="538"/>
      <c r="D2" s="538"/>
      <c r="E2" s="538"/>
      <c r="F2" s="538"/>
      <c r="G2" s="538"/>
      <c r="H2" s="538"/>
      <c r="I2" s="538"/>
      <c r="J2" s="538"/>
      <c r="K2" s="538"/>
      <c r="L2" s="538"/>
      <c r="M2" s="538"/>
      <c r="N2" s="538"/>
      <c r="O2" s="538"/>
      <c r="P2" s="538"/>
    </row>
    <row r="3" spans="2:16" ht="3" customHeight="1" thickBot="1" x14ac:dyDescent="0.25">
      <c r="B3" s="532"/>
      <c r="C3" s="532"/>
      <c r="D3" s="532"/>
      <c r="E3" s="532"/>
      <c r="F3" s="532"/>
      <c r="G3" s="532"/>
      <c r="H3" s="532"/>
      <c r="I3" s="532"/>
      <c r="J3" s="532"/>
      <c r="K3" s="532"/>
      <c r="L3" s="532"/>
      <c r="M3" s="532"/>
      <c r="N3" s="532"/>
      <c r="O3" s="532"/>
      <c r="P3" s="532"/>
    </row>
    <row r="4" spans="2:16" ht="16" thickTop="1" x14ac:dyDescent="0.2">
      <c r="B4" s="39" t="s">
        <v>7</v>
      </c>
    </row>
    <row r="6" spans="2:16" x14ac:dyDescent="0.2">
      <c r="B6" s="455"/>
      <c r="C6" s="455"/>
      <c r="D6" s="531" t="s">
        <v>573</v>
      </c>
      <c r="E6" s="531"/>
      <c r="F6" s="531"/>
      <c r="G6" s="531"/>
      <c r="H6" s="531"/>
      <c r="I6" s="455"/>
      <c r="J6" s="531" t="s">
        <v>574</v>
      </c>
      <c r="K6" s="531"/>
      <c r="L6" s="531"/>
      <c r="M6" s="455"/>
      <c r="N6" s="531" t="s">
        <v>575</v>
      </c>
      <c r="O6" s="531"/>
      <c r="P6" s="531"/>
    </row>
    <row r="7" spans="2:16" ht="32" x14ac:dyDescent="0.2">
      <c r="B7" s="455" t="s">
        <v>568</v>
      </c>
      <c r="C7" s="455" t="s">
        <v>569</v>
      </c>
      <c r="D7" s="530" t="s">
        <v>565</v>
      </c>
      <c r="E7" s="530" t="s">
        <v>570</v>
      </c>
      <c r="F7" s="530" t="s">
        <v>571</v>
      </c>
      <c r="G7" s="455" t="s">
        <v>572</v>
      </c>
      <c r="H7" s="530" t="s">
        <v>557</v>
      </c>
      <c r="I7" s="455"/>
      <c r="J7" s="455" t="s">
        <v>8</v>
      </c>
      <c r="K7" s="455" t="s">
        <v>19</v>
      </c>
      <c r="L7" s="455" t="s">
        <v>73</v>
      </c>
      <c r="M7" s="455"/>
      <c r="N7" s="455" t="s">
        <v>582</v>
      </c>
      <c r="O7" s="455" t="s">
        <v>583</v>
      </c>
      <c r="P7" s="455" t="s">
        <v>584</v>
      </c>
    </row>
    <row r="8" spans="2:16" ht="3" customHeight="1" x14ac:dyDescent="0.2"/>
    <row r="9" spans="2:16" x14ac:dyDescent="0.2">
      <c r="B9" s="313" t="s">
        <v>1</v>
      </c>
      <c r="C9" s="313"/>
      <c r="D9" s="535">
        <f>Assumptions!O8</f>
        <v>202.71</v>
      </c>
      <c r="E9" s="535">
        <f>Assumptions!O9</f>
        <v>1928.4694704999999</v>
      </c>
      <c r="F9" s="536">
        <f>E9*D9</f>
        <v>390920.04636505502</v>
      </c>
      <c r="G9" s="535">
        <f>'Historical Data'!Q82+'Historical Data'!Q77+'Historical Data'!Q84-'Historical Data'!Q47</f>
        <v>47744.68</v>
      </c>
      <c r="H9" s="536">
        <f>F9+G9</f>
        <v>438664.72636505502</v>
      </c>
      <c r="I9" s="313"/>
      <c r="J9" s="535">
        <f>'Historical Data'!Q8</f>
        <v>54240.52</v>
      </c>
      <c r="K9" s="535">
        <f>'Historical Data'!Q20</f>
        <v>23430.869999999995</v>
      </c>
      <c r="L9" s="535">
        <f>'Historical Data'!Q30</f>
        <v>12971.079999999996</v>
      </c>
      <c r="M9" s="313"/>
      <c r="N9" s="537">
        <f>H9/J9</f>
        <v>8.0873989844687149</v>
      </c>
      <c r="O9" s="537">
        <f>H9/K9</f>
        <v>18.721657640755769</v>
      </c>
      <c r="P9" s="537">
        <f>F9/L9</f>
        <v>30.137817850561028</v>
      </c>
    </row>
    <row r="10" spans="2:16" x14ac:dyDescent="0.2">
      <c r="B10" t="str">
        <f>'Comp Data'!C6</f>
        <v>NTPC</v>
      </c>
      <c r="D10" s="533">
        <f>'Comp Data'!E6</f>
        <v>325.89999999999998</v>
      </c>
      <c r="E10" s="533">
        <f>'Comp Data'!F6</f>
        <v>969.67</v>
      </c>
      <c r="F10" s="275">
        <f>E10*D10</f>
        <v>316015.45299999998</v>
      </c>
      <c r="G10" s="533">
        <f>'Comp Data'!I6</f>
        <v>263000.8</v>
      </c>
      <c r="H10" s="275">
        <f t="shared" ref="H10:H14" si="0">F10+G10</f>
        <v>579016.25300000003</v>
      </c>
      <c r="I10" s="533"/>
      <c r="J10" s="533">
        <f>'Comp Data'!L6</f>
        <v>191058.77</v>
      </c>
      <c r="K10" s="533">
        <f>'Comp Data'!M6</f>
        <v>60059.409999999996</v>
      </c>
      <c r="L10" s="533">
        <f>'Comp Data'!N6</f>
        <v>27762.97</v>
      </c>
      <c r="N10" s="534">
        <f>H10/J10</f>
        <v>3.0305662126894255</v>
      </c>
      <c r="O10" s="534">
        <f>H10/K10</f>
        <v>9.6407249588365929</v>
      </c>
      <c r="P10" s="534">
        <f>F10/L10</f>
        <v>11.382624157285765</v>
      </c>
    </row>
    <row r="11" spans="2:16" x14ac:dyDescent="0.2">
      <c r="B11" t="str">
        <f>'Comp Data'!C7</f>
        <v>Tata Power Co.</v>
      </c>
      <c r="D11" s="533">
        <f>'Comp Data'!E7</f>
        <v>366.05</v>
      </c>
      <c r="E11" s="533">
        <f>'Comp Data'!F7</f>
        <v>319.52999999999997</v>
      </c>
      <c r="F11" s="275">
        <f t="shared" ref="F11:F14" si="1">E11*D11</f>
        <v>116963.9565</v>
      </c>
      <c r="G11" s="533">
        <f>'Comp Data'!I7</f>
        <v>62497.270000000004</v>
      </c>
      <c r="H11" s="275">
        <f t="shared" si="0"/>
        <v>179461.22649999999</v>
      </c>
      <c r="I11" s="533"/>
      <c r="J11" s="533">
        <f>'Comp Data'!L7</f>
        <v>63444.78</v>
      </c>
      <c r="K11" s="533">
        <f>'Comp Data'!M7</f>
        <v>17228.43</v>
      </c>
      <c r="L11" s="533">
        <f>'Comp Data'!N7</f>
        <v>3915.45</v>
      </c>
      <c r="N11" s="534">
        <f t="shared" ref="N11:N14" si="2">H11/J11</f>
        <v>2.828620833739198</v>
      </c>
      <c r="O11" s="534">
        <f t="shared" ref="O11:O14" si="3">H11/K11</f>
        <v>10.416574609526229</v>
      </c>
      <c r="P11" s="534">
        <f t="shared" ref="P11:P14" si="4">F11/L11</f>
        <v>29.872417346665134</v>
      </c>
    </row>
    <row r="12" spans="2:16" x14ac:dyDescent="0.2">
      <c r="B12" t="str">
        <f>'Comp Data'!C8</f>
        <v>JSW Energy</v>
      </c>
      <c r="D12" s="533">
        <f>'Comp Data'!E8</f>
        <v>514.20000000000005</v>
      </c>
      <c r="E12" s="533">
        <f>'Comp Data'!F8</f>
        <v>183.35</v>
      </c>
      <c r="F12" s="275">
        <f t="shared" si="1"/>
        <v>94278.57</v>
      </c>
      <c r="G12" s="533">
        <f>'Comp Data'!I8</f>
        <v>71180.56</v>
      </c>
      <c r="H12" s="275">
        <f t="shared" si="0"/>
        <v>165459.13</v>
      </c>
      <c r="I12" s="533"/>
      <c r="J12" s="533">
        <f>'Comp Data'!L8</f>
        <v>18964.89</v>
      </c>
      <c r="K12" s="533">
        <f>'Comp Data'!M8</f>
        <v>11097.94</v>
      </c>
      <c r="L12" s="533">
        <f>'Comp Data'!N8</f>
        <v>2006.08</v>
      </c>
      <c r="N12" s="534">
        <f t="shared" si="2"/>
        <v>8.724497215644277</v>
      </c>
      <c r="O12" s="534">
        <f t="shared" si="3"/>
        <v>14.908994822462548</v>
      </c>
      <c r="P12" s="534">
        <f t="shared" si="4"/>
        <v>46.996415895677146</v>
      </c>
    </row>
    <row r="13" spans="2:16" x14ac:dyDescent="0.2">
      <c r="B13" t="str">
        <f>'Comp Data'!C9</f>
        <v>Torrent Power</v>
      </c>
      <c r="D13" s="533">
        <f>'Comp Data'!E9</f>
        <v>1250</v>
      </c>
      <c r="E13" s="533">
        <f>'Comp Data'!F9</f>
        <v>50.39</v>
      </c>
      <c r="F13" s="275">
        <f t="shared" si="1"/>
        <v>62987.5</v>
      </c>
      <c r="G13" s="533">
        <f>'Comp Data'!I9</f>
        <v>13139.13</v>
      </c>
      <c r="H13" s="275">
        <f t="shared" si="0"/>
        <v>76126.63</v>
      </c>
      <c r="I13" s="533"/>
      <c r="J13" s="533">
        <f>'Comp Data'!L9</f>
        <v>29184.09</v>
      </c>
      <c r="K13" s="533">
        <f>'Comp Data'!M9</f>
        <v>5894.85</v>
      </c>
      <c r="L13" s="533">
        <f>'Comp Data'!N9</f>
        <v>2323.84</v>
      </c>
      <c r="N13" s="534">
        <f t="shared" si="2"/>
        <v>2.6084976437504133</v>
      </c>
      <c r="O13" s="534">
        <f t="shared" si="3"/>
        <v>12.914091113429519</v>
      </c>
      <c r="P13" s="534">
        <f t="shared" si="4"/>
        <v>27.104921164968328</v>
      </c>
    </row>
    <row r="14" spans="2:16" x14ac:dyDescent="0.2">
      <c r="B14" t="str">
        <f>'Comp Data'!C10</f>
        <v>CESC</v>
      </c>
      <c r="D14" s="533">
        <f>'Comp Data'!E10</f>
        <v>141.75</v>
      </c>
      <c r="E14" s="533">
        <f>'Comp Data'!F10</f>
        <v>132.56</v>
      </c>
      <c r="F14" s="275">
        <f t="shared" si="1"/>
        <v>18790.38</v>
      </c>
      <c r="G14" s="533">
        <f>'Comp Data'!I10</f>
        <v>16098.54</v>
      </c>
      <c r="H14" s="275">
        <f t="shared" si="0"/>
        <v>34888.92</v>
      </c>
      <c r="I14" s="533"/>
      <c r="J14" s="533">
        <f>'Comp Data'!L10</f>
        <v>18853</v>
      </c>
      <c r="K14" s="533">
        <f>'Comp Data'!M10</f>
        <v>4676</v>
      </c>
      <c r="L14" s="533">
        <f>'Comp Data'!N10</f>
        <v>1554</v>
      </c>
      <c r="N14" s="534">
        <f t="shared" si="2"/>
        <v>1.8505765660637563</v>
      </c>
      <c r="O14" s="534">
        <f t="shared" si="3"/>
        <v>7.4612745936698026</v>
      </c>
      <c r="P14" s="534">
        <f t="shared" si="4"/>
        <v>12.091621621621622</v>
      </c>
    </row>
    <row r="16" spans="2:16" x14ac:dyDescent="0.2">
      <c r="B16" s="540" t="s">
        <v>585</v>
      </c>
      <c r="C16" s="540"/>
      <c r="D16" s="540"/>
      <c r="E16" s="540"/>
      <c r="F16" s="540"/>
      <c r="G16" s="540"/>
      <c r="H16" s="540"/>
      <c r="I16" s="540"/>
      <c r="J16" s="540"/>
      <c r="K16" s="540"/>
      <c r="L16" s="540"/>
      <c r="M16" s="540"/>
      <c r="N16" s="541">
        <f>MAX(N10:N14)</f>
        <v>8.724497215644277</v>
      </c>
      <c r="O16" s="541">
        <f t="shared" ref="O16:P16" si="5">MAX(O10:O14)</f>
        <v>14.908994822462548</v>
      </c>
      <c r="P16" s="541">
        <f t="shared" si="5"/>
        <v>46.996415895677146</v>
      </c>
    </row>
    <row r="17" spans="2:16" x14ac:dyDescent="0.2">
      <c r="B17" s="513" t="s">
        <v>586</v>
      </c>
      <c r="C17" s="513"/>
      <c r="D17" s="513"/>
      <c r="E17" s="513"/>
      <c r="F17" s="513"/>
      <c r="G17" s="513"/>
      <c r="H17" s="513"/>
      <c r="I17" s="513"/>
      <c r="J17" s="513"/>
      <c r="K17" s="513"/>
      <c r="L17" s="513"/>
      <c r="M17" s="513"/>
      <c r="N17" s="542">
        <f>QUARTILE(N10:N14,3)</f>
        <v>3.0305662126894255</v>
      </c>
      <c r="O17" s="542">
        <f t="shared" ref="O17:P17" si="6">QUARTILE(O10:O14,3)</f>
        <v>12.914091113429519</v>
      </c>
      <c r="P17" s="542">
        <f t="shared" si="6"/>
        <v>29.872417346665134</v>
      </c>
    </row>
    <row r="18" spans="2:16" x14ac:dyDescent="0.2">
      <c r="B18" s="543" t="s">
        <v>450</v>
      </c>
      <c r="C18" s="543"/>
      <c r="D18" s="543"/>
      <c r="E18" s="543"/>
      <c r="F18" s="543"/>
      <c r="G18" s="543"/>
      <c r="H18" s="543"/>
      <c r="I18" s="543"/>
      <c r="J18" s="543"/>
      <c r="K18" s="543"/>
      <c r="L18" s="543"/>
      <c r="M18" s="543"/>
      <c r="N18" s="544">
        <f>AVERAGE(N10:N14)</f>
        <v>3.8085516943774147</v>
      </c>
      <c r="O18" s="544">
        <f t="shared" ref="O18:P18" si="7">AVERAGE(O10:O14)</f>
        <v>11.068332019584938</v>
      </c>
      <c r="P18" s="544">
        <f t="shared" si="7"/>
        <v>25.489600037243598</v>
      </c>
    </row>
    <row r="19" spans="2:16" x14ac:dyDescent="0.2">
      <c r="B19" s="543" t="s">
        <v>451</v>
      </c>
      <c r="C19" s="543"/>
      <c r="D19" s="543"/>
      <c r="E19" s="543"/>
      <c r="F19" s="543"/>
      <c r="G19" s="543"/>
      <c r="H19" s="543"/>
      <c r="I19" s="543"/>
      <c r="J19" s="543"/>
      <c r="K19" s="543"/>
      <c r="L19" s="543"/>
      <c r="M19" s="543"/>
      <c r="N19" s="544">
        <f>QUARTILE(N10:N14,2)</f>
        <v>2.828620833739198</v>
      </c>
      <c r="O19" s="544">
        <f t="shared" ref="O19:P19" si="8">QUARTILE(O10:O14,2)</f>
        <v>10.416574609526229</v>
      </c>
      <c r="P19" s="544">
        <f t="shared" si="8"/>
        <v>27.104921164968328</v>
      </c>
    </row>
    <row r="20" spans="2:16" x14ac:dyDescent="0.2">
      <c r="B20" s="513" t="s">
        <v>587</v>
      </c>
      <c r="C20" s="513"/>
      <c r="D20" s="513"/>
      <c r="E20" s="513"/>
      <c r="F20" s="513"/>
      <c r="G20" s="513"/>
      <c r="H20" s="513"/>
      <c r="I20" s="513"/>
      <c r="J20" s="513"/>
      <c r="K20" s="513"/>
      <c r="L20" s="513"/>
      <c r="M20" s="513"/>
      <c r="N20" s="542">
        <f>QUARTILE(N10:N14,1)</f>
        <v>2.6084976437504133</v>
      </c>
      <c r="O20" s="542">
        <f t="shared" ref="O20:P20" si="9">QUARTILE(O10:O14,1)</f>
        <v>9.6407249588365929</v>
      </c>
      <c r="P20" s="542">
        <f t="shared" si="9"/>
        <v>12.091621621621622</v>
      </c>
    </row>
    <row r="21" spans="2:16" x14ac:dyDescent="0.2">
      <c r="B21" s="545" t="s">
        <v>588</v>
      </c>
      <c r="C21" s="545"/>
      <c r="D21" s="545"/>
      <c r="E21" s="545"/>
      <c r="F21" s="545"/>
      <c r="G21" s="545"/>
      <c r="H21" s="545"/>
      <c r="I21" s="545"/>
      <c r="J21" s="545"/>
      <c r="K21" s="545"/>
      <c r="L21" s="545"/>
      <c r="M21" s="545"/>
      <c r="N21" s="546">
        <f>MIN(N10:N14)</f>
        <v>1.8505765660637563</v>
      </c>
      <c r="O21" s="546">
        <f t="shared" ref="O21:P21" si="10">MIN(O10:O14)</f>
        <v>7.4612745936698026</v>
      </c>
      <c r="P21" s="546">
        <f t="shared" si="10"/>
        <v>11.382624157285765</v>
      </c>
    </row>
    <row r="23" spans="2:16" x14ac:dyDescent="0.2">
      <c r="B23" s="34"/>
      <c r="C23" s="34"/>
      <c r="D23" s="34"/>
      <c r="E23" s="34"/>
      <c r="F23" s="34"/>
      <c r="G23" s="34"/>
      <c r="H23" s="34"/>
      <c r="I23" s="34"/>
      <c r="J23" s="34"/>
      <c r="K23" s="34"/>
      <c r="L23" s="34"/>
      <c r="M23" s="34"/>
      <c r="N23" s="34"/>
      <c r="O23" s="34"/>
      <c r="P23" s="34"/>
    </row>
    <row r="24" spans="2:16" ht="21" x14ac:dyDescent="0.25">
      <c r="B24" s="381" t="str">
        <f>B1</f>
        <v>Adani Power</v>
      </c>
      <c r="C24" s="41"/>
      <c r="D24" s="41"/>
      <c r="E24" s="41"/>
      <c r="F24" s="41"/>
      <c r="G24" s="41"/>
      <c r="H24" s="41"/>
      <c r="I24" s="41"/>
      <c r="J24" s="41"/>
      <c r="K24" s="41"/>
      <c r="L24" s="41"/>
      <c r="M24" s="41"/>
      <c r="N24" s="41"/>
      <c r="O24" s="41"/>
      <c r="P24" s="41"/>
    </row>
    <row r="25" spans="2:16" ht="19" x14ac:dyDescent="0.25">
      <c r="B25" s="492" t="s">
        <v>590</v>
      </c>
      <c r="C25" s="538"/>
      <c r="D25" s="538"/>
      <c r="E25" s="538"/>
      <c r="F25" s="538"/>
      <c r="G25" s="538"/>
      <c r="H25" s="538"/>
      <c r="I25" s="538"/>
      <c r="J25" s="538"/>
      <c r="K25" s="538"/>
      <c r="L25" s="538"/>
      <c r="M25" s="538"/>
      <c r="N25" s="538"/>
      <c r="O25" s="538"/>
      <c r="P25" s="538"/>
    </row>
    <row r="26" spans="2:16" ht="3" customHeight="1" thickBot="1" x14ac:dyDescent="0.25">
      <c r="B26" s="532"/>
      <c r="C26" s="532"/>
      <c r="D26" s="532"/>
      <c r="E26" s="532"/>
      <c r="F26" s="532"/>
      <c r="G26" s="532"/>
      <c r="H26" s="532"/>
      <c r="I26" s="532"/>
      <c r="J26" s="532"/>
      <c r="K26" s="532"/>
      <c r="L26" s="532"/>
      <c r="M26" s="532"/>
      <c r="N26" s="532"/>
      <c r="O26" s="532"/>
      <c r="P26" s="532"/>
    </row>
    <row r="27" spans="2:16" ht="16" thickTop="1" x14ac:dyDescent="0.2">
      <c r="B27" t="str">
        <f>B4</f>
        <v>(₹ Crore)</v>
      </c>
    </row>
    <row r="28" spans="2:16" x14ac:dyDescent="0.2">
      <c r="N28" s="455" t="str">
        <f>N7</f>
        <v>EV/Revenue</v>
      </c>
      <c r="O28" s="455" t="str">
        <f t="shared" ref="O28:P28" si="11">O7</f>
        <v>EV/EBITDA</v>
      </c>
      <c r="P28" s="455" t="str">
        <f t="shared" si="11"/>
        <v>P/E</v>
      </c>
    </row>
    <row r="29" spans="2:16" x14ac:dyDescent="0.2">
      <c r="B29" t="s">
        <v>592</v>
      </c>
      <c r="N29" s="275">
        <f>N$19*J9</f>
        <v>153425.86490484764</v>
      </c>
      <c r="O29" s="275">
        <f>O$19*K9</f>
        <v>244069.40552110979</v>
      </c>
      <c r="P29" s="275">
        <f>P31+P30</f>
        <v>399324.78082449728</v>
      </c>
    </row>
    <row r="30" spans="2:16" x14ac:dyDescent="0.2">
      <c r="B30" t="s">
        <v>572</v>
      </c>
      <c r="N30" s="539">
        <f>$G$9</f>
        <v>47744.68</v>
      </c>
      <c r="O30" s="539">
        <f t="shared" ref="O30:P30" si="12">$G$9</f>
        <v>47744.68</v>
      </c>
      <c r="P30" s="539">
        <f t="shared" si="12"/>
        <v>47744.68</v>
      </c>
    </row>
    <row r="31" spans="2:16" x14ac:dyDescent="0.2">
      <c r="B31" t="s">
        <v>593</v>
      </c>
      <c r="N31" s="275">
        <f>N29-N30</f>
        <v>105681.18490484764</v>
      </c>
      <c r="O31" s="275">
        <f>O29-O30</f>
        <v>196324.72552110979</v>
      </c>
      <c r="P31" s="275">
        <f>P19*L9</f>
        <v>351580.10082449729</v>
      </c>
    </row>
    <row r="32" spans="2:16" x14ac:dyDescent="0.2">
      <c r="B32" t="s">
        <v>594</v>
      </c>
      <c r="N32" s="539">
        <f>$E$9</f>
        <v>1928.4694704999999</v>
      </c>
      <c r="O32" s="539">
        <f t="shared" ref="O32:P32" si="13">$E$9</f>
        <v>1928.4694704999999</v>
      </c>
      <c r="P32" s="539">
        <f t="shared" si="13"/>
        <v>1928.4694704999999</v>
      </c>
    </row>
    <row r="33" spans="2:16" ht="3" customHeight="1" thickBot="1" x14ac:dyDescent="0.25">
      <c r="N33" s="539"/>
      <c r="O33" s="539"/>
      <c r="P33" s="539"/>
    </row>
    <row r="34" spans="2:16" ht="16" thickBot="1" x14ac:dyDescent="0.25">
      <c r="B34" s="547" t="s">
        <v>595</v>
      </c>
      <c r="C34" s="548"/>
      <c r="D34" s="548"/>
      <c r="E34" s="548"/>
      <c r="F34" s="548"/>
      <c r="G34" s="548"/>
      <c r="H34" s="548"/>
      <c r="I34" s="548"/>
      <c r="J34" s="548"/>
      <c r="K34" s="548"/>
      <c r="L34" s="548"/>
      <c r="M34" s="548"/>
      <c r="N34" s="549">
        <f>N31/N32</f>
        <v>54.800548580863648</v>
      </c>
      <c r="O34" s="549">
        <f t="shared" ref="O34:P34" si="14">O31/O32</f>
        <v>101.80338788054971</v>
      </c>
      <c r="P34" s="549">
        <f t="shared" si="14"/>
        <v>182.31043125268769</v>
      </c>
    </row>
  </sheetData>
  <printOptions horizontalCentered="1" verticalCentered="1"/>
  <pageMargins left="0.25" right="0.25" top="0.25" bottom="0.25" header="0" footer="0"/>
  <pageSetup paperSize="9" scale="84" orientation="landscape"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B2D6A-06BA-4B49-A533-9FECB6ED310C}">
  <sheetPr>
    <tabColor rgb="FF002060"/>
  </sheetPr>
  <dimension ref="A1"/>
  <sheetViews>
    <sheetView workbookViewId="0"/>
  </sheetViews>
  <sheetFormatPr baseColWidth="10" defaultRowHeight="15" x14ac:dyDescent="0.2"/>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9172B-DA5A-454E-94FA-65B3DE610547}">
  <sheetPr>
    <pageSetUpPr fitToPage="1"/>
  </sheetPr>
  <dimension ref="B1:O57"/>
  <sheetViews>
    <sheetView showGridLines="0" zoomScale="150" zoomScaleNormal="150" workbookViewId="0">
      <selection activeCell="F32" sqref="F32:L32"/>
    </sheetView>
  </sheetViews>
  <sheetFormatPr baseColWidth="10" defaultRowHeight="15" x14ac:dyDescent="0.2"/>
  <cols>
    <col min="1" max="2" width="3.83203125" customWidth="1"/>
  </cols>
  <sheetData>
    <row r="1" spans="2:15" ht="21" x14ac:dyDescent="0.25">
      <c r="B1" s="381" t="str">
        <f>Cover!B11</f>
        <v>Adani Power</v>
      </c>
      <c r="C1" s="5"/>
      <c r="D1" s="5"/>
      <c r="E1" s="5"/>
      <c r="F1" s="5"/>
      <c r="G1" s="5"/>
      <c r="H1" s="5"/>
      <c r="I1" s="5"/>
      <c r="J1" s="5"/>
      <c r="K1" s="5"/>
      <c r="L1" s="5"/>
      <c r="M1" s="5"/>
      <c r="N1" s="5"/>
      <c r="O1" s="5"/>
    </row>
    <row r="2" spans="2:15" ht="19" x14ac:dyDescent="0.25">
      <c r="B2" s="492" t="s">
        <v>403</v>
      </c>
      <c r="C2" s="491"/>
      <c r="D2" s="491"/>
      <c r="E2" s="491"/>
      <c r="F2" s="491"/>
      <c r="G2" s="491"/>
      <c r="H2" s="491"/>
      <c r="I2" s="491"/>
      <c r="J2" s="491"/>
      <c r="K2" s="491"/>
      <c r="L2" s="491"/>
      <c r="M2" s="491"/>
      <c r="N2" s="491"/>
      <c r="O2" s="491"/>
    </row>
    <row r="3" spans="2:15" ht="3" customHeight="1" thickBot="1" x14ac:dyDescent="0.25">
      <c r="B3" s="208"/>
      <c r="C3" s="208"/>
      <c r="D3" s="208"/>
      <c r="E3" s="208"/>
      <c r="F3" s="208"/>
      <c r="G3" s="208"/>
      <c r="H3" s="208"/>
      <c r="I3" s="208"/>
      <c r="J3" s="208"/>
      <c r="K3" s="208"/>
      <c r="L3" s="208"/>
      <c r="M3" s="208"/>
      <c r="N3" s="208"/>
      <c r="O3" s="208"/>
    </row>
    <row r="4" spans="2:15" ht="16" thickTop="1" x14ac:dyDescent="0.2"/>
    <row r="5" spans="2:15" x14ac:dyDescent="0.2">
      <c r="G5" s="361" t="s">
        <v>167</v>
      </c>
      <c r="H5" s="249"/>
      <c r="I5" s="249"/>
      <c r="J5" s="249"/>
      <c r="K5" s="249"/>
      <c r="L5" s="249"/>
    </row>
    <row r="6" spans="2:15" x14ac:dyDescent="0.2">
      <c r="F6" s="245">
        <f>G6-1</f>
        <v>2026</v>
      </c>
      <c r="G6" s="246">
        <f>Assumptions!H8</f>
        <v>2027</v>
      </c>
      <c r="H6" s="246">
        <f>G6+1</f>
        <v>2028</v>
      </c>
      <c r="I6" s="246">
        <f t="shared" ref="I6:L6" si="0">H6+1</f>
        <v>2029</v>
      </c>
      <c r="J6" s="246">
        <f t="shared" si="0"/>
        <v>2030</v>
      </c>
      <c r="K6" s="246">
        <f t="shared" si="0"/>
        <v>2031</v>
      </c>
      <c r="L6" s="246">
        <f t="shared" si="0"/>
        <v>2032</v>
      </c>
      <c r="M6" s="380" t="s">
        <v>439</v>
      </c>
      <c r="N6" s="380" t="s">
        <v>440</v>
      </c>
      <c r="O6" s="380" t="s">
        <v>441</v>
      </c>
    </row>
    <row r="7" spans="2:15" x14ac:dyDescent="0.2">
      <c r="F7" s="378"/>
      <c r="G7" s="379"/>
      <c r="H7" s="379"/>
      <c r="I7" s="379"/>
      <c r="J7" s="379"/>
      <c r="K7" s="379"/>
      <c r="L7" s="379"/>
    </row>
    <row r="8" spans="2:15" x14ac:dyDescent="0.2">
      <c r="B8" s="368" t="s">
        <v>404</v>
      </c>
      <c r="C8" s="369"/>
      <c r="D8" s="369"/>
      <c r="E8" s="369"/>
      <c r="F8" s="369"/>
      <c r="G8" s="369"/>
      <c r="H8" s="369"/>
      <c r="I8" s="369"/>
      <c r="J8" s="369"/>
      <c r="K8" s="369"/>
      <c r="L8" s="369"/>
      <c r="M8" s="369"/>
      <c r="N8" s="369"/>
      <c r="O8" s="369"/>
    </row>
    <row r="9" spans="2:15" x14ac:dyDescent="0.2">
      <c r="C9" t="s">
        <v>405</v>
      </c>
      <c r="F9" s="370">
        <f>Model!J130</f>
        <v>-2.4601799082577092E-2</v>
      </c>
      <c r="G9" s="370">
        <f ca="1">Model!K130</f>
        <v>0.17228946249106802</v>
      </c>
      <c r="H9" s="370">
        <f ca="1">Model!L130</f>
        <v>0.21868143079991742</v>
      </c>
      <c r="I9" s="370">
        <f ca="1">Model!M130</f>
        <v>0.17285081017104065</v>
      </c>
      <c r="J9" s="370">
        <f ca="1">Model!N130</f>
        <v>0.30879656994504745</v>
      </c>
      <c r="K9" s="370">
        <f ca="1">Model!O130</f>
        <v>0.31787697415118465</v>
      </c>
      <c r="L9" s="370">
        <f ca="1">Model!P130</f>
        <v>0.15649628853409014</v>
      </c>
      <c r="N9" s="382">
        <f ca="1">AVERAGE(F9:L9)</f>
        <v>0.18891281957282446</v>
      </c>
      <c r="O9" s="382">
        <f ca="1">MEDIAN(F9:L9)</f>
        <v>0.17285081017104065</v>
      </c>
    </row>
    <row r="10" spans="2:15" x14ac:dyDescent="0.2">
      <c r="C10" t="s">
        <v>406</v>
      </c>
      <c r="F10" s="370">
        <f>(Model!J137/Model!I137)-1</f>
        <v>-2.5815964781324308E-2</v>
      </c>
      <c r="G10" s="370">
        <f ca="1">(Model!K137/Model!J137)-1</f>
        <v>0.21765672373511791</v>
      </c>
      <c r="H10" s="370">
        <f ca="1">(Model!L137/Model!K137)-1</f>
        <v>0.27958063164018809</v>
      </c>
      <c r="I10" s="370">
        <f ca="1">(Model!M137/Model!L137)-1</f>
        <v>0.2084641020178426</v>
      </c>
      <c r="J10" s="370">
        <f ca="1">(Model!N137/Model!M137)-1</f>
        <v>0.37577107420812883</v>
      </c>
      <c r="K10" s="370">
        <f ca="1">(Model!O137/Model!N137)-1</f>
        <v>0.37023842264277751</v>
      </c>
      <c r="L10" s="370">
        <f ca="1">(Model!P137/Model!O137)-1</f>
        <v>0.16836233335106376</v>
      </c>
      <c r="N10" s="382">
        <f t="shared" ref="N10:N15" ca="1" si="1">AVERAGE(F10:L10)</f>
        <v>0.22775104611625635</v>
      </c>
      <c r="O10" s="382">
        <f t="shared" ref="O10:O15" ca="1" si="2">MEDIAN(F10:L10)</f>
        <v>0.21765672373511791</v>
      </c>
    </row>
    <row r="11" spans="2:15" x14ac:dyDescent="0.2">
      <c r="C11" t="s">
        <v>407</v>
      </c>
      <c r="F11" s="370">
        <f>(Model!J147/Model!I147)-1</f>
        <v>1.0674994939208204E-4</v>
      </c>
      <c r="G11" s="370">
        <f ca="1">(Model!K147/Model!J147)-1</f>
        <v>0.19762241266241976</v>
      </c>
      <c r="H11" s="370">
        <f ca="1">(Model!L147/Model!K147)-1</f>
        <v>0.25684578702488636</v>
      </c>
      <c r="I11" s="370">
        <f ca="1">(Model!M147/Model!L147)-1</f>
        <v>0.19436458872438678</v>
      </c>
      <c r="J11" s="370">
        <f ca="1">(Model!N147/Model!M147)-1</f>
        <v>0.35496180738848104</v>
      </c>
      <c r="K11" s="370">
        <f ca="1">(Model!O147/Model!N147)-1</f>
        <v>0.35456447720074058</v>
      </c>
      <c r="L11" s="370">
        <f ca="1">(Model!P147/Model!O147)-1</f>
        <v>0.16184275679787019</v>
      </c>
      <c r="N11" s="382">
        <f t="shared" ca="1" si="1"/>
        <v>0.21718693996402524</v>
      </c>
      <c r="O11" s="382">
        <f t="shared" ca="1" si="2"/>
        <v>0.19762241266241976</v>
      </c>
    </row>
    <row r="12" spans="2:15" x14ac:dyDescent="0.2">
      <c r="C12" t="s">
        <v>408</v>
      </c>
      <c r="F12" s="370">
        <f>(Model!J153/Model!I153)-1</f>
        <v>-1.2847518845847228E-2</v>
      </c>
      <c r="G12" s="370">
        <f ca="1">(Model!K153/Model!J153)-1</f>
        <v>0.21491490212982578</v>
      </c>
      <c r="H12" s="370">
        <f ca="1">(Model!L153/Model!K153)-1</f>
        <v>0.27290464753853461</v>
      </c>
      <c r="I12" s="370">
        <f ca="1">(Model!M153/Model!L153)-1</f>
        <v>0.20513115266627557</v>
      </c>
      <c r="J12" s="370">
        <f ca="1">(Model!N153/Model!M153)-1</f>
        <v>0.37292277543285213</v>
      </c>
      <c r="K12" s="370">
        <f ca="1">(Model!O153/Model!N153)-1</f>
        <v>0.36938973143902287</v>
      </c>
      <c r="L12" s="370">
        <f ca="1">(Model!P153/Model!O153)-1</f>
        <v>0.16726422913582106</v>
      </c>
      <c r="N12" s="382">
        <f t="shared" ca="1" si="1"/>
        <v>0.2270971313566407</v>
      </c>
      <c r="O12" s="382">
        <f t="shared" ca="1" si="2"/>
        <v>0.21491490212982578</v>
      </c>
    </row>
    <row r="13" spans="2:15" x14ac:dyDescent="0.2">
      <c r="C13" t="s">
        <v>409</v>
      </c>
      <c r="F13" s="370">
        <f>(Model!J159/Model!I159)-1</f>
        <v>-1.7123197944192592E-2</v>
      </c>
      <c r="G13" s="370">
        <f ca="1">(Model!K159/Model!J159)-1</f>
        <v>0.26054958849909027</v>
      </c>
      <c r="H13" s="370">
        <f ca="1">(Model!L159/Model!K159)-1</f>
        <v>0.27520266134691784</v>
      </c>
      <c r="I13" s="370">
        <f ca="1">(Model!M159/Model!L159)-1</f>
        <v>0.19901768703531775</v>
      </c>
      <c r="J13" s="370">
        <f ca="1">(Model!N159/Model!M159)-1</f>
        <v>0.40679032761907141</v>
      </c>
      <c r="K13" s="370">
        <f ca="1">(Model!O159/Model!N159)-1</f>
        <v>0.38105548981630011</v>
      </c>
      <c r="L13" s="370">
        <f ca="1">(Model!P159/Model!O159)-1</f>
        <v>0.18225640559209744</v>
      </c>
      <c r="N13" s="382">
        <f t="shared" ca="1" si="1"/>
        <v>0.24110699456637175</v>
      </c>
      <c r="O13" s="382">
        <f t="shared" ca="1" si="2"/>
        <v>0.26054958849909027</v>
      </c>
    </row>
    <row r="14" spans="2:15" x14ac:dyDescent="0.2">
      <c r="C14" t="s">
        <v>417</v>
      </c>
      <c r="F14" s="370">
        <f>(Model!J165/Model!I165)-1</f>
        <v>6.2852343875616778E-2</v>
      </c>
      <c r="G14" s="370">
        <f ca="1">(Model!K165/Model!J165)-1</f>
        <v>0.11930083857109519</v>
      </c>
      <c r="H14" s="370">
        <f ca="1">(Model!L165/Model!K165)-1</f>
        <v>0.27520266134691784</v>
      </c>
      <c r="I14" s="370">
        <f ca="1">(Model!M165/Model!L165)-1</f>
        <v>0.19901768703531797</v>
      </c>
      <c r="J14" s="370">
        <f ca="1">(Model!N165/Model!M165)-1</f>
        <v>0.40679032761907141</v>
      </c>
      <c r="K14" s="370">
        <f ca="1">(Model!O165/Model!N165)-1</f>
        <v>0.38105548981629989</v>
      </c>
      <c r="L14" s="370">
        <f ca="1">(Model!P165/Model!O165)-1</f>
        <v>0.18225640559209744</v>
      </c>
      <c r="N14" s="382">
        <f t="shared" ca="1" si="1"/>
        <v>0.23235367912234522</v>
      </c>
      <c r="O14" s="382">
        <f t="shared" ca="1" si="2"/>
        <v>0.19901768703531797</v>
      </c>
    </row>
    <row r="15" spans="2:15" x14ac:dyDescent="0.2">
      <c r="B15" s="232"/>
      <c r="C15" s="232" t="s">
        <v>412</v>
      </c>
      <c r="D15" s="232"/>
      <c r="E15" s="232"/>
      <c r="F15" s="371">
        <f>Model!J173</f>
        <v>0.17376800038201612</v>
      </c>
      <c r="G15" s="371">
        <f ca="1">Model!K173</f>
        <v>0.11930083857109519</v>
      </c>
      <c r="H15" s="371">
        <f ca="1">Model!L173</f>
        <v>0.27520266134691784</v>
      </c>
      <c r="I15" s="371">
        <f ca="1">Model!M173</f>
        <v>0.19901768703531775</v>
      </c>
      <c r="J15" s="371">
        <f ca="1">Model!N173</f>
        <v>0.40679032761907163</v>
      </c>
      <c r="K15" s="371">
        <f ca="1">Model!O173</f>
        <v>0.38105548981629989</v>
      </c>
      <c r="L15" s="371">
        <f ca="1">Model!P173</f>
        <v>0.18225640559209744</v>
      </c>
      <c r="M15" s="232"/>
      <c r="N15" s="387">
        <f t="shared" ca="1" si="1"/>
        <v>0.24819877290897369</v>
      </c>
      <c r="O15" s="387">
        <f t="shared" ca="1" si="2"/>
        <v>0.19901768703531775</v>
      </c>
    </row>
    <row r="16" spans="2:15" x14ac:dyDescent="0.2">
      <c r="N16" s="2"/>
    </row>
    <row r="17" spans="2:15" x14ac:dyDescent="0.2">
      <c r="B17" s="368" t="s">
        <v>414</v>
      </c>
      <c r="C17" s="369"/>
      <c r="D17" s="369"/>
      <c r="E17" s="369"/>
      <c r="F17" s="369"/>
      <c r="G17" s="369"/>
      <c r="H17" s="369"/>
      <c r="I17" s="369"/>
      <c r="J17" s="369"/>
      <c r="K17" s="369"/>
      <c r="L17" s="369"/>
      <c r="M17" s="369"/>
      <c r="N17" s="368"/>
      <c r="O17" s="369"/>
    </row>
    <row r="18" spans="2:15" x14ac:dyDescent="0.2">
      <c r="C18" t="s">
        <v>415</v>
      </c>
      <c r="F18" s="370">
        <f>Model!J138</f>
        <v>0.4211385884429128</v>
      </c>
      <c r="G18" s="370">
        <f ca="1">Model!K138</f>
        <v>0.43743652932966332</v>
      </c>
      <c r="H18" s="370">
        <f ca="1">Model!L138</f>
        <v>0.45929583922087297</v>
      </c>
      <c r="I18" s="370">
        <f ca="1">Model!M138</f>
        <v>0.47324223088837697</v>
      </c>
      <c r="J18" s="370">
        <f ca="1">Model!N138</f>
        <v>0.49745925936930768</v>
      </c>
      <c r="K18" s="370">
        <f ca="1">Model!O138</f>
        <v>0.51722414478504131</v>
      </c>
      <c r="L18" s="370">
        <f ca="1">Model!P138</f>
        <v>0.52253104022715258</v>
      </c>
      <c r="N18" s="382">
        <f t="shared" ref="N18:N22" ca="1" si="3">AVERAGE(F18:L18)</f>
        <v>0.47547537603761825</v>
      </c>
      <c r="O18" s="382">
        <f t="shared" ref="O18:O22" ca="1" si="4">MEDIAN(F18:L18)</f>
        <v>0.47324223088837697</v>
      </c>
    </row>
    <row r="19" spans="2:15" x14ac:dyDescent="0.2">
      <c r="C19" t="s">
        <v>416</v>
      </c>
      <c r="F19" s="370">
        <f>(SUM(Model!J141:J143)-Model!J144)/Model!J129</f>
        <v>-1.6850663623606005E-2</v>
      </c>
      <c r="G19" s="370">
        <f ca="1">(SUM(Model!K141:K143)-Model!K144)/Model!K129</f>
        <v>-1.0017586367558964E-2</v>
      </c>
      <c r="H19" s="370">
        <f ca="1">(SUM(Model!L141:L143)-Model!L144)/Model!L129</f>
        <v>-2.1707967578707184E-3</v>
      </c>
      <c r="I19" s="370">
        <f ca="1">(SUM(Model!M141:M143)-Model!M144)/Model!M129</f>
        <v>3.3108431013819683E-3</v>
      </c>
      <c r="J19" s="370">
        <f ca="1">(SUM(Model!N141:N143)-Model!N144)/Model!N129</f>
        <v>1.0951961622356326E-2</v>
      </c>
      <c r="K19" s="370">
        <f ca="1">(SUM(Model!O141:O143)-Model!O144)/Model!O129</f>
        <v>1.7173293034334396E-2</v>
      </c>
      <c r="L19" s="370">
        <f ca="1">(SUM(Model!P141:P143)-Model!P144)/Model!P129</f>
        <v>2.0168459475957388E-2</v>
      </c>
      <c r="N19" s="382">
        <f t="shared" ca="1" si="3"/>
        <v>3.2236443549991988E-3</v>
      </c>
      <c r="O19" s="382">
        <f t="shared" ca="1" si="4"/>
        <v>3.3108431013819683E-3</v>
      </c>
    </row>
    <row r="20" spans="2:15" x14ac:dyDescent="0.2">
      <c r="C20" t="s">
        <v>396</v>
      </c>
      <c r="F20" s="370">
        <f>Model!J148</f>
        <v>0.43798925206651879</v>
      </c>
      <c r="G20" s="370">
        <f ca="1">Model!K148</f>
        <v>0.44745411569722238</v>
      </c>
      <c r="H20" s="370">
        <f ca="1">Model!L148</f>
        <v>0.46146663597874371</v>
      </c>
      <c r="I20" s="370">
        <f ca="1">Model!M148</f>
        <v>0.469931387786995</v>
      </c>
      <c r="J20" s="370">
        <f ca="1">Model!N148</f>
        <v>0.48650729774695139</v>
      </c>
      <c r="K20" s="370">
        <f ca="1">Model!O148</f>
        <v>0.50005085175070685</v>
      </c>
      <c r="L20" s="370">
        <f ca="1">Model!P148</f>
        <v>0.50236258075119511</v>
      </c>
      <c r="N20" s="382">
        <f t="shared" ca="1" si="3"/>
        <v>0.47225173168261897</v>
      </c>
      <c r="O20" s="382">
        <f t="shared" ca="1" si="4"/>
        <v>0.469931387786995</v>
      </c>
    </row>
    <row r="21" spans="2:15" x14ac:dyDescent="0.2">
      <c r="C21" t="s">
        <v>400</v>
      </c>
      <c r="F21" s="370">
        <f>Model!J154</f>
        <v>0.35472589401912735</v>
      </c>
      <c r="G21" s="370">
        <f ca="1">Model!K154</f>
        <v>0.36762402853932219</v>
      </c>
      <c r="H21" s="370">
        <f ca="1">Model!L154</f>
        <v>0.38398085229491774</v>
      </c>
      <c r="I21" s="370">
        <f ca="1">Model!M154</f>
        <v>0.39454914735529673</v>
      </c>
      <c r="J21" s="370">
        <f ca="1">Model!N154</f>
        <v>0.4138806005997121</v>
      </c>
      <c r="K21" s="370">
        <f ca="1">Model!O154</f>
        <v>0.43005823428101186</v>
      </c>
      <c r="L21" s="370">
        <f ca="1">Model!P154</f>
        <v>0.43406243348851042</v>
      </c>
      <c r="N21" s="382">
        <f t="shared" ca="1" si="3"/>
        <v>0.39698302722541401</v>
      </c>
      <c r="O21" s="382">
        <f t="shared" ca="1" si="4"/>
        <v>0.39454914735529673</v>
      </c>
    </row>
    <row r="22" spans="2:15" x14ac:dyDescent="0.2">
      <c r="B22" s="232"/>
      <c r="C22" s="232" t="s">
        <v>401</v>
      </c>
      <c r="D22" s="232"/>
      <c r="E22" s="232"/>
      <c r="F22" s="371">
        <f>Model!J166</f>
        <v>0.24718817509462371</v>
      </c>
      <c r="G22" s="371">
        <f ca="1">Model!K166</f>
        <v>0.23601502915529202</v>
      </c>
      <c r="H22" s="371">
        <f ca="1">Model!L166</f>
        <v>0.24696117105776383</v>
      </c>
      <c r="I22" s="371">
        <f ca="1">Model!M166</f>
        <v>0.25247099591978855</v>
      </c>
      <c r="J22" s="371">
        <f ca="1">Model!N166</f>
        <v>0.27137430156867332</v>
      </c>
      <c r="K22" s="371">
        <f ca="1">Model!O166</f>
        <v>0.28438388129352499</v>
      </c>
      <c r="L22" s="371">
        <f ca="1">Model!P166</f>
        <v>0.29071832624087313</v>
      </c>
      <c r="M22" s="232"/>
      <c r="N22" s="387">
        <f t="shared" ca="1" si="3"/>
        <v>0.26130169719007706</v>
      </c>
      <c r="O22" s="387">
        <f t="shared" ca="1" si="4"/>
        <v>0.25247099591978855</v>
      </c>
    </row>
    <row r="23" spans="2:15" x14ac:dyDescent="0.2">
      <c r="N23" s="2"/>
    </row>
    <row r="24" spans="2:15" x14ac:dyDescent="0.2">
      <c r="B24" s="368" t="s">
        <v>418</v>
      </c>
      <c r="C24" s="369"/>
      <c r="D24" s="369"/>
      <c r="E24" s="369"/>
      <c r="F24" s="369"/>
      <c r="G24" s="369"/>
      <c r="H24" s="369"/>
      <c r="I24" s="369"/>
      <c r="J24" s="369"/>
      <c r="K24" s="369"/>
      <c r="L24" s="369"/>
      <c r="M24" s="369"/>
      <c r="N24" s="368"/>
      <c r="O24" s="369"/>
    </row>
    <row r="25" spans="2:15" x14ac:dyDescent="0.2">
      <c r="C25" t="s">
        <v>393</v>
      </c>
      <c r="F25" s="370">
        <f>Model!J135</f>
        <v>0.57886141155708726</v>
      </c>
      <c r="G25" s="370">
        <f ca="1">Model!K135</f>
        <v>0.56256347067033663</v>
      </c>
      <c r="H25" s="370">
        <f ca="1">Model!L135</f>
        <v>0.54070416077912709</v>
      </c>
      <c r="I25" s="370">
        <f ca="1">Model!M135</f>
        <v>0.52675776911162309</v>
      </c>
      <c r="J25" s="370">
        <f ca="1">Model!N135</f>
        <v>0.50254074063069232</v>
      </c>
      <c r="K25" s="370">
        <f ca="1">Model!O135</f>
        <v>0.48277585521495869</v>
      </c>
      <c r="L25" s="370">
        <f ca="1">Model!P135</f>
        <v>0.47746895977284742</v>
      </c>
      <c r="N25" s="382">
        <f t="shared" ref="N25:N27" ca="1" si="5">AVERAGE(F25:L25)</f>
        <v>0.52452462396238186</v>
      </c>
      <c r="O25" s="382">
        <f t="shared" ref="O25:O27" ca="1" si="6">MEDIAN(F25:L25)</f>
        <v>0.52675776911162309</v>
      </c>
    </row>
    <row r="26" spans="2:15" x14ac:dyDescent="0.2">
      <c r="C26" t="s">
        <v>395</v>
      </c>
      <c r="F26" s="370">
        <f>Model!J145</f>
        <v>-1.6850663623606005E-2</v>
      </c>
      <c r="G26" s="370">
        <f ca="1">Model!K145</f>
        <v>-1.0017586367558964E-2</v>
      </c>
      <c r="H26" s="370">
        <f ca="1">Model!L145</f>
        <v>-2.1707967578707184E-3</v>
      </c>
      <c r="I26" s="370">
        <f ca="1">Model!M145</f>
        <v>3.3108431013819683E-3</v>
      </c>
      <c r="J26" s="370">
        <f ca="1">Model!N145</f>
        <v>1.0951961622356326E-2</v>
      </c>
      <c r="K26" s="370">
        <f ca="1">Model!O145</f>
        <v>1.7173293034334396E-2</v>
      </c>
      <c r="L26" s="370">
        <f ca="1">Model!P145</f>
        <v>2.0168459475957388E-2</v>
      </c>
      <c r="N26" s="382">
        <f t="shared" ca="1" si="5"/>
        <v>3.2236443549991988E-3</v>
      </c>
      <c r="O26" s="382">
        <f t="shared" ca="1" si="6"/>
        <v>3.3108431013819683E-3</v>
      </c>
    </row>
    <row r="27" spans="2:15" x14ac:dyDescent="0.2">
      <c r="B27" s="232"/>
      <c r="C27" s="232" t="s">
        <v>397</v>
      </c>
      <c r="D27" s="232"/>
      <c r="E27" s="232"/>
      <c r="F27" s="371">
        <f>Model!J151</f>
        <v>8.3263358047391406E-2</v>
      </c>
      <c r="G27" s="371">
        <f ca="1">Model!K151</f>
        <v>7.9830087157900159E-2</v>
      </c>
      <c r="H27" s="371">
        <f ca="1">Model!L151</f>
        <v>7.7485783683825971E-2</v>
      </c>
      <c r="I27" s="371">
        <f ca="1">Model!M151</f>
        <v>7.5382240431698264E-2</v>
      </c>
      <c r="J27" s="371">
        <f ca="1">Model!N151</f>
        <v>7.2626697147239294E-2</v>
      </c>
      <c r="K27" s="371">
        <f ca="1">Model!O151</f>
        <v>6.9992617469694957E-2</v>
      </c>
      <c r="L27" s="371">
        <f ca="1">Model!P151</f>
        <v>6.8300147262684671E-2</v>
      </c>
      <c r="M27" s="232"/>
      <c r="N27" s="387">
        <f t="shared" ca="1" si="5"/>
        <v>7.5268704457204946E-2</v>
      </c>
      <c r="O27" s="387">
        <f t="shared" ca="1" si="6"/>
        <v>7.5382240431698264E-2</v>
      </c>
    </row>
    <row r="28" spans="2:15" x14ac:dyDescent="0.2">
      <c r="N28" s="2"/>
    </row>
    <row r="29" spans="2:15" x14ac:dyDescent="0.2">
      <c r="B29" s="372" t="s">
        <v>419</v>
      </c>
      <c r="C29" s="369"/>
      <c r="D29" s="369"/>
      <c r="E29" s="369"/>
      <c r="F29" s="369"/>
      <c r="G29" s="369"/>
      <c r="H29" s="369"/>
      <c r="I29" s="369"/>
      <c r="J29" s="369"/>
      <c r="K29" s="369"/>
      <c r="L29" s="369"/>
      <c r="M29" s="369"/>
      <c r="N29" s="368"/>
      <c r="O29" s="369"/>
    </row>
    <row r="30" spans="2:15" x14ac:dyDescent="0.2">
      <c r="C30" t="s">
        <v>420</v>
      </c>
      <c r="F30" s="370">
        <f>Model!J165/AVERAGE(Model!I237:J237)</f>
        <v>0.10812958697620796</v>
      </c>
      <c r="G30" s="370">
        <f ca="1">Model!K165/AVERAGE(Model!J237:K237)</f>
        <v>9.9995192994304788E-2</v>
      </c>
      <c r="H30" s="370">
        <f ca="1">Model!L165/AVERAGE(Model!K237:L237)</f>
        <v>0.10303905043983466</v>
      </c>
      <c r="I30" s="370">
        <f ca="1">Model!M165/AVERAGE(Model!L237:M237)</f>
        <v>9.8905920947860659E-2</v>
      </c>
      <c r="J30" s="370">
        <f ca="1">Model!N165/AVERAGE(Model!M237:N237)</f>
        <v>0.11604617055107752</v>
      </c>
      <c r="K30" s="370">
        <f ca="1">Model!O165/AVERAGE(Model!N237:O237)</f>
        <v>0.13852512146192378</v>
      </c>
      <c r="L30" s="370">
        <f ca="1">Model!P165/AVERAGE(Model!O237:P237)</f>
        <v>0.14212841792526226</v>
      </c>
      <c r="N30" s="382">
        <f t="shared" ref="N30:N33" ca="1" si="7">AVERAGE(F30:L30)</f>
        <v>0.11525278018521025</v>
      </c>
      <c r="O30" s="382">
        <f t="shared" ref="O30:O33" ca="1" si="8">MEDIAN(F30:L30)</f>
        <v>0.10812958697620796</v>
      </c>
    </row>
    <row r="31" spans="2:15" x14ac:dyDescent="0.2">
      <c r="C31" t="s">
        <v>422</v>
      </c>
      <c r="F31" s="370">
        <f>Model!J153/(Model!J255+Model!J240+Model!J245+Model!J246+Model!J247+Model!J248)</f>
        <v>0.16258304111735777</v>
      </c>
      <c r="G31" s="370">
        <f ca="1">Model!K153/(Model!K255+Model!K240+Model!K245+Model!K246+Model!K247+Model!K248)</f>
        <v>0.16105151904592413</v>
      </c>
      <c r="H31" s="370">
        <f ca="1">Model!L153/(Model!L255+Model!L240+Model!L245+Model!L246+Model!L247+Model!L248)</f>
        <v>0.16000710664450418</v>
      </c>
      <c r="I31" s="370">
        <f ca="1">Model!M153/(Model!M255+Model!M240+Model!M245+Model!M246+Model!M247+Model!M248)</f>
        <v>0.15476249700765263</v>
      </c>
      <c r="J31" s="370">
        <f ca="1">Model!N153/(Model!N255+Model!N240+Model!N245+Model!N246+Model!N247+Model!N248)</f>
        <v>0.18278396090794316</v>
      </c>
      <c r="K31" s="370">
        <f ca="1">Model!O153/(Model!O255+Model!O240+Model!O245+Model!O246+Model!O247+Model!O248)</f>
        <v>0.22099914892328609</v>
      </c>
      <c r="L31" s="370">
        <f ca="1">Model!P153/(Model!P255+Model!P240+Model!P245+Model!P246+Model!P247+Model!P248)</f>
        <v>0.22360648496456598</v>
      </c>
      <c r="N31" s="382">
        <f t="shared" ca="1" si="7"/>
        <v>0.18082767980160486</v>
      </c>
      <c r="O31" s="382">
        <f t="shared" ca="1" si="8"/>
        <v>0.16258304111735777</v>
      </c>
    </row>
    <row r="32" spans="2:15" x14ac:dyDescent="0.2">
      <c r="C32" t="s">
        <v>528</v>
      </c>
      <c r="F32" s="370">
        <f>Model!J153*(1-Assumptions!$H$45)/(Model!J235+Model!J251)</f>
        <v>9.1024747961474597E-2</v>
      </c>
      <c r="G32" s="370">
        <f ca="1">Model!K153*(1-Assumptions!$H$45)/(Model!K235+Model!K251)</f>
        <v>8.802970374303952E-2</v>
      </c>
      <c r="H32" s="370">
        <f ca="1">Model!L153*(1-Assumptions!$H$45)/(Model!L235+Model!L251)</f>
        <v>8.6218651567706736E-2</v>
      </c>
      <c r="I32" s="370">
        <f ca="1">Model!M153*(1-Assumptions!$H$45)/(Model!M235+Model!M251)</f>
        <v>8.2669914317464802E-2</v>
      </c>
      <c r="J32" s="370">
        <f ca="1">Model!N153*(1-Assumptions!$H$45)/(Model!N235+Model!N251)</f>
        <v>0.10188156739554363</v>
      </c>
      <c r="K32" s="370">
        <f ca="1">Model!O153*(1-Assumptions!$H$45)/(Model!O235+Model!O251)</f>
        <v>0.13899602524541327</v>
      </c>
      <c r="L32" s="370">
        <f ca="1">Model!P153*(1-Assumptions!$H$45)/(Model!P235+Model!P251)</f>
        <v>0.1662471880298243</v>
      </c>
      <c r="N32" s="382">
        <f t="shared" ref="N32" ca="1" si="9">AVERAGE(F32:L32)</f>
        <v>0.10786682832292384</v>
      </c>
      <c r="O32" s="382">
        <f t="shared" ref="O32" ca="1" si="10">MEDIAN(F32:L32)</f>
        <v>9.1024747961474597E-2</v>
      </c>
    </row>
    <row r="33" spans="2:15" x14ac:dyDescent="0.2">
      <c r="B33" s="232"/>
      <c r="C33" s="232" t="s">
        <v>421</v>
      </c>
      <c r="D33" s="232"/>
      <c r="E33" s="232"/>
      <c r="F33" s="371">
        <f>Model!J168/AVERAGE(Model!I255:J255)</f>
        <v>0.22111195513873758</v>
      </c>
      <c r="G33" s="371">
        <f ca="1">Model!K168/AVERAGE(Model!J255:K255)</f>
        <v>0.20717996071548681</v>
      </c>
      <c r="H33" s="371">
        <f ca="1">Model!L168/AVERAGE(Model!K255:L255)</f>
        <v>0.21380509864559491</v>
      </c>
      <c r="I33" s="371">
        <f ca="1">Model!M168/AVERAGE(Model!L255:M255)</f>
        <v>0.20756223968620113</v>
      </c>
      <c r="J33" s="371">
        <f ca="1">Model!N168/AVERAGE(Model!M255:N255)</f>
        <v>0.23363847430812931</v>
      </c>
      <c r="K33" s="371">
        <f ca="1">Model!O168/AVERAGE(Model!N255:O255)</f>
        <v>0.25244839692874588</v>
      </c>
      <c r="L33" s="371">
        <f ca="1">Model!P168/AVERAGE(Model!O255:P255)</f>
        <v>0.23400203848330378</v>
      </c>
      <c r="M33" s="232"/>
      <c r="N33" s="387">
        <f t="shared" ca="1" si="7"/>
        <v>0.2242497377008856</v>
      </c>
      <c r="O33" s="387">
        <f t="shared" ca="1" si="8"/>
        <v>0.22111195513873758</v>
      </c>
    </row>
    <row r="34" spans="2:15" x14ac:dyDescent="0.2">
      <c r="M34" s="369"/>
      <c r="N34" s="368"/>
      <c r="O34" s="369"/>
    </row>
    <row r="35" spans="2:15" x14ac:dyDescent="0.2">
      <c r="B35" s="368" t="s">
        <v>423</v>
      </c>
      <c r="C35" s="369"/>
      <c r="D35" s="369"/>
      <c r="E35" s="369"/>
      <c r="F35" s="369"/>
      <c r="G35" s="369"/>
      <c r="H35" s="369"/>
      <c r="I35" s="369"/>
      <c r="J35" s="369"/>
      <c r="K35" s="369"/>
      <c r="L35" s="369"/>
      <c r="M35" s="369"/>
      <c r="N35" s="368"/>
      <c r="O35" s="369"/>
    </row>
    <row r="36" spans="2:15" x14ac:dyDescent="0.2">
      <c r="C36" t="s">
        <v>424</v>
      </c>
      <c r="F36" s="373">
        <f>Model!J129/AVERAGE(Model!I237:J237)</f>
        <v>0.43743834807152865</v>
      </c>
      <c r="G36" s="373">
        <f ca="1">Model!K129/AVERAGE(Model!J237:K237)</f>
        <v>0.42368146364319215</v>
      </c>
      <c r="H36" s="373">
        <f ca="1">Model!L129/AVERAGE(Model!K237:L237)</f>
        <v>0.41722773664583085</v>
      </c>
      <c r="I36" s="373">
        <f ca="1">Model!M129/AVERAGE(Model!L237:M237)</f>
        <v>0.39175161720074819</v>
      </c>
      <c r="J36" s="373">
        <f ca="1">Model!N129/AVERAGE(Model!M237:N237)</f>
        <v>0.42762402290959434</v>
      </c>
      <c r="K36" s="373">
        <f ca="1">Model!O129/AVERAGE(Model!N237:O237)</f>
        <v>0.48710609346718209</v>
      </c>
      <c r="L36" s="373">
        <f ca="1">Model!P129/AVERAGE(Model!O237:P237)</f>
        <v>0.48888702601948292</v>
      </c>
      <c r="N36" s="383">
        <f t="shared" ref="N36:N40" ca="1" si="11">AVERAGE(F36:L36)</f>
        <v>0.43910232970822277</v>
      </c>
      <c r="O36" s="383">
        <f t="shared" ref="O36:O40" ca="1" si="12">MEDIAN(F36:L36)</f>
        <v>0.42762402290959434</v>
      </c>
    </row>
    <row r="37" spans="2:15" x14ac:dyDescent="0.2">
      <c r="C37" t="s">
        <v>425</v>
      </c>
      <c r="F37" s="373">
        <f>Model!J129/AVERAGE(Model!I235:J235)</f>
        <v>0.59352916783624099</v>
      </c>
      <c r="G37" s="373">
        <f ca="1">Model!K129/AVERAGE(Model!J235:K235)</f>
        <v>0.56046001535411072</v>
      </c>
      <c r="H37" s="373">
        <f ca="1">Model!L129/AVERAGE(Model!K235:L235)</f>
        <v>0.53787208373430484</v>
      </c>
      <c r="I37" s="373">
        <f ca="1">Model!M129/AVERAGE(Model!L235:M235)</f>
        <v>0.49553467971261261</v>
      </c>
      <c r="J37" s="373">
        <f ca="1">Model!N129/AVERAGE(Model!M235:N235)</f>
        <v>0.54295383295667321</v>
      </c>
      <c r="K37" s="373">
        <f ca="1">Model!O129/AVERAGE(Model!N235:O235)</f>
        <v>0.66117965226806341</v>
      </c>
      <c r="L37" s="373">
        <f ca="1">Model!P129/AVERAGE(Model!O235:P235)</f>
        <v>0.76437715705406084</v>
      </c>
      <c r="N37" s="383">
        <f t="shared" ca="1" si="11"/>
        <v>0.59370094127372375</v>
      </c>
      <c r="O37" s="383">
        <f t="shared" ca="1" si="12"/>
        <v>0.56046001535411072</v>
      </c>
    </row>
    <row r="38" spans="2:15" x14ac:dyDescent="0.2">
      <c r="C38" t="s">
        <v>426</v>
      </c>
      <c r="F38" s="373">
        <f>(Model!J135*Model!J129)/AVERAGE(Model!I223:J223)</f>
        <v>9.1440735596678184</v>
      </c>
      <c r="G38" s="373">
        <f ca="1">(Model!K135*Model!K129)/AVERAGE(Model!J223:K223)</f>
        <v>9.3296867523240739</v>
      </c>
      <c r="H38" s="373">
        <f ca="1">(Model!L135*Model!L129)/AVERAGE(Model!K223:L223)</f>
        <v>9.4591483430971888</v>
      </c>
      <c r="I38" s="373">
        <f ca="1">(Model!M135*Model!M129)/AVERAGE(Model!L223:M223)</f>
        <v>9.3637936740674466</v>
      </c>
      <c r="J38" s="373">
        <f ca="1">(Model!N135*Model!N129)/AVERAGE(Model!M223:N223)</f>
        <v>9.7631862196803212</v>
      </c>
      <c r="K38" s="373">
        <f ca="1">(Model!O135*Model!O129)/AVERAGE(Model!N223:O223)</f>
        <v>9.8353974214118729</v>
      </c>
      <c r="L38" s="373">
        <f ca="1">(Model!P135*Model!P129)/AVERAGE(Model!O223:P223)</f>
        <v>9.4037428979288809</v>
      </c>
      <c r="N38" s="383">
        <f t="shared" ca="1" si="11"/>
        <v>9.4712898383110851</v>
      </c>
      <c r="O38" s="383">
        <f t="shared" ca="1" si="12"/>
        <v>9.4037428979288809</v>
      </c>
    </row>
    <row r="39" spans="2:15" x14ac:dyDescent="0.2">
      <c r="C39" t="s">
        <v>434</v>
      </c>
      <c r="F39" s="373">
        <f>Model!J129/AVERAGE(Model!I224:J224)</f>
        <v>4.4185051077617468</v>
      </c>
      <c r="G39" s="373">
        <f ca="1">Model!K129/AVERAGE(Model!J224:K224)</f>
        <v>5.01766698491324</v>
      </c>
      <c r="H39" s="373">
        <f ca="1">Model!L129/AVERAGE(Model!K224:L224)</f>
        <v>5.1071652926783164</v>
      </c>
      <c r="I39" s="373">
        <f ca="1">Model!M129/AVERAGE(Model!L224:M224)</f>
        <v>5.0187727655913417</v>
      </c>
      <c r="J39" s="373">
        <f ca="1">Model!N129/AVERAGE(Model!M224:N224)</f>
        <v>5.2707345980098523</v>
      </c>
      <c r="K39" s="373">
        <f ca="1">Model!O129/AVERAGE(Model!N224:O224)</f>
        <v>5.2865112120179667</v>
      </c>
      <c r="L39" s="373">
        <f ca="1">Model!P129/AVERAGE(Model!O224:P224)</f>
        <v>4.9863205844751137</v>
      </c>
      <c r="N39" s="383">
        <f t="shared" ca="1" si="11"/>
        <v>5.0150966493496538</v>
      </c>
      <c r="O39" s="383">
        <f t="shared" ca="1" si="12"/>
        <v>5.0187727655913417</v>
      </c>
    </row>
    <row r="40" spans="2:15" x14ac:dyDescent="0.2">
      <c r="B40" s="232"/>
      <c r="C40" s="232" t="s">
        <v>433</v>
      </c>
      <c r="D40" s="232"/>
      <c r="E40" s="232"/>
      <c r="F40" s="374">
        <f>Model!J241/AVERAGE(Model!I129:J129)</f>
        <v>5.1178362027705711E-2</v>
      </c>
      <c r="G40" s="374">
        <f ca="1">Model!K241/AVERAGE(Model!J129:K129)</f>
        <v>5.433977221310244E-2</v>
      </c>
      <c r="H40" s="374">
        <f ca="1">Model!L241/AVERAGE(Model!K129:L129)</f>
        <v>5.3086677752247409E-2</v>
      </c>
      <c r="I40" s="374">
        <f ca="1">Model!M241/AVERAGE(Model!L129:M129)</f>
        <v>5.0751227520788339E-2</v>
      </c>
      <c r="J40" s="374">
        <f ca="1">Model!N241/AVERAGE(Model!M129:N129)</f>
        <v>5.0786854606007369E-2</v>
      </c>
      <c r="K40" s="374">
        <f ca="1">Model!O241/AVERAGE(Model!N129:O129)</f>
        <v>4.8875067213510676E-2</v>
      </c>
      <c r="L40" s="374">
        <f ca="1">Model!P241/AVERAGE(Model!O129:P129)</f>
        <v>4.5535976144640965E-2</v>
      </c>
      <c r="M40" s="232"/>
      <c r="N40" s="389">
        <f t="shared" ca="1" si="11"/>
        <v>5.0650562496857551E-2</v>
      </c>
      <c r="O40" s="389">
        <f t="shared" ca="1" si="12"/>
        <v>5.0786854606007369E-2</v>
      </c>
    </row>
    <row r="41" spans="2:15" x14ac:dyDescent="0.2">
      <c r="N41" s="2"/>
    </row>
    <row r="42" spans="2:15" x14ac:dyDescent="0.2">
      <c r="B42" s="368" t="s">
        <v>427</v>
      </c>
      <c r="C42" s="369"/>
      <c r="D42" s="369"/>
      <c r="E42" s="369"/>
      <c r="F42" s="369"/>
      <c r="G42" s="369"/>
      <c r="H42" s="369"/>
      <c r="I42" s="369"/>
      <c r="J42" s="369"/>
      <c r="K42" s="369"/>
      <c r="L42" s="369"/>
      <c r="M42" s="369"/>
      <c r="N42" s="368"/>
      <c r="O42" s="369"/>
    </row>
    <row r="43" spans="2:15" x14ac:dyDescent="0.2">
      <c r="C43" t="s">
        <v>428</v>
      </c>
      <c r="F43" s="365">
        <f>(Model!J240+Model!J245+Model!J247)/Model!J255</f>
        <v>0.84190986693539938</v>
      </c>
      <c r="G43" s="365">
        <f ca="1">(Model!K240+Model!K245+Model!K247)/Model!K255</f>
        <v>0.83494733586777303</v>
      </c>
      <c r="H43" s="365">
        <f ca="1">(Model!L240+Model!L245+Model!L247)/Model!L255</f>
        <v>0.89685656410919268</v>
      </c>
      <c r="I43" s="365">
        <f ca="1">(Model!M240+Model!M245+Model!M247)/Model!M255</f>
        <v>0.91899337896300726</v>
      </c>
      <c r="J43" s="365">
        <f ca="1">(Model!N240+Model!N245+Model!N247)/Model!N255</f>
        <v>0.76406240556740634</v>
      </c>
      <c r="K43" s="365">
        <f ca="1">(Model!O240+Model!O245+Model!O247)/Model!O255</f>
        <v>0.55011405204647035</v>
      </c>
      <c r="L43" s="365">
        <f ca="1">(Model!P240+Model!P245+Model!P247)/Model!P255</f>
        <v>0.41366227769816416</v>
      </c>
      <c r="N43" s="384">
        <f ca="1">AVERAGE(F43:L43)</f>
        <v>0.74579226874105908</v>
      </c>
      <c r="O43" s="384">
        <f t="shared" ref="O43:O47" ca="1" si="13">MEDIAN(F43:L43)</f>
        <v>0.83494733586777303</v>
      </c>
    </row>
    <row r="44" spans="2:15" x14ac:dyDescent="0.2">
      <c r="C44" t="s">
        <v>429</v>
      </c>
      <c r="F44" s="365">
        <f>(Model!J240+Model!J245+Model!J247)/(Model!J243+Model!J245+Model!J255)</f>
        <v>0.4501527708384726</v>
      </c>
      <c r="G44" s="365">
        <f ca="1">(Model!K240+Model!K245+Model!K247)/(Model!K243+Model!K245+Model!K255)</f>
        <v>0.44812674018038723</v>
      </c>
      <c r="H44" s="365">
        <f ca="1">(Model!L240+Model!L245+Model!L247)/(Model!L243+Model!L245+Model!L255)</f>
        <v>0.46578022283031562</v>
      </c>
      <c r="I44" s="365">
        <f ca="1">(Model!M240+Model!M245+Model!M247)/(Model!M243+Model!M245+Model!M255)</f>
        <v>0.47203995163339085</v>
      </c>
      <c r="J44" s="365">
        <f ca="1">(Model!N240+Model!N245+Model!N247)/(Model!N243+Model!N245+Model!N255)</f>
        <v>0.42604042476487741</v>
      </c>
      <c r="K44" s="365">
        <f ca="1">(Model!O240+Model!O245+Model!O247)/(Model!O243+Model!O245+Model!O255)</f>
        <v>0.34807424549138899</v>
      </c>
      <c r="L44" s="365">
        <f ca="1">(Model!P240+Model!P245+Model!P247)/(Model!P243+Model!P245+Model!P255)</f>
        <v>0.28692536588746476</v>
      </c>
      <c r="N44" s="384">
        <f t="shared" ref="N44:N47" ca="1" si="14">AVERAGE(F44:L44)</f>
        <v>0.41387710308947107</v>
      </c>
      <c r="O44" s="384">
        <f t="shared" ca="1" si="13"/>
        <v>0.44812674018038723</v>
      </c>
    </row>
    <row r="45" spans="2:15" x14ac:dyDescent="0.2">
      <c r="C45" t="s">
        <v>430</v>
      </c>
      <c r="F45" s="365">
        <f>(Model!J243+Model!J251)/Model!J237</f>
        <v>0.51786824987727498</v>
      </c>
      <c r="G45" s="365">
        <f ca="1">(Model!K243+Model!K251)/Model!K237</f>
        <v>0.51399038754327697</v>
      </c>
      <c r="H45" s="365">
        <f ca="1">(Model!L243+Model!L251)/Model!L237</f>
        <v>0.51902518045113355</v>
      </c>
      <c r="I45" s="365">
        <f ca="1">(Model!M243+Model!M251)/Model!M237</f>
        <v>0.51697743165237464</v>
      </c>
      <c r="J45" s="365">
        <f ca="1">(Model!N243+Model!N251)/Model!N237</f>
        <v>0.47152306349152878</v>
      </c>
      <c r="K45" s="365">
        <f ca="1">(Model!O243+Model!O251)/Model!O237</f>
        <v>0.40003897909460839</v>
      </c>
      <c r="L45" s="365">
        <f ca="1">(Model!P243+Model!P251)/Model!P237</f>
        <v>0.3426742301656735</v>
      </c>
      <c r="N45" s="384">
        <f t="shared" ca="1" si="14"/>
        <v>0.46887107461083871</v>
      </c>
      <c r="O45" s="384">
        <f t="shared" ca="1" si="13"/>
        <v>0.51399038754327697</v>
      </c>
    </row>
    <row r="46" spans="2:15" x14ac:dyDescent="0.2">
      <c r="C46" t="s">
        <v>432</v>
      </c>
      <c r="F46" s="373">
        <f>Model!J153/Model!J156</f>
        <v>5.7758226200907075</v>
      </c>
      <c r="G46" s="373">
        <f ca="1">Model!K153/Model!K156</f>
        <v>7.0384472587588265</v>
      </c>
      <c r="H46" s="373">
        <f ca="1">Model!L153/Model!L156</f>
        <v>7.1160218168253397</v>
      </c>
      <c r="I46" s="373">
        <f ca="1">Model!M153/Model!M156</f>
        <v>6.901885686717435</v>
      </c>
      <c r="J46" s="373">
        <f ca="1">Model!N153/Model!N156</f>
        <v>8.0779455036601391</v>
      </c>
      <c r="K46" s="373">
        <f ca="1">Model!O153/Model!O156</f>
        <v>8.5962718263632905</v>
      </c>
      <c r="L46" s="373">
        <f ca="1">Model!P153/Model!P156</f>
        <v>9.5256456295692331</v>
      </c>
      <c r="N46" s="383">
        <f t="shared" ca="1" si="14"/>
        <v>7.5760057631407109</v>
      </c>
      <c r="O46" s="383">
        <f t="shared" ca="1" si="13"/>
        <v>7.1160218168253397</v>
      </c>
    </row>
    <row r="47" spans="2:15" x14ac:dyDescent="0.2">
      <c r="B47" s="232"/>
      <c r="C47" s="232" t="s">
        <v>431</v>
      </c>
      <c r="D47" s="232"/>
      <c r="E47" s="232"/>
      <c r="F47" s="374">
        <f>(Model!J240+Model!J245+Model!J247)/Model!J147</f>
        <v>2.276939130598675</v>
      </c>
      <c r="G47" s="374">
        <f ca="1">(Model!K240+Model!K245+Model!K247)/Model!K147</f>
        <v>2.3212720190863037</v>
      </c>
      <c r="H47" s="374">
        <f ca="1">(Model!L240+Model!L245+Model!L247)/Model!L147</f>
        <v>2.4587733000788914</v>
      </c>
      <c r="I47" s="374">
        <f ca="1">(Model!M240+Model!M245+Model!M247)/Model!M147</f>
        <v>2.598004108964548</v>
      </c>
      <c r="J47" s="374">
        <f ca="1">(Model!N240+Model!N245+Model!N247)/Model!N147</f>
        <v>2.0158699639870852</v>
      </c>
      <c r="K47" s="374">
        <f ca="1">(Model!O240+Model!O245+Model!O247)/Model!O147</f>
        <v>1.381056926423001</v>
      </c>
      <c r="L47" s="374">
        <f ca="1">(Model!P240+Model!P245+Model!P247)/Model!P147</f>
        <v>1.1307088018527618</v>
      </c>
      <c r="M47" s="232"/>
      <c r="N47" s="389">
        <f t="shared" ca="1" si="14"/>
        <v>2.026089178713038</v>
      </c>
      <c r="O47" s="389">
        <f t="shared" ca="1" si="13"/>
        <v>2.276939130598675</v>
      </c>
    </row>
    <row r="48" spans="2:15" x14ac:dyDescent="0.2">
      <c r="N48" s="2"/>
    </row>
    <row r="49" spans="2:15" x14ac:dyDescent="0.2">
      <c r="B49" s="368" t="s">
        <v>308</v>
      </c>
      <c r="C49" s="369"/>
      <c r="D49" s="369"/>
      <c r="E49" s="369"/>
      <c r="F49" s="369"/>
      <c r="G49" s="369"/>
      <c r="H49" s="369"/>
      <c r="I49" s="369"/>
      <c r="J49" s="369"/>
      <c r="K49" s="369"/>
      <c r="L49" s="369"/>
      <c r="M49" s="369"/>
      <c r="N49" s="368"/>
      <c r="O49" s="369"/>
    </row>
    <row r="50" spans="2:15" x14ac:dyDescent="0.2">
      <c r="C50" t="s">
        <v>33</v>
      </c>
      <c r="F50" s="375">
        <f>365/F38</f>
        <v>39.916564277208153</v>
      </c>
      <c r="G50" s="375">
        <f t="shared" ref="G50:L50" ca="1" si="15">365/G38</f>
        <v>39.122428189679205</v>
      </c>
      <c r="H50" s="375">
        <f t="shared" ca="1" si="15"/>
        <v>38.58698339014407</v>
      </c>
      <c r="I50" s="375">
        <f t="shared" ca="1" si="15"/>
        <v>38.979927655908206</v>
      </c>
      <c r="J50" s="375">
        <f t="shared" ca="1" si="15"/>
        <v>37.385336281330432</v>
      </c>
      <c r="K50" s="375">
        <f t="shared" ca="1" si="15"/>
        <v>37.110854229986387</v>
      </c>
      <c r="L50" s="375">
        <f t="shared" ca="1" si="15"/>
        <v>38.814332118798049</v>
      </c>
      <c r="N50" s="385">
        <f t="shared" ref="N50:N53" ca="1" si="16">AVERAGE(F50:L50)</f>
        <v>38.559489449007785</v>
      </c>
      <c r="O50" s="385">
        <f t="shared" ref="O50:O53" ca="1" si="17">MEDIAN(F50:L50)</f>
        <v>38.814332118798049</v>
      </c>
    </row>
    <row r="51" spans="2:15" x14ac:dyDescent="0.2">
      <c r="C51" t="s">
        <v>309</v>
      </c>
      <c r="F51" s="375">
        <f t="shared" ref="F51:L51" si="18">365/F39</f>
        <v>82.607124151293704</v>
      </c>
      <c r="G51" s="375">
        <f t="shared" ca="1" si="18"/>
        <v>72.74297020855623</v>
      </c>
      <c r="H51" s="375">
        <f t="shared" ca="1" si="18"/>
        <v>71.468217510654625</v>
      </c>
      <c r="I51" s="375">
        <f t="shared" ca="1" si="18"/>
        <v>72.726942830015446</v>
      </c>
      <c r="J51" s="375">
        <f t="shared" ca="1" si="18"/>
        <v>69.250309081739445</v>
      </c>
      <c r="K51" s="375">
        <f t="shared" ca="1" si="18"/>
        <v>69.043644354756267</v>
      </c>
      <c r="L51" s="375">
        <f t="shared" ca="1" si="18"/>
        <v>73.200267374790513</v>
      </c>
      <c r="N51" s="385">
        <f t="shared" ca="1" si="16"/>
        <v>73.00563935882947</v>
      </c>
      <c r="O51" s="385">
        <f t="shared" ca="1" si="17"/>
        <v>72.726942830015446</v>
      </c>
    </row>
    <row r="52" spans="2:15" x14ac:dyDescent="0.2">
      <c r="C52" t="s">
        <v>311</v>
      </c>
      <c r="F52" s="375">
        <f t="shared" ref="F52:L52" si="19">365/F40</f>
        <v>7131.9203182470956</v>
      </c>
      <c r="G52" s="375">
        <f t="shared" ca="1" si="19"/>
        <v>6716.9954001388132</v>
      </c>
      <c r="H52" s="375">
        <f t="shared" ca="1" si="19"/>
        <v>6875.5479802943182</v>
      </c>
      <c r="I52" s="375">
        <f t="shared" ca="1" si="19"/>
        <v>7191.9442707172238</v>
      </c>
      <c r="J52" s="375">
        <f t="shared" ca="1" si="19"/>
        <v>7186.8991066996623</v>
      </c>
      <c r="K52" s="375">
        <f t="shared" ca="1" si="19"/>
        <v>7468.0204204220918</v>
      </c>
      <c r="L52" s="375">
        <f t="shared" ca="1" si="19"/>
        <v>8015.6401795496831</v>
      </c>
      <c r="N52" s="385">
        <f t="shared" ca="1" si="16"/>
        <v>7226.7096680098421</v>
      </c>
      <c r="O52" s="385">
        <f t="shared" ca="1" si="17"/>
        <v>7186.8991066996623</v>
      </c>
    </row>
    <row r="53" spans="2:15" x14ac:dyDescent="0.2">
      <c r="B53" s="232"/>
      <c r="C53" s="232" t="s">
        <v>435</v>
      </c>
      <c r="D53" s="232"/>
      <c r="E53" s="232"/>
      <c r="F53" s="376">
        <f>F50+F51-F52</f>
        <v>-7009.3966298185933</v>
      </c>
      <c r="G53" s="376">
        <f t="shared" ref="G53:L53" ca="1" si="20">G50+G51-G52</f>
        <v>-6605.1300017405774</v>
      </c>
      <c r="H53" s="376">
        <f t="shared" ca="1" si="20"/>
        <v>-6765.4927793935194</v>
      </c>
      <c r="I53" s="376">
        <f t="shared" ca="1" si="20"/>
        <v>-7080.2374002312999</v>
      </c>
      <c r="J53" s="376">
        <f t="shared" ca="1" si="20"/>
        <v>-7080.2634613365926</v>
      </c>
      <c r="K53" s="376">
        <f t="shared" ca="1" si="20"/>
        <v>-7361.8659218373496</v>
      </c>
      <c r="L53" s="376">
        <f t="shared" ca="1" si="20"/>
        <v>-7903.6255800560948</v>
      </c>
      <c r="M53" s="232"/>
      <c r="N53" s="388">
        <f t="shared" ca="1" si="16"/>
        <v>-7115.1445392020041</v>
      </c>
      <c r="O53" s="388">
        <f t="shared" ca="1" si="17"/>
        <v>-7080.2374002312999</v>
      </c>
    </row>
    <row r="54" spans="2:15" x14ac:dyDescent="0.2">
      <c r="N54" s="2"/>
    </row>
    <row r="55" spans="2:15" x14ac:dyDescent="0.2">
      <c r="B55" s="369"/>
      <c r="C55" s="369" t="s">
        <v>436</v>
      </c>
      <c r="D55" s="369"/>
      <c r="E55" s="369"/>
      <c r="F55" s="377">
        <f>Model!J190/Model!J129</f>
        <v>0.3949086288636251</v>
      </c>
      <c r="G55" s="377">
        <f ca="1">Model!K190/Model!K129</f>
        <v>0.30119705709338268</v>
      </c>
      <c r="H55" s="377">
        <f ca="1">Model!L190/Model!L129</f>
        <v>0.32166784314505925</v>
      </c>
      <c r="I55" s="377">
        <f ca="1">Model!M190/Model!M129</f>
        <v>0.34184061263131688</v>
      </c>
      <c r="J55" s="377">
        <f ca="1">Model!N190/Model!N129</f>
        <v>0.3221553747243201</v>
      </c>
      <c r="K55" s="377">
        <f ca="1">Model!O190/Model!O129</f>
        <v>0.33139679186201199</v>
      </c>
      <c r="L55" s="377">
        <f ca="1">Model!P190/Model!P129</f>
        <v>0.37315332202412416</v>
      </c>
      <c r="M55" s="369"/>
      <c r="N55" s="386">
        <f t="shared" ref="N55:N57" ca="1" si="21">AVERAGE(F55:L55)</f>
        <v>0.34090280433483439</v>
      </c>
      <c r="O55" s="386">
        <f t="shared" ref="O55:O57" ca="1" si="22">MEDIAN(F55:L55)</f>
        <v>0.33139679186201199</v>
      </c>
    </row>
    <row r="56" spans="2:15" x14ac:dyDescent="0.2">
      <c r="C56" t="s">
        <v>437</v>
      </c>
      <c r="F56" s="370">
        <f>Model!J190/AVERAGE(Model!I237:J237)</f>
        <v>0.17274817824929656</v>
      </c>
      <c r="G56" s="370">
        <f ca="1">Model!K190/AVERAGE(Model!J237:K237)</f>
        <v>0.12761160999434648</v>
      </c>
      <c r="H56" s="370">
        <f ca="1">Model!L190/AVERAGE(Model!K237:L237)</f>
        <v>0.13420874614715919</v>
      </c>
      <c r="I56" s="370">
        <f ca="1">Model!M190/AVERAGE(Model!L237:M237)</f>
        <v>0.1339166128232129</v>
      </c>
      <c r="J56" s="370">
        <f ca="1">Model!N190/AVERAGE(Model!M237:N237)</f>
        <v>0.1377613773415616</v>
      </c>
      <c r="K56" s="370">
        <f ca="1">Model!O190/AVERAGE(Model!N237:O237)</f>
        <v>0.1614253966714615</v>
      </c>
      <c r="L56" s="370">
        <f ca="1">Model!P190/AVERAGE(Model!O237:P237)</f>
        <v>0.18242981785366449</v>
      </c>
      <c r="N56" s="382">
        <f t="shared" ca="1" si="21"/>
        <v>0.15001453415438609</v>
      </c>
      <c r="O56" s="382">
        <f t="shared" ca="1" si="22"/>
        <v>0.1377613773415616</v>
      </c>
    </row>
    <row r="57" spans="2:15" x14ac:dyDescent="0.2">
      <c r="B57" s="232"/>
      <c r="C57" s="232" t="s">
        <v>438</v>
      </c>
      <c r="D57" s="232"/>
      <c r="E57" s="232"/>
      <c r="F57" s="371">
        <f>Model!J190/(Model!J240+Model!J245+Model!J247)</f>
        <v>0.39598774821837479</v>
      </c>
      <c r="G57" s="371">
        <f ca="1">Model!K190/(Model!K240+Model!K245+Model!K247)</f>
        <v>0.28998543194214332</v>
      </c>
      <c r="H57" s="371">
        <f ca="1">Model!L190/(Model!L240+Model!L245+Model!L247)</f>
        <v>0.28349725070512083</v>
      </c>
      <c r="I57" s="371">
        <f ca="1">Model!M190/(Model!M240+Model!M245+Model!M247)</f>
        <v>0.27999441653502133</v>
      </c>
      <c r="J57" s="371">
        <f ca="1">Model!N190/(Model!N240+Model!N245+Model!N247)</f>
        <v>0.32848346118440463</v>
      </c>
      <c r="K57" s="371">
        <f ca="1">Model!O190/(Model!O240+Model!O245+Model!O247)</f>
        <v>0.47986883775117872</v>
      </c>
      <c r="L57" s="371">
        <f ca="1">Model!P190/(Model!P240+Model!P245+Model!P247)</f>
        <v>0.6569302440596243</v>
      </c>
      <c r="M57" s="232"/>
      <c r="N57" s="387">
        <f t="shared" ca="1" si="21"/>
        <v>0.38782105577083836</v>
      </c>
      <c r="O57" s="387">
        <f t="shared" ca="1" si="22"/>
        <v>0.32848346118440463</v>
      </c>
    </row>
  </sheetData>
  <printOptions horizontalCentered="1" verticalCentered="1"/>
  <pageMargins left="0.25" right="0.25" top="0.25" bottom="0.25" header="0" footer="0"/>
  <pageSetup paperSize="9" scale="70" orientation="landscape" horizontalDpi="0" verticalDpi="0"/>
  <extLst>
    <ext xmlns:x14="http://schemas.microsoft.com/office/spreadsheetml/2009/9/main" uri="{05C60535-1F16-4fd2-B633-F4F36F0B64E0}">
      <x14:sparklineGroups xmlns:xm="http://schemas.microsoft.com/office/excel/2006/main">
        <x14:sparklineGroup displayEmptyCellsAs="gap" markers="1" high="1" low="1" xr2:uid="{DE8ECED9-7E7D-E548-BD35-E78A92FAE0BC}">
          <x14:colorSeries rgb="FF002060"/>
          <x14:colorNegative rgb="FFD00000"/>
          <x14:colorAxis rgb="FF000000"/>
          <x14:colorMarkers theme="1"/>
          <x14:colorFirst rgb="FFD00000"/>
          <x14:colorLast rgb="FFD00000"/>
          <x14:colorHigh rgb="FFFF0000"/>
          <x14:colorLow rgb="FF00B050"/>
          <x14:sparklines>
            <x14:sparkline>
              <xm:f>'Ratio Analysis'!F43:L43</xm:f>
              <xm:sqref>M43</xm:sqref>
            </x14:sparkline>
            <x14:sparkline>
              <xm:f>'Ratio Analysis'!F44:L44</xm:f>
              <xm:sqref>M44</xm:sqref>
            </x14:sparkline>
            <x14:sparkline>
              <xm:f>'Ratio Analysis'!F45:L45</xm:f>
              <xm:sqref>M45</xm:sqref>
            </x14:sparkline>
          </x14:sparklines>
        </x14:sparklineGroup>
        <x14:sparklineGroup displayEmptyCellsAs="gap" markers="1" high="1" low="1" xr2:uid="{A07D4F54-7F7D-B146-8EFD-FAE70D2FD04B}">
          <x14:colorSeries rgb="FF002060"/>
          <x14:colorNegative rgb="FFD00000"/>
          <x14:colorAxis rgb="FF000000"/>
          <x14:colorMarkers theme="1"/>
          <x14:colorFirst rgb="FFD00000"/>
          <x14:colorLast rgb="FFD00000"/>
          <x14:colorHigh rgb="FF00B050"/>
          <x14:colorLow rgb="FFFF0000"/>
          <x14:sparklines>
            <x14:sparkline>
              <xm:f>'Ratio Analysis'!F46:L46</xm:f>
              <xm:sqref>M46</xm:sqref>
            </x14:sparkline>
            <x14:sparkline>
              <xm:f>'Ratio Analysis'!F47:L47</xm:f>
              <xm:sqref>M47</xm:sqref>
            </x14:sparkline>
          </x14:sparklines>
        </x14:sparklineGroup>
        <x14:sparklineGroup displayEmptyCellsAs="gap" markers="1" high="1" low="1" xr2:uid="{61344E43-806E-A24E-8ACD-77BB0C9EE8F1}">
          <x14:colorSeries rgb="FF002060"/>
          <x14:colorNegative rgb="FFD00000"/>
          <x14:colorAxis rgb="FF000000"/>
          <x14:colorMarkers theme="1"/>
          <x14:colorFirst rgb="FFD00000"/>
          <x14:colorLast rgb="FFD00000"/>
          <x14:colorHigh rgb="FF00B050"/>
          <x14:colorLow rgb="FFFF0000"/>
          <x14:sparklines>
            <x14:sparkline>
              <xm:f>'Ratio Analysis'!F55:L55</xm:f>
              <xm:sqref>M55</xm:sqref>
            </x14:sparkline>
            <x14:sparkline>
              <xm:f>'Ratio Analysis'!F56:L56</xm:f>
              <xm:sqref>M56</xm:sqref>
            </x14:sparkline>
            <x14:sparkline>
              <xm:f>'Ratio Analysis'!F57:L57</xm:f>
              <xm:sqref>M57</xm:sqref>
            </x14:sparkline>
          </x14:sparklines>
        </x14:sparklineGroup>
        <x14:sparklineGroup displayEmptyCellsAs="gap" markers="1" high="1" low="1" xr2:uid="{3B97F898-D768-D849-B924-211B98FAF964}">
          <x14:colorSeries rgb="FF002060"/>
          <x14:colorNegative rgb="FFD00000"/>
          <x14:colorAxis rgb="FF000000"/>
          <x14:colorMarkers theme="1"/>
          <x14:colorFirst rgb="FFD00000"/>
          <x14:colorLast rgb="FFD00000"/>
          <x14:colorHigh rgb="FFFF0000"/>
          <x14:colorLow rgb="FF00B050"/>
          <x14:sparklines>
            <x14:sparkline>
              <xm:f>'Ratio Analysis'!F50:L50</xm:f>
              <xm:sqref>M50</xm:sqref>
            </x14:sparkline>
            <x14:sparkline>
              <xm:f>'Ratio Analysis'!F51:L51</xm:f>
              <xm:sqref>M51</xm:sqref>
            </x14:sparkline>
            <x14:sparkline>
              <xm:f>'Ratio Analysis'!F52:L52</xm:f>
              <xm:sqref>M52</xm:sqref>
            </x14:sparkline>
            <x14:sparkline>
              <xm:f>'Ratio Analysis'!F53:L53</xm:f>
              <xm:sqref>M53</xm:sqref>
            </x14:sparkline>
          </x14:sparklines>
        </x14:sparklineGroup>
        <x14:sparklineGroup displayEmptyCellsAs="gap" markers="1" high="1" low="1" xr2:uid="{9D23EBEE-6022-EE41-8067-6C6E3DB4BED7}">
          <x14:colorSeries rgb="FF002060"/>
          <x14:colorNegative rgb="FFD00000"/>
          <x14:colorAxis rgb="FF000000"/>
          <x14:colorMarkers theme="1"/>
          <x14:colorFirst rgb="FFD00000"/>
          <x14:colorLast rgb="FFD00000"/>
          <x14:colorHigh rgb="FF00B050"/>
          <x14:colorLow rgb="FFFF0000"/>
          <x14:sparklines>
            <x14:sparkline>
              <xm:f>'Ratio Analysis'!F36:L36</xm:f>
              <xm:sqref>M36</xm:sqref>
            </x14:sparkline>
            <x14:sparkline>
              <xm:f>'Ratio Analysis'!F37:L37</xm:f>
              <xm:sqref>M37</xm:sqref>
            </x14:sparkline>
            <x14:sparkline>
              <xm:f>'Ratio Analysis'!F38:L38</xm:f>
              <xm:sqref>M38</xm:sqref>
            </x14:sparkline>
            <x14:sparkline>
              <xm:f>'Ratio Analysis'!F39:L39</xm:f>
              <xm:sqref>M39</xm:sqref>
            </x14:sparkline>
            <x14:sparkline>
              <xm:f>'Ratio Analysis'!F40:L40</xm:f>
              <xm:sqref>M40</xm:sqref>
            </x14:sparkline>
          </x14:sparklines>
        </x14:sparklineGroup>
        <x14:sparklineGroup displayEmptyCellsAs="gap" markers="1" high="1" low="1" xr2:uid="{2F330820-84BB-FE4D-A579-B81390837EFB}">
          <x14:colorSeries rgb="FF002060"/>
          <x14:colorNegative rgb="FFD00000"/>
          <x14:colorAxis rgb="FF000000"/>
          <x14:colorMarkers theme="1"/>
          <x14:colorFirst rgb="FFD00000"/>
          <x14:colorLast rgb="FFD00000"/>
          <x14:colorHigh rgb="FF00B050"/>
          <x14:colorLow rgb="FFFF0000"/>
          <x14:sparklines>
            <x14:sparkline>
              <xm:f>'Ratio Analysis'!F30:L30</xm:f>
              <xm:sqref>M30</xm:sqref>
            </x14:sparkline>
            <x14:sparkline>
              <xm:f>'Ratio Analysis'!F31:L31</xm:f>
              <xm:sqref>M31</xm:sqref>
            </x14:sparkline>
            <x14:sparkline>
              <xm:f>'Ratio Analysis'!F32:L32</xm:f>
              <xm:sqref>M32</xm:sqref>
            </x14:sparkline>
            <x14:sparkline>
              <xm:f>'Ratio Analysis'!F33:L33</xm:f>
              <xm:sqref>M33</xm:sqref>
            </x14:sparkline>
          </x14:sparklines>
        </x14:sparklineGroup>
        <x14:sparklineGroup displayEmptyCellsAs="gap" markers="1" high="1" low="1" xr2:uid="{41E29633-DEB6-4F49-9874-9479E09A250A}">
          <x14:colorSeries rgb="FF002060"/>
          <x14:colorNegative rgb="FFD00000"/>
          <x14:colorAxis rgb="FF000000"/>
          <x14:colorMarkers theme="1"/>
          <x14:colorFirst rgb="FFD00000"/>
          <x14:colorLast rgb="FFD00000"/>
          <x14:colorHigh rgb="FFFF0000"/>
          <x14:colorLow rgb="FF00B050"/>
          <x14:sparklines>
            <x14:sparkline>
              <xm:f>'Ratio Analysis'!F25:L25</xm:f>
              <xm:sqref>M25</xm:sqref>
            </x14:sparkline>
            <x14:sparkline>
              <xm:f>'Ratio Analysis'!F26:L26</xm:f>
              <xm:sqref>M26</xm:sqref>
            </x14:sparkline>
            <x14:sparkline>
              <xm:f>'Ratio Analysis'!F27:L27</xm:f>
              <xm:sqref>M27</xm:sqref>
            </x14:sparkline>
          </x14:sparklines>
        </x14:sparklineGroup>
        <x14:sparklineGroup displayEmptyCellsAs="gap" markers="1" high="1" low="1" xr2:uid="{4420751E-EDFE-314F-A673-319ADBF23639}">
          <x14:colorSeries rgb="FF002060"/>
          <x14:colorNegative rgb="FFD00000"/>
          <x14:colorAxis rgb="FF000000"/>
          <x14:colorMarkers theme="1"/>
          <x14:colorFirst rgb="FFD00000"/>
          <x14:colorLast rgb="FFD00000"/>
          <x14:colorHigh rgb="FF00B050"/>
          <x14:colorLow rgb="FFFF0000"/>
          <x14:sparklines>
            <x14:sparkline>
              <xm:f>'Ratio Analysis'!F18:L18</xm:f>
              <xm:sqref>M18</xm:sqref>
            </x14:sparkline>
            <x14:sparkline>
              <xm:f>'Ratio Analysis'!F19:L19</xm:f>
              <xm:sqref>M19</xm:sqref>
            </x14:sparkline>
            <x14:sparkline>
              <xm:f>'Ratio Analysis'!F20:L20</xm:f>
              <xm:sqref>M20</xm:sqref>
            </x14:sparkline>
            <x14:sparkline>
              <xm:f>'Ratio Analysis'!F21:L21</xm:f>
              <xm:sqref>M21</xm:sqref>
            </x14:sparkline>
            <x14:sparkline>
              <xm:f>'Ratio Analysis'!F22:L22</xm:f>
              <xm:sqref>M22</xm:sqref>
            </x14:sparkline>
          </x14:sparklines>
        </x14:sparklineGroup>
        <x14:sparklineGroup displayEmptyCellsAs="gap" markers="1" high="1" low="1" xr2:uid="{A59612D8-ECA0-2942-BD3E-81FF6DF12005}">
          <x14:colorSeries rgb="FF002060"/>
          <x14:colorNegative rgb="FFD00000"/>
          <x14:colorAxis rgb="FF000000"/>
          <x14:colorMarkers theme="1"/>
          <x14:colorFirst rgb="FFD00000"/>
          <x14:colorLast rgb="FFD00000"/>
          <x14:colorHigh rgb="FF00B050"/>
          <x14:colorLow rgb="FFFF0000"/>
          <x14:sparklines>
            <x14:sparkline>
              <xm:f>'Ratio Analysis'!F9:L9</xm:f>
              <xm:sqref>M9</xm:sqref>
            </x14:sparkline>
            <x14:sparkline>
              <xm:f>'Ratio Analysis'!F10:L10</xm:f>
              <xm:sqref>M10</xm:sqref>
            </x14:sparkline>
            <x14:sparkline>
              <xm:f>'Ratio Analysis'!F11:L11</xm:f>
              <xm:sqref>M11</xm:sqref>
            </x14:sparkline>
            <x14:sparkline>
              <xm:f>'Ratio Analysis'!F12:L12</xm:f>
              <xm:sqref>M12</xm:sqref>
            </x14:sparkline>
            <x14:sparkline>
              <xm:f>'Ratio Analysis'!F13:L13</xm:f>
              <xm:sqref>M13</xm:sqref>
            </x14:sparkline>
            <x14:sparkline>
              <xm:f>'Ratio Analysis'!F14:L14</xm:f>
              <xm:sqref>M14</xm:sqref>
            </x14:sparkline>
            <x14:sparkline>
              <xm:f>'Ratio Analysis'!F15:L15</xm:f>
              <xm:sqref>M15</xm:sqref>
            </x14:sparkline>
          </x14:sparklines>
        </x14:sparklineGroup>
      </x14:sparklineGroup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91897-114A-7D4D-9268-F75F1F800F38}">
  <sheetPr>
    <pageSetUpPr fitToPage="1"/>
  </sheetPr>
  <dimension ref="B1:N71"/>
  <sheetViews>
    <sheetView showGridLines="0" topLeftCell="A19" zoomScale="125" zoomScaleNormal="125" workbookViewId="0">
      <selection activeCell="G10" sqref="G10"/>
    </sheetView>
  </sheetViews>
  <sheetFormatPr baseColWidth="10" defaultRowHeight="15" x14ac:dyDescent="0.2"/>
  <cols>
    <col min="1" max="2" width="3.83203125" customWidth="1"/>
  </cols>
  <sheetData>
    <row r="1" spans="2:14" ht="21" x14ac:dyDescent="0.25">
      <c r="B1" s="381" t="str">
        <f>Cover!B11</f>
        <v>Adani Power</v>
      </c>
      <c r="C1" s="5"/>
      <c r="D1" s="5"/>
      <c r="E1" s="5"/>
      <c r="F1" s="5"/>
      <c r="G1" s="5"/>
      <c r="H1" s="5"/>
      <c r="I1" s="5"/>
      <c r="J1" s="5"/>
      <c r="K1" s="5"/>
      <c r="L1" s="5"/>
      <c r="M1" s="5"/>
      <c r="N1" s="5"/>
    </row>
    <row r="2" spans="2:14" ht="19" x14ac:dyDescent="0.25">
      <c r="B2" s="492" t="s">
        <v>539</v>
      </c>
      <c r="C2" s="491"/>
      <c r="D2" s="491"/>
      <c r="E2" s="491"/>
      <c r="F2" s="491"/>
      <c r="G2" s="491"/>
      <c r="H2" s="491"/>
      <c r="I2" s="491"/>
      <c r="J2" s="491"/>
      <c r="K2" s="491"/>
      <c r="L2" s="491"/>
      <c r="M2" s="491"/>
      <c r="N2" s="491"/>
    </row>
    <row r="3" spans="2:14" ht="3" customHeight="1" thickBot="1" x14ac:dyDescent="0.25">
      <c r="B3" s="208"/>
      <c r="C3" s="208"/>
      <c r="D3" s="208"/>
      <c r="E3" s="208"/>
      <c r="F3" s="208"/>
      <c r="G3" s="208"/>
      <c r="H3" s="208"/>
      <c r="I3" s="208"/>
      <c r="J3" s="208"/>
      <c r="K3" s="208"/>
      <c r="L3" s="208"/>
      <c r="M3" s="208"/>
      <c r="N3" s="208"/>
    </row>
    <row r="4" spans="2:14" ht="16" thickTop="1" x14ac:dyDescent="0.2">
      <c r="B4" s="39" t="s">
        <v>168</v>
      </c>
    </row>
    <row r="5" spans="2:14" x14ac:dyDescent="0.2">
      <c r="I5" s="247" t="str">
        <f>Model!K181</f>
        <v>Projected</v>
      </c>
      <c r="J5" s="247"/>
      <c r="K5" s="247"/>
      <c r="L5" s="247"/>
      <c r="M5" s="247"/>
      <c r="N5" s="247"/>
    </row>
    <row r="6" spans="2:14" x14ac:dyDescent="0.2">
      <c r="F6" s="245">
        <f>Model!H182</f>
        <v>2024</v>
      </c>
      <c r="G6" s="245">
        <f>Model!I182</f>
        <v>2025</v>
      </c>
      <c r="H6" s="245">
        <f>Model!J182</f>
        <v>2026</v>
      </c>
      <c r="I6" s="246">
        <f>Model!K182</f>
        <v>2027</v>
      </c>
      <c r="J6" s="246">
        <f>Model!L182</f>
        <v>2028</v>
      </c>
      <c r="K6" s="246">
        <f>Model!M182</f>
        <v>2029</v>
      </c>
      <c r="L6" s="246">
        <f>Model!N182</f>
        <v>2030</v>
      </c>
      <c r="M6" s="246">
        <f>Model!O182</f>
        <v>2031</v>
      </c>
      <c r="N6" s="246">
        <f>Model!P182</f>
        <v>2032</v>
      </c>
    </row>
    <row r="7" spans="2:14" x14ac:dyDescent="0.2">
      <c r="B7" s="2" t="s">
        <v>214</v>
      </c>
    </row>
    <row r="8" spans="2:14" x14ac:dyDescent="0.2">
      <c r="C8" t="s">
        <v>9</v>
      </c>
      <c r="F8" s="506">
        <f>Model!H129/Model!H$129</f>
        <v>1</v>
      </c>
      <c r="G8" s="506">
        <f>Model!I129/Model!I$129</f>
        <v>1</v>
      </c>
      <c r="H8" s="506">
        <f>Model!J129/Model!J$129</f>
        <v>1</v>
      </c>
      <c r="I8" s="506">
        <f ca="1">Model!K129/Model!K$129</f>
        <v>1</v>
      </c>
      <c r="J8" s="506">
        <f ca="1">Model!L129/Model!L$129</f>
        <v>1</v>
      </c>
      <c r="K8" s="506">
        <f ca="1">Model!M129/Model!M$129</f>
        <v>1</v>
      </c>
      <c r="L8" s="506">
        <f ca="1">Model!N129/Model!N$129</f>
        <v>1</v>
      </c>
      <c r="M8" s="506">
        <f ca="1">Model!O129/Model!O$129</f>
        <v>1</v>
      </c>
      <c r="N8" s="506">
        <f ca="1">Model!P129/Model!P$129</f>
        <v>1</v>
      </c>
    </row>
    <row r="9" spans="2:14" x14ac:dyDescent="0.2">
      <c r="B9" s="2" t="s">
        <v>12</v>
      </c>
      <c r="F9" s="495"/>
      <c r="G9" s="495"/>
      <c r="H9" s="495"/>
      <c r="I9" s="495"/>
      <c r="J9" s="495"/>
      <c r="K9" s="495"/>
      <c r="L9" s="495"/>
      <c r="M9" s="495"/>
      <c r="N9" s="495"/>
    </row>
    <row r="10" spans="2:14" x14ac:dyDescent="0.2">
      <c r="C10" t="s">
        <v>10</v>
      </c>
      <c r="F10" s="495">
        <f>Model!H133/Model!H$129</f>
        <v>0.5650830912837318</v>
      </c>
      <c r="G10" s="495">
        <f>Model!I133/Model!I$129</f>
        <v>0.53864031319274441</v>
      </c>
      <c r="H10" s="495">
        <f>Model!J133/Model!J$129</f>
        <v>0.53206513984867532</v>
      </c>
      <c r="I10" s="495">
        <f ca="1">Model!K133/Model!K$129</f>
        <v>0.51689980409487934</v>
      </c>
      <c r="J10" s="495">
        <f ca="1">Model!L133/Model!L$129</f>
        <v>0.49613060900356382</v>
      </c>
      <c r="K10" s="495">
        <f ca="1">Model!M133/Model!M$129</f>
        <v>0.48265788649615599</v>
      </c>
      <c r="L10" s="495">
        <f ca="1">Model!N133/Model!N$129</f>
        <v>0.45990756837620533</v>
      </c>
      <c r="M10" s="495">
        <f ca="1">Model!O133/Model!O$129</f>
        <v>0.44127426321067487</v>
      </c>
      <c r="N10" s="495">
        <f ca="1">Model!P133/Model!P$129</f>
        <v>0.43587789238980995</v>
      </c>
    </row>
    <row r="11" spans="2:14" x14ac:dyDescent="0.2">
      <c r="C11" t="s">
        <v>11</v>
      </c>
      <c r="F11" s="495">
        <f>Model!H134/Model!H$129</f>
        <v>3.6877733919217497E-2</v>
      </c>
      <c r="G11" s="495">
        <f>Model!I134/Model!I$129</f>
        <v>3.9696215990971319E-2</v>
      </c>
      <c r="H11" s="495">
        <f>Model!J134/Model!J$129</f>
        <v>4.679627170841192E-2</v>
      </c>
      <c r="I11" s="495">
        <f ca="1">Model!K134/Model!K$129</f>
        <v>4.5663666575457312E-2</v>
      </c>
      <c r="J11" s="495">
        <f ca="1">Model!L134/Model!L$129</f>
        <v>4.4573551775563228E-2</v>
      </c>
      <c r="K11" s="495">
        <f ca="1">Model!M134/Model!M$129</f>
        <v>4.4099882615467115E-2</v>
      </c>
      <c r="L11" s="495">
        <f ca="1">Model!N134/Model!N$129</f>
        <v>4.2633172254486991E-2</v>
      </c>
      <c r="M11" s="495">
        <f ca="1">Model!O134/Model!O$129</f>
        <v>4.1501592004283848E-2</v>
      </c>
      <c r="N11" s="495">
        <f ca="1">Model!P134/Model!P$129</f>
        <v>4.1591067383037437E-2</v>
      </c>
    </row>
    <row r="12" spans="2:14" x14ac:dyDescent="0.2">
      <c r="C12" s="2" t="s">
        <v>13</v>
      </c>
      <c r="F12" s="507">
        <f>Model!H137/Model!H$129</f>
        <v>0.39803917479705075</v>
      </c>
      <c r="G12" s="507">
        <f>Model!I137/Model!I$129</f>
        <v>0.4216634708162843</v>
      </c>
      <c r="H12" s="507">
        <f>Model!J137/Model!J$129</f>
        <v>0.4211385884429128</v>
      </c>
      <c r="I12" s="507">
        <f ca="1">Model!K137/Model!K$129</f>
        <v>0.43743652932966332</v>
      </c>
      <c r="J12" s="507">
        <f ca="1">Model!L137/Model!L$129</f>
        <v>0.45929583922087297</v>
      </c>
      <c r="K12" s="507">
        <f ca="1">Model!M137/Model!M$129</f>
        <v>0.47324223088837697</v>
      </c>
      <c r="L12" s="507">
        <f ca="1">Model!N137/Model!N$129</f>
        <v>0.49745925936930768</v>
      </c>
      <c r="M12" s="507">
        <f ca="1">Model!O137/Model!O$129</f>
        <v>0.51722414478504131</v>
      </c>
      <c r="N12" s="507">
        <f ca="1">Model!P137/Model!P$129</f>
        <v>0.52253104022715258</v>
      </c>
    </row>
    <row r="13" spans="2:14" x14ac:dyDescent="0.2">
      <c r="B13" s="2" t="s">
        <v>14</v>
      </c>
      <c r="F13" s="495"/>
      <c r="G13" s="495"/>
      <c r="H13" s="495"/>
      <c r="I13" s="495"/>
      <c r="J13" s="495"/>
      <c r="K13" s="495"/>
      <c r="L13" s="495"/>
      <c r="M13" s="495"/>
      <c r="N13" s="495"/>
    </row>
    <row r="14" spans="2:14" x14ac:dyDescent="0.2">
      <c r="C14" t="s">
        <v>15</v>
      </c>
      <c r="F14" s="495">
        <f>Model!H141/Model!H$129</f>
        <v>1.2793525483478563E-2</v>
      </c>
      <c r="G14" s="495">
        <f>Model!I141/Model!I$129</f>
        <v>1.3996205546705706E-2</v>
      </c>
      <c r="H14" s="495">
        <f>Model!J141/Model!J$129</f>
        <v>1.5647644153205877E-2</v>
      </c>
      <c r="I14" s="495">
        <f ca="1">Model!K141/Model!K$129</f>
        <v>1.526892590408984E-2</v>
      </c>
      <c r="J14" s="495">
        <f ca="1">Model!L141/Model!L$129</f>
        <v>1.4904415487935904E-2</v>
      </c>
      <c r="K14" s="495">
        <f ca="1">Model!M141/Model!M$129</f>
        <v>1.4746030937352154E-2</v>
      </c>
      <c r="L14" s="495">
        <f ca="1">Model!N141/Model!N$129</f>
        <v>1.4255595247358685E-2</v>
      </c>
      <c r="M14" s="495">
        <f ca="1">Model!O141/Model!O$129</f>
        <v>1.3877219696496334E-2</v>
      </c>
      <c r="N14" s="495">
        <f ca="1">Model!P141/Model!P$129</f>
        <v>1.3907138295480743E-2</v>
      </c>
    </row>
    <row r="15" spans="2:14" x14ac:dyDescent="0.2">
      <c r="C15" t="s">
        <v>16</v>
      </c>
      <c r="F15" s="495">
        <f>Model!H142/Model!H$129</f>
        <v>9.0329435714108387E-3</v>
      </c>
      <c r="G15" s="495">
        <f>Model!I142/Model!I$129</f>
        <v>9.6715322947546131E-3</v>
      </c>
      <c r="H15" s="495">
        <f>Model!J142/Model!J$129</f>
        <v>1.0598428241048889E-2</v>
      </c>
      <c r="I15" s="495">
        <f ca="1">Model!K142/Model!K$129</f>
        <v>1.034191562179881E-2</v>
      </c>
      <c r="J15" s="495">
        <f ca="1">Model!L142/Model!L$129</f>
        <v>1.0095026221011227E-2</v>
      </c>
      <c r="K15" s="495">
        <f ca="1">Model!M142/Model!M$129</f>
        <v>9.9877495423356874E-3</v>
      </c>
      <c r="L15" s="495">
        <f ca="1">Model!N142/Model!N$129</f>
        <v>9.655568709466978E-3</v>
      </c>
      <c r="M15" s="495">
        <f ca="1">Model!O142/Model!O$129</f>
        <v>9.3992882058513381E-3</v>
      </c>
      <c r="N15" s="495">
        <f ca="1">Model!P142/Model!P$129</f>
        <v>9.4195526061217148E-3</v>
      </c>
    </row>
    <row r="16" spans="2:14" x14ac:dyDescent="0.2">
      <c r="C16" t="s">
        <v>17</v>
      </c>
      <c r="F16" s="495">
        <f>Model!H143/Model!H$129</f>
        <v>1.4203420967701894E-2</v>
      </c>
      <c r="G16" s="495">
        <f>Model!I143/Model!I$129</f>
        <v>1.690761130749217E-2</v>
      </c>
      <c r="H16" s="495">
        <f>Model!J143/Model!J$129</f>
        <v>2.3023913800600829E-2</v>
      </c>
      <c r="I16" s="495">
        <f ca="1">Model!K143/Model!K$129</f>
        <v>2.2466668490253222E-2</v>
      </c>
      <c r="J16" s="495">
        <f ca="1">Model!L143/Model!L$129</f>
        <v>2.1930328558262255E-2</v>
      </c>
      <c r="K16" s="495">
        <f ca="1">Model!M143/Model!M$129</f>
        <v>2.1697281832232247E-2</v>
      </c>
      <c r="L16" s="495">
        <f ca="1">Model!N143/Model!N$129</f>
        <v>2.0975655692182633E-2</v>
      </c>
      <c r="M16" s="495">
        <f ca="1">Model!O143/Model!O$129</f>
        <v>2.0418914627392714E-2</v>
      </c>
      <c r="N16" s="495">
        <f ca="1">Model!P143/Model!P$129</f>
        <v>2.0462936796947908E-2</v>
      </c>
    </row>
    <row r="17" spans="2:14" x14ac:dyDescent="0.2">
      <c r="C17" t="s">
        <v>18</v>
      </c>
      <c r="F17" s="495">
        <f>Model!H144/Model!H$129</f>
        <v>0.1962872818450386</v>
      </c>
      <c r="G17" s="495">
        <f>Model!I144/Model!I$129</f>
        <v>4.6080206622091419E-2</v>
      </c>
      <c r="H17" s="495">
        <f>Model!J144/Model!J$129</f>
        <v>6.6120649818461608E-2</v>
      </c>
      <c r="I17" s="495">
        <f ca="1">Model!K144/Model!K$129</f>
        <v>5.8095096383700841E-2</v>
      </c>
      <c r="J17" s="495">
        <f ca="1">Model!L144/Model!L$129</f>
        <v>4.9100567025080102E-2</v>
      </c>
      <c r="K17" s="495">
        <f ca="1">Model!M144/Model!M$129</f>
        <v>4.3120219210538123E-2</v>
      </c>
      <c r="L17" s="495">
        <f ca="1">Model!N144/Model!N$129</f>
        <v>3.3934858026651971E-2</v>
      </c>
      <c r="M17" s="495">
        <f ca="1">Model!O144/Model!O$129</f>
        <v>2.6522129495405992E-2</v>
      </c>
      <c r="N17" s="495">
        <f ca="1">Model!P144/Model!P$129</f>
        <v>2.362116822259298E-2</v>
      </c>
    </row>
    <row r="18" spans="2:14" x14ac:dyDescent="0.2">
      <c r="C18" s="2" t="s">
        <v>19</v>
      </c>
      <c r="F18" s="507">
        <f>Model!H147/Model!H$129</f>
        <v>0.558296566619498</v>
      </c>
      <c r="G18" s="507">
        <f>Model!I147/Model!I$129</f>
        <v>0.42716832828942319</v>
      </c>
      <c r="H18" s="507">
        <f>Model!J147/Model!J$129</f>
        <v>0.43798925206651879</v>
      </c>
      <c r="I18" s="507">
        <f ca="1">Model!K147/Model!K$129</f>
        <v>0.44745411569722238</v>
      </c>
      <c r="J18" s="507">
        <f ca="1">Model!L147/Model!L$129</f>
        <v>0.46146663597874371</v>
      </c>
      <c r="K18" s="507">
        <f ca="1">Model!M147/Model!M$129</f>
        <v>0.469931387786995</v>
      </c>
      <c r="L18" s="507">
        <f ca="1">Model!N147/Model!N$129</f>
        <v>0.48650729774695139</v>
      </c>
      <c r="M18" s="507">
        <f ca="1">Model!O147/Model!O$129</f>
        <v>0.50005085175070685</v>
      </c>
      <c r="N18" s="507">
        <f ca="1">Model!P147/Model!P$129</f>
        <v>0.50236258075119511</v>
      </c>
    </row>
    <row r="19" spans="2:14" x14ac:dyDescent="0.2">
      <c r="C19" t="s">
        <v>20</v>
      </c>
      <c r="F19" s="495">
        <f>Model!H150/Model!H$129</f>
        <v>7.8078101338099851E-2</v>
      </c>
      <c r="G19" s="495">
        <f>Model!I150/Model!I$129</f>
        <v>7.6666247354015601E-2</v>
      </c>
      <c r="H19" s="495">
        <f>Model!J150/Model!J$129</f>
        <v>8.3263358047391406E-2</v>
      </c>
      <c r="I19" s="495">
        <f ca="1">Model!K150/Model!K$129</f>
        <v>7.9830087157900159E-2</v>
      </c>
      <c r="J19" s="495">
        <f ca="1">Model!L150/Model!L$129</f>
        <v>7.7485783683825971E-2</v>
      </c>
      <c r="K19" s="495">
        <f ca="1">Model!M150/Model!M$129</f>
        <v>7.5382240431698264E-2</v>
      </c>
      <c r="L19" s="495">
        <f ca="1">Model!N150/Model!N$129</f>
        <v>7.2626697147239294E-2</v>
      </c>
      <c r="M19" s="495">
        <f ca="1">Model!O150/Model!O$129</f>
        <v>6.9992617469694957E-2</v>
      </c>
      <c r="N19" s="495">
        <f ca="1">Model!P150/Model!P$129</f>
        <v>6.8300147262684671E-2</v>
      </c>
    </row>
    <row r="20" spans="2:14" x14ac:dyDescent="0.2">
      <c r="C20" s="2" t="s">
        <v>21</v>
      </c>
      <c r="F20" s="507">
        <f>Model!H153/Model!H$129</f>
        <v>0.48021846528139817</v>
      </c>
      <c r="G20" s="507">
        <f>Model!I153/Model!I$129</f>
        <v>0.35050208093540758</v>
      </c>
      <c r="H20" s="507">
        <f>Model!J153/Model!J$129</f>
        <v>0.35472589401912735</v>
      </c>
      <c r="I20" s="507">
        <f ca="1">Model!K153/Model!K$129</f>
        <v>0.36762402853932219</v>
      </c>
      <c r="J20" s="507">
        <f ca="1">Model!L153/Model!L$129</f>
        <v>0.38398085229491774</v>
      </c>
      <c r="K20" s="507">
        <f ca="1">Model!M153/Model!M$129</f>
        <v>0.39454914735529673</v>
      </c>
      <c r="L20" s="507">
        <f ca="1">Model!N153/Model!N$129</f>
        <v>0.4138806005997121</v>
      </c>
      <c r="M20" s="507">
        <f ca="1">Model!O153/Model!O$129</f>
        <v>0.43005823428101186</v>
      </c>
      <c r="N20" s="507">
        <f ca="1">Model!P153/Model!P$129</f>
        <v>0.43406243348851042</v>
      </c>
    </row>
    <row r="21" spans="2:14" x14ac:dyDescent="0.2">
      <c r="C21" t="s">
        <v>22</v>
      </c>
      <c r="F21" s="495">
        <f>Model!H156/Model!H$129</f>
        <v>6.7289094113850201E-2</v>
      </c>
      <c r="G21" s="495">
        <f>Model!I156/Model!I$129</f>
        <v>5.9423601086701819E-2</v>
      </c>
      <c r="H21" s="495">
        <f>Model!J156/Model!J$129</f>
        <v>6.1415648878350861E-2</v>
      </c>
      <c r="I21" s="495">
        <f ca="1">Model!K156/Model!K$129</f>
        <v>5.22308422616709E-2</v>
      </c>
      <c r="J21" s="495">
        <f ca="1">Model!L156/Model!L$129</f>
        <v>5.3960044274600404E-2</v>
      </c>
      <c r="K21" s="495">
        <f ca="1">Model!M156/Model!M$129</f>
        <v>5.7165413231140591E-2</v>
      </c>
      <c r="L21" s="495">
        <f ca="1">Model!N156/Model!N$129</f>
        <v>5.1235874321284E-2</v>
      </c>
      <c r="M21" s="495">
        <f ca="1">Model!O156/Model!O$129</f>
        <v>5.002845919344908E-2</v>
      </c>
      <c r="N21" s="495">
        <f ca="1">Model!P156/Model!P$129</f>
        <v>4.5567770455485601E-2</v>
      </c>
    </row>
    <row r="22" spans="2:14" x14ac:dyDescent="0.2">
      <c r="C22" s="2" t="s">
        <v>23</v>
      </c>
      <c r="F22" s="507">
        <f>Model!H159/Model!H$129</f>
        <v>0.41292937116754797</v>
      </c>
      <c r="G22" s="507">
        <f>Model!I159/Model!I$129</f>
        <v>0.29107847984870577</v>
      </c>
      <c r="H22" s="507">
        <f>Model!J159/Model!J$129</f>
        <v>0.29331024514077653</v>
      </c>
      <c r="I22" s="507">
        <f ca="1">Model!K159/Model!K$129</f>
        <v>0.31539318627765128</v>
      </c>
      <c r="J22" s="507">
        <f ca="1">Model!L159/Model!L$129</f>
        <v>0.3300208080203173</v>
      </c>
      <c r="K22" s="507">
        <f ca="1">Model!M159/Model!M$129</f>
        <v>0.33738373412415618</v>
      </c>
      <c r="L22" s="507">
        <f ca="1">Model!N159/Model!N$129</f>
        <v>0.36264472627842809</v>
      </c>
      <c r="M22" s="507">
        <f ca="1">Model!O159/Model!O$129</f>
        <v>0.3800297750875628</v>
      </c>
      <c r="N22" s="507">
        <f ca="1">Model!P159/Model!P$129</f>
        <v>0.38849466303302482</v>
      </c>
    </row>
    <row r="23" spans="2:14" x14ac:dyDescent="0.2">
      <c r="C23" t="s">
        <v>24</v>
      </c>
      <c r="F23" s="495">
        <f>Model!H162/Model!H$129</f>
        <v>-7.4039869913855171E-4</v>
      </c>
      <c r="G23" s="495">
        <f>Model!I162/Model!I$129</f>
        <v>6.4229564602230949E-2</v>
      </c>
      <c r="H23" s="495">
        <f>Model!J162/Model!J$129</f>
        <v>4.6122070046152805E-2</v>
      </c>
      <c r="I23" s="495">
        <f ca="1">Model!K162/Model!K$129</f>
        <v>7.937815712235928E-2</v>
      </c>
      <c r="J23" s="495">
        <f ca="1">Model!L162/Model!L$129</f>
        <v>8.3059636962553474E-2</v>
      </c>
      <c r="K23" s="495">
        <f ca="1">Model!M162/Model!M$129</f>
        <v>8.4912738204367635E-2</v>
      </c>
      <c r="L23" s="495">
        <f ca="1">Model!N162/Model!N$129</f>
        <v>9.1270424709754772E-2</v>
      </c>
      <c r="M23" s="495">
        <f ca="1">Model!O162/Model!O$129</f>
        <v>9.5645893794037817E-2</v>
      </c>
      <c r="N23" s="495">
        <f ca="1">Model!P162/Model!P$129</f>
        <v>9.7776336792151697E-2</v>
      </c>
    </row>
    <row r="24" spans="2:14" ht="16" thickBot="1" x14ac:dyDescent="0.25">
      <c r="C24" s="2" t="s">
        <v>25</v>
      </c>
      <c r="F24" s="505">
        <f>Model!H165/Model!H$129</f>
        <v>0.41366976986668647</v>
      </c>
      <c r="G24" s="505">
        <f>Model!I165/Model!I$129</f>
        <v>0.2268489152464748</v>
      </c>
      <c r="H24" s="505">
        <f>Model!J165/Model!J$129</f>
        <v>0.24718817509462371</v>
      </c>
      <c r="I24" s="505">
        <f ca="1">Model!K165/Model!K$129</f>
        <v>0.23601502915529202</v>
      </c>
      <c r="J24" s="505">
        <f ca="1">Model!L165/Model!L$129</f>
        <v>0.24696117105776383</v>
      </c>
      <c r="K24" s="505">
        <f ca="1">Model!M165/Model!M$129</f>
        <v>0.25247099591978855</v>
      </c>
      <c r="L24" s="505">
        <f ca="1">Model!N165/Model!N$129</f>
        <v>0.27137430156867332</v>
      </c>
      <c r="M24" s="505">
        <f ca="1">Model!O165/Model!O$129</f>
        <v>0.28438388129352499</v>
      </c>
      <c r="N24" s="505">
        <f ca="1">Model!P165/Model!P$129</f>
        <v>0.29071832624087313</v>
      </c>
    </row>
    <row r="25" spans="2:14" ht="16" thickTop="1" x14ac:dyDescent="0.2"/>
    <row r="27" spans="2:14" ht="21" x14ac:dyDescent="0.25">
      <c r="B27" s="508" t="str">
        <f>B1</f>
        <v>Adani Power</v>
      </c>
      <c r="C27" s="249"/>
      <c r="D27" s="249"/>
      <c r="E27" s="249"/>
      <c r="F27" s="249"/>
      <c r="G27" s="249"/>
      <c r="H27" s="249"/>
      <c r="I27" s="249"/>
      <c r="J27" s="249"/>
      <c r="K27" s="249"/>
      <c r="L27" s="249"/>
      <c r="M27" s="249"/>
      <c r="N27" s="249"/>
    </row>
    <row r="28" spans="2:14" ht="19" x14ac:dyDescent="0.25">
      <c r="B28" s="492" t="s">
        <v>540</v>
      </c>
      <c r="C28" s="491"/>
      <c r="D28" s="491"/>
      <c r="E28" s="491"/>
      <c r="F28" s="491"/>
      <c r="G28" s="491"/>
      <c r="H28" s="491"/>
      <c r="I28" s="491"/>
      <c r="J28" s="491"/>
      <c r="K28" s="491"/>
      <c r="L28" s="491"/>
      <c r="M28" s="491"/>
      <c r="N28" s="491"/>
    </row>
    <row r="29" spans="2:14" ht="3" customHeight="1" thickBot="1" x14ac:dyDescent="0.25">
      <c r="B29" s="208"/>
      <c r="C29" s="208"/>
      <c r="D29" s="208"/>
      <c r="E29" s="208"/>
      <c r="F29" s="208"/>
      <c r="G29" s="208"/>
      <c r="H29" s="208"/>
      <c r="I29" s="208"/>
      <c r="J29" s="208"/>
      <c r="K29" s="208"/>
      <c r="L29" s="208"/>
      <c r="M29" s="208"/>
      <c r="N29" s="208"/>
    </row>
    <row r="30" spans="2:14" ht="16" thickTop="1" x14ac:dyDescent="0.2">
      <c r="B30" s="39" t="str">
        <f>B4</f>
        <v>(%)</v>
      </c>
    </row>
    <row r="31" spans="2:14" x14ac:dyDescent="0.2">
      <c r="I31" s="247" t="str">
        <f>I5</f>
        <v>Projected</v>
      </c>
      <c r="J31" s="247"/>
      <c r="K31" s="247"/>
      <c r="L31" s="247"/>
      <c r="M31" s="247"/>
      <c r="N31" s="247"/>
    </row>
    <row r="32" spans="2:14" x14ac:dyDescent="0.2">
      <c r="F32" s="245">
        <f>F6</f>
        <v>2024</v>
      </c>
      <c r="G32" s="245">
        <f t="shared" ref="G32:N32" si="0">G6</f>
        <v>2025</v>
      </c>
      <c r="H32" s="245">
        <f t="shared" si="0"/>
        <v>2026</v>
      </c>
      <c r="I32" s="246">
        <f t="shared" si="0"/>
        <v>2027</v>
      </c>
      <c r="J32" s="246">
        <f t="shared" si="0"/>
        <v>2028</v>
      </c>
      <c r="K32" s="246">
        <f t="shared" si="0"/>
        <v>2029</v>
      </c>
      <c r="L32" s="246">
        <f t="shared" si="0"/>
        <v>2030</v>
      </c>
      <c r="M32" s="246">
        <f t="shared" si="0"/>
        <v>2031</v>
      </c>
      <c r="N32" s="246">
        <f t="shared" si="0"/>
        <v>2032</v>
      </c>
    </row>
    <row r="33" spans="2:14" x14ac:dyDescent="0.2">
      <c r="B33" s="2" t="s">
        <v>53</v>
      </c>
      <c r="C33" s="39"/>
    </row>
    <row r="34" spans="2:14" x14ac:dyDescent="0.2">
      <c r="C34" t="s">
        <v>33</v>
      </c>
      <c r="F34" s="495">
        <f>Model!H223/Model!H$237</f>
        <v>4.5018745039851829E-2</v>
      </c>
      <c r="G34" s="495">
        <f>Model!I223/Model!I$237</f>
        <v>2.9377976294850991E-2</v>
      </c>
      <c r="H34" s="495">
        <f>Model!J223/Model!J$237</f>
        <v>2.630941705166618E-2</v>
      </c>
      <c r="I34" s="495">
        <f ca="1">Model!K223/Model!K$237</f>
        <v>2.4913505490917236E-2</v>
      </c>
      <c r="J34" s="495">
        <f ca="1">Model!L223/Model!L$237</f>
        <v>2.3009542205346904E-2</v>
      </c>
      <c r="K34" s="495">
        <f ca="1">Model!M223/Model!M$237</f>
        <v>2.1251371942169573E-2</v>
      </c>
      <c r="L34" s="495">
        <f ca="1">Model!N223/Model!N$237</f>
        <v>2.2660697496747109E-2</v>
      </c>
      <c r="M34" s="495">
        <f ca="1">Model!O223/Model!O$237</f>
        <v>2.4999729626210075E-2</v>
      </c>
      <c r="N34" s="495">
        <f ca="1">Model!P223/Model!P$237</f>
        <v>2.467018797558284E-2</v>
      </c>
    </row>
    <row r="35" spans="2:14" x14ac:dyDescent="0.2">
      <c r="C35" t="s">
        <v>27</v>
      </c>
      <c r="F35" s="495">
        <f>Model!H224/Model!H$237</f>
        <v>0.12691240815778224</v>
      </c>
      <c r="G35" s="495">
        <f>Model!I224/Model!I$237</f>
        <v>0.11532339968635436</v>
      </c>
      <c r="H35" s="495">
        <f>Model!J224/Model!J$237</f>
        <v>8.5619527601434972E-2</v>
      </c>
      <c r="I35" s="495">
        <f ca="1">Model!K224/Model!K$237</f>
        <v>8.3455483922146897E-2</v>
      </c>
      <c r="J35" s="495">
        <f ca="1">Model!L224/Model!L$237</f>
        <v>8.0304219181841274E-2</v>
      </c>
      <c r="K35" s="495">
        <f ca="1">Model!M224/Model!M$237</f>
        <v>7.6238435065392893E-2</v>
      </c>
      <c r="L35" s="495">
        <f ca="1">Model!N224/Model!N$237</f>
        <v>8.5315732579733322E-2</v>
      </c>
      <c r="M35" s="495">
        <f ca="1">Model!O224/Model!O$237</f>
        <v>9.8096411537786837E-2</v>
      </c>
      <c r="N35" s="495">
        <f ca="1">Model!P224/Model!P$237</f>
        <v>9.8001793537623921E-2</v>
      </c>
    </row>
    <row r="36" spans="2:14" x14ac:dyDescent="0.2">
      <c r="C36" t="s">
        <v>31</v>
      </c>
      <c r="F36" s="495">
        <f>Model!H225/Model!H$237</f>
        <v>7.8381590190628375E-2</v>
      </c>
      <c r="G36" s="495">
        <f>Model!I225/Model!I$237</f>
        <v>5.419792407253312E-2</v>
      </c>
      <c r="H36" s="495">
        <f>Model!J225/Model!J$237</f>
        <v>5.0290726460004327E-2</v>
      </c>
      <c r="I36" s="495">
        <f ca="1">Model!K225/Model!K$237</f>
        <v>3.0185790417992787E-2</v>
      </c>
      <c r="J36" s="495">
        <f ca="1">Model!L225/Model!L$237</f>
        <v>2.3833940045212391E-2</v>
      </c>
      <c r="K36" s="495">
        <f ca="1">Model!M225/Model!M$237</f>
        <v>1.9292507585307022E-2</v>
      </c>
      <c r="L36" s="495">
        <f ca="1">Model!N225/Model!N$237</f>
        <v>1.6495735441654738E-2</v>
      </c>
      <c r="M36" s="495">
        <f ca="1">Model!O225/Model!O$237</f>
        <v>6.673753532631832E-2</v>
      </c>
      <c r="N36" s="495">
        <f ca="1">Model!P225/Model!P$237</f>
        <v>0.17903238710534083</v>
      </c>
    </row>
    <row r="37" spans="2:14" x14ac:dyDescent="0.2">
      <c r="C37" t="s">
        <v>32</v>
      </c>
      <c r="F37" s="495">
        <f>Model!H226/Model!H$237</f>
        <v>1.3498776306582643E-2</v>
      </c>
      <c r="G37" s="495">
        <f>Model!I226/Model!I$237</f>
        <v>9.3608380792870958E-3</v>
      </c>
      <c r="H37" s="495">
        <f>Model!J226/Model!J$237</f>
        <v>1.0738745023958813E-2</v>
      </c>
      <c r="I37" s="495">
        <f ca="1">Model!K226/Model!K$237</f>
        <v>1.057922569600042E-2</v>
      </c>
      <c r="J37" s="495">
        <f ca="1">Model!L226/Model!L$237</f>
        <v>1.0179755950589306E-2</v>
      </c>
      <c r="K37" s="495">
        <f ca="1">Model!M226/Model!M$237</f>
        <v>9.6643572520538536E-3</v>
      </c>
      <c r="L37" s="495">
        <f ca="1">Model!N226/Model!N$237</f>
        <v>1.0815039922632282E-2</v>
      </c>
      <c r="M37" s="495">
        <f ca="1">Model!O226/Model!O$237</f>
        <v>1.2435181354817906E-2</v>
      </c>
      <c r="N37" s="495">
        <f ca="1">Model!P226/Model!P$237</f>
        <v>1.2423187113917433E-2</v>
      </c>
    </row>
    <row r="38" spans="2:14" x14ac:dyDescent="0.2">
      <c r="C38" t="s">
        <v>34</v>
      </c>
      <c r="F38" s="495">
        <f>Model!H227/Model!H$237</f>
        <v>3.7181412032865721E-2</v>
      </c>
      <c r="G38" s="495">
        <f>Model!I227/Model!I$237</f>
        <v>6.1124412888589906E-2</v>
      </c>
      <c r="H38" s="495">
        <f>Model!J227/Model!J$237</f>
        <v>8.4784533904507811E-2</v>
      </c>
      <c r="I38" s="495">
        <f ca="1">Model!K227/Model!K$237</f>
        <v>8.3525096992695683E-2</v>
      </c>
      <c r="J38" s="495">
        <f ca="1">Model!L227/Model!L$237</f>
        <v>8.0371203674801453E-2</v>
      </c>
      <c r="K38" s="495">
        <f ca="1">Model!M227/Model!M$237</f>
        <v>7.6302028148906589E-2</v>
      </c>
      <c r="L38" s="495">
        <f ca="1">Model!N227/Model!N$237</f>
        <v>8.5386897347246221E-2</v>
      </c>
      <c r="M38" s="495">
        <f ca="1">Model!O227/Model!O$237</f>
        <v>9.8178237106293934E-2</v>
      </c>
      <c r="N38" s="495">
        <f ca="1">Model!P227/Model!P$237</f>
        <v>9.8083540182024281E-2</v>
      </c>
    </row>
    <row r="39" spans="2:14" x14ac:dyDescent="0.2">
      <c r="C39" s="2" t="s">
        <v>35</v>
      </c>
      <c r="F39" s="507">
        <f>Model!H228/Model!H$237</f>
        <v>0.3009929317277108</v>
      </c>
      <c r="G39" s="507">
        <f>Model!I228/Model!I$237</f>
        <v>0.26938455102161546</v>
      </c>
      <c r="H39" s="507">
        <f>Model!J228/Model!J$237</f>
        <v>0.25774295004157216</v>
      </c>
      <c r="I39" s="507">
        <f ca="1">Model!K228/Model!K$237</f>
        <v>0.23265910251975302</v>
      </c>
      <c r="J39" s="507">
        <f ca="1">Model!L228/Model!L$237</f>
        <v>0.21769866105779134</v>
      </c>
      <c r="K39" s="507">
        <f ca="1">Model!M228/Model!M$237</f>
        <v>0.20274869999382994</v>
      </c>
      <c r="L39" s="507">
        <f ca="1">Model!N228/Model!N$237</f>
        <v>0.22067410278801369</v>
      </c>
      <c r="M39" s="507">
        <f ca="1">Model!O228/Model!O$237</f>
        <v>0.30044709495142707</v>
      </c>
      <c r="N39" s="507">
        <f ca="1">Model!P228/Model!P$237</f>
        <v>0.41221109591448929</v>
      </c>
    </row>
    <row r="40" spans="2:14" x14ac:dyDescent="0.2">
      <c r="C40" s="39"/>
      <c r="F40" s="495"/>
      <c r="G40" s="495"/>
      <c r="H40" s="495"/>
      <c r="I40" s="495"/>
      <c r="J40" s="495"/>
      <c r="K40" s="495"/>
      <c r="L40" s="495"/>
      <c r="M40" s="495"/>
      <c r="N40" s="495"/>
    </row>
    <row r="41" spans="2:14" x14ac:dyDescent="0.2">
      <c r="C41" t="s">
        <v>46</v>
      </c>
      <c r="F41" s="495">
        <f>Model!H230/Model!H$237</f>
        <v>0.98588888789864049</v>
      </c>
      <c r="G41" s="495">
        <f>Model!I230/Model!I$237</f>
        <v>0.89545227991757503</v>
      </c>
      <c r="H41" s="495">
        <f>Model!J230/Model!J$237</f>
        <v>0.74042797811327188</v>
      </c>
      <c r="I41" s="495">
        <f ca="1">Model!K230/Model!K$237</f>
        <v>0.76964335846283405</v>
      </c>
      <c r="J41" s="495">
        <f ca="1">Model!L230/Model!L$237</f>
        <v>0.70909728117170778</v>
      </c>
      <c r="K41" s="495">
        <f ca="1">Model!M230/Model!M$237</f>
        <v>0.65652935991378303</v>
      </c>
      <c r="L41" s="495">
        <f ca="1">Model!N230/Model!N$237</f>
        <v>0.78798439217072924</v>
      </c>
      <c r="M41" s="495">
        <f ca="1">Model!O230/Model!O$237</f>
        <v>0.82816793594602833</v>
      </c>
      <c r="N41" s="495">
        <f ca="1">Model!P230/Model!P$237</f>
        <v>0.7705941183110947</v>
      </c>
    </row>
    <row r="42" spans="2:14" x14ac:dyDescent="0.2">
      <c r="C42" t="s">
        <v>47</v>
      </c>
      <c r="F42" s="495">
        <f>Model!H231/Model!H$237</f>
        <v>-0.3009960836158983</v>
      </c>
      <c r="G42" s="495">
        <f>Model!I231/Model!I$237</f>
        <v>-0.28175104173640803</v>
      </c>
      <c r="H42" s="495">
        <f>Model!J231/Model!J$237</f>
        <v>-0.26369493032956393</v>
      </c>
      <c r="I42" s="495">
        <f ca="1">Model!K231/Model!K$237</f>
        <v>-0.25022722267528047</v>
      </c>
      <c r="J42" s="495">
        <f ca="1">Model!L231/Model!L$237</f>
        <v>-0.22650089176014654</v>
      </c>
      <c r="K42" s="495">
        <f ca="1">Model!M231/Model!M$237</f>
        <v>-0.21005994797505168</v>
      </c>
      <c r="L42" s="495">
        <f ca="1">Model!N231/Model!N$237</f>
        <v>-0.20841404977875147</v>
      </c>
      <c r="M42" s="495">
        <f ca="1">Model!O231/Model!O$237</f>
        <v>-0.21375422003461564</v>
      </c>
      <c r="N42" s="495">
        <f ca="1">Model!P231/Model!P$237</f>
        <v>-0.21576877360737479</v>
      </c>
    </row>
    <row r="43" spans="2:14" x14ac:dyDescent="0.2">
      <c r="C43" s="2" t="s">
        <v>48</v>
      </c>
      <c r="F43" s="507">
        <f>Model!H232/Model!H$237</f>
        <v>0.68489280428274224</v>
      </c>
      <c r="G43" s="507">
        <f>Model!I232/Model!I$237</f>
        <v>0.61370123818116695</v>
      </c>
      <c r="H43" s="507">
        <f>Model!J232/Model!J$237</f>
        <v>0.47673304778370795</v>
      </c>
      <c r="I43" s="507">
        <f ca="1">Model!K232/Model!K$237</f>
        <v>0.51941613578755352</v>
      </c>
      <c r="J43" s="507">
        <f ca="1">Model!L232/Model!L$237</f>
        <v>0.48259638941156124</v>
      </c>
      <c r="K43" s="507">
        <f ca="1">Model!M232/Model!M$237</f>
        <v>0.4464694119387313</v>
      </c>
      <c r="L43" s="507">
        <f ca="1">Model!N232/Model!N$237</f>
        <v>0.5795703423919778</v>
      </c>
      <c r="M43" s="507">
        <f ca="1">Model!O232/Model!O$237</f>
        <v>0.61441371591141269</v>
      </c>
      <c r="N43" s="507">
        <f ca="1">Model!P232/Model!P$237</f>
        <v>0.55482534470372002</v>
      </c>
    </row>
    <row r="44" spans="2:14" x14ac:dyDescent="0.2">
      <c r="C44" t="s">
        <v>49</v>
      </c>
      <c r="F44" s="495">
        <f>Model!H233/Model!H$237</f>
        <v>1.0054740689811381E-2</v>
      </c>
      <c r="G44" s="495">
        <f>Model!I233/Model!I$237</f>
        <v>0.10719727120499933</v>
      </c>
      <c r="H44" s="495">
        <f>Model!J233/Model!J$237</f>
        <v>0.25451667961294072</v>
      </c>
      <c r="I44" s="495">
        <f ca="1">Model!K233/Model!K$237</f>
        <v>0.2387724904095388</v>
      </c>
      <c r="J44" s="495">
        <f ca="1">Model!L233/Model!L$237</f>
        <v>0.2924785465768191</v>
      </c>
      <c r="K44" s="495">
        <f ca="1">Model!M233/Model!M$237</f>
        <v>0.34493243835258885</v>
      </c>
      <c r="L44" s="495">
        <f ca="1">Model!N233/Model!N$237</f>
        <v>0.19475408082556978</v>
      </c>
      <c r="M44" s="495">
        <f ca="1">Model!O233/Model!O$237</f>
        <v>8.0775566949060018E-2</v>
      </c>
      <c r="N44" s="495">
        <f ca="1">Model!P233/Model!P$237</f>
        <v>2.9194058917942332E-2</v>
      </c>
    </row>
    <row r="45" spans="2:14" x14ac:dyDescent="0.2">
      <c r="C45" t="s">
        <v>50</v>
      </c>
      <c r="F45" s="495">
        <f>Model!H234/Model!H$237</f>
        <v>4.0595232997356545E-3</v>
      </c>
      <c r="G45" s="495">
        <f>Model!I234/Model!I$237</f>
        <v>9.716939592218159E-3</v>
      </c>
      <c r="H45" s="495">
        <f>Model!J234/Model!J$237</f>
        <v>1.1007322561779121E-2</v>
      </c>
      <c r="I45" s="495">
        <f ca="1">Model!K234/Model!K$237</f>
        <v>9.1522712831545797E-3</v>
      </c>
      <c r="J45" s="495">
        <f ca="1">Model!L234/Model!L$237</f>
        <v>7.2264029538283078E-3</v>
      </c>
      <c r="K45" s="495">
        <f ca="1">Model!M234/Model!M$237</f>
        <v>5.8494497148499193E-3</v>
      </c>
      <c r="L45" s="495">
        <f ca="1">Model!N234/Model!N$237</f>
        <v>5.0014739944388344E-3</v>
      </c>
      <c r="M45" s="495">
        <f ca="1">Model!O234/Model!O$237</f>
        <v>4.3636221881003124E-3</v>
      </c>
      <c r="N45" s="495">
        <f ca="1">Model!P234/Model!P$237</f>
        <v>3.7695004638483558E-3</v>
      </c>
    </row>
    <row r="46" spans="2:14" x14ac:dyDescent="0.2">
      <c r="C46" s="2" t="s">
        <v>336</v>
      </c>
      <c r="F46" s="507">
        <f>Model!H235/Model!H$237</f>
        <v>0.69900706827228931</v>
      </c>
      <c r="G46" s="507">
        <f>Model!I235/Model!I$237</f>
        <v>0.73061544897838449</v>
      </c>
      <c r="H46" s="507">
        <f>Model!J235/Model!J$237</f>
        <v>0.74225704995842789</v>
      </c>
      <c r="I46" s="507">
        <f ca="1">Model!K235/Model!K$237</f>
        <v>0.76734089748024703</v>
      </c>
      <c r="J46" s="507">
        <f ca="1">Model!L235/Model!L$237</f>
        <v>0.78230133894220866</v>
      </c>
      <c r="K46" s="507">
        <f ca="1">Model!M235/Model!M$237</f>
        <v>0.79725130000617006</v>
      </c>
      <c r="L46" s="507">
        <f ca="1">Model!N235/Model!N$237</f>
        <v>0.77932589721198642</v>
      </c>
      <c r="M46" s="507">
        <f ca="1">Model!O235/Model!O$237</f>
        <v>0.69955290504857293</v>
      </c>
      <c r="N46" s="507">
        <f ca="1">Model!P235/Model!P$237</f>
        <v>0.58778890408551066</v>
      </c>
    </row>
    <row r="47" spans="2:14" x14ac:dyDescent="0.2">
      <c r="C47" s="39"/>
      <c r="F47" s="495"/>
      <c r="G47" s="495"/>
      <c r="H47" s="495"/>
      <c r="I47" s="495"/>
      <c r="J47" s="495"/>
      <c r="K47" s="495"/>
      <c r="L47" s="495"/>
      <c r="M47" s="495"/>
      <c r="N47" s="495"/>
    </row>
    <row r="48" spans="2:14" ht="16" thickBot="1" x14ac:dyDescent="0.25">
      <c r="C48" s="2" t="s">
        <v>337</v>
      </c>
      <c r="F48" s="505">
        <f>Model!H237/Model!H$237</f>
        <v>1</v>
      </c>
      <c r="G48" s="505">
        <f>Model!I237/Model!I$237</f>
        <v>1</v>
      </c>
      <c r="H48" s="505">
        <f>Model!J237/Model!J$237</f>
        <v>1</v>
      </c>
      <c r="I48" s="505">
        <f ca="1">Model!K237/Model!K$237</f>
        <v>1</v>
      </c>
      <c r="J48" s="505">
        <f ca="1">Model!L237/Model!L$237</f>
        <v>1</v>
      </c>
      <c r="K48" s="505">
        <f ca="1">Model!M237/Model!M$237</f>
        <v>1</v>
      </c>
      <c r="L48" s="505">
        <f ca="1">Model!N237/Model!N$237</f>
        <v>1</v>
      </c>
      <c r="M48" s="505">
        <f ca="1">Model!O237/Model!O$237</f>
        <v>1</v>
      </c>
      <c r="N48" s="505">
        <f ca="1">Model!P237/Model!P$237</f>
        <v>1</v>
      </c>
    </row>
    <row r="49" spans="2:14" ht="16" thickTop="1" x14ac:dyDescent="0.2">
      <c r="C49" s="39"/>
      <c r="F49" s="495"/>
      <c r="G49" s="495"/>
      <c r="H49" s="495"/>
      <c r="I49" s="495"/>
      <c r="J49" s="495"/>
      <c r="K49" s="495"/>
      <c r="L49" s="495"/>
      <c r="M49" s="495"/>
      <c r="N49" s="495"/>
    </row>
    <row r="50" spans="2:14" x14ac:dyDescent="0.2">
      <c r="B50" s="2" t="s">
        <v>54</v>
      </c>
      <c r="C50" s="39"/>
      <c r="F50" s="495"/>
      <c r="G50" s="495"/>
      <c r="H50" s="495"/>
      <c r="I50" s="495"/>
      <c r="J50" s="495"/>
      <c r="K50" s="495"/>
      <c r="L50" s="495"/>
      <c r="M50" s="495"/>
      <c r="N50" s="495"/>
    </row>
    <row r="51" spans="2:14" x14ac:dyDescent="0.2">
      <c r="C51" t="s">
        <v>57</v>
      </c>
      <c r="F51" s="495">
        <f>Model!H240/Model!H$237</f>
        <v>8.5448775621862108E-2</v>
      </c>
      <c r="G51" s="495">
        <f>Model!I240/Model!I$237</f>
        <v>9.465339393701086E-2</v>
      </c>
      <c r="H51" s="495">
        <f>Model!J240/Model!J$237</f>
        <v>7.7879499071658032E-2</v>
      </c>
      <c r="I51" s="495">
        <f ca="1">Model!K240/Model!K$237</f>
        <v>4.8496490885547222E-2</v>
      </c>
      <c r="J51" s="495">
        <f ca="1">Model!L240/Model!L$237</f>
        <v>3.8291608076638235E-2</v>
      </c>
      <c r="K51" s="495">
        <f ca="1">Model!M240/Model!M$237</f>
        <v>3.0995342686554267E-2</v>
      </c>
      <c r="L51" s="495">
        <f ca="1">Model!N240/Model!N$237</f>
        <v>2.650204856056251E-2</v>
      </c>
      <c r="M51" s="495">
        <f ca="1">Model!O240/Model!O$237</f>
        <v>2.3122169036081906E-2</v>
      </c>
      <c r="N51" s="495">
        <f ca="1">Model!P240/Model!P$237</f>
        <v>1.9974008552888767E-2</v>
      </c>
    </row>
    <row r="52" spans="2:14" x14ac:dyDescent="0.2">
      <c r="C52" t="s">
        <v>58</v>
      </c>
      <c r="F52" s="495">
        <f>Model!H241/Model!H$237</f>
        <v>3.9224705064779999E-2</v>
      </c>
      <c r="G52" s="495">
        <f>Model!I241/Model!I$237</f>
        <v>2.6373297824140936E-2</v>
      </c>
      <c r="H52" s="495">
        <f>Model!J241/Model!J$237</f>
        <v>2.0627974721478693E-2</v>
      </c>
      <c r="I52" s="495">
        <f ca="1">Model!K241/Model!K$237</f>
        <v>1.9533506214935888E-2</v>
      </c>
      <c r="J52" s="495">
        <f ca="1">Model!L241/Model!L$237</f>
        <v>1.8040698280490181E-2</v>
      </c>
      <c r="K52" s="495">
        <f ca="1">Model!M241/Model!M$237</f>
        <v>1.6662199787967302E-2</v>
      </c>
      <c r="L52" s="495">
        <f ca="1">Model!N241/Model!N$237</f>
        <v>1.7767185575264261E-2</v>
      </c>
      <c r="M52" s="495">
        <f ca="1">Model!O241/Model!O$237</f>
        <v>1.9601110498212445E-2</v>
      </c>
      <c r="N52" s="495">
        <f ca="1">Model!P241/Model!P$237</f>
        <v>1.9342732411557633E-2</v>
      </c>
    </row>
    <row r="53" spans="2:14" x14ac:dyDescent="0.2">
      <c r="C53" t="s">
        <v>59</v>
      </c>
      <c r="F53" s="495">
        <f>Model!H242/Model!H$237</f>
        <v>5.4342899784954277E-5</v>
      </c>
      <c r="G53" s="495">
        <f>Model!I242/Model!I$237</f>
        <v>1.8597691548252507E-4</v>
      </c>
      <c r="H53" s="495">
        <f>Model!J242/Model!J$237</f>
        <v>8.4225451168304421E-4</v>
      </c>
      <c r="I53" s="495">
        <f ca="1">Model!K242/Model!K$237</f>
        <v>8.2974319184317034E-4</v>
      </c>
      <c r="J53" s="495">
        <f ca="1">Model!L242/Model!L$237</f>
        <v>7.984122314187691E-4</v>
      </c>
      <c r="K53" s="495">
        <f ca="1">Model!M242/Model!M$237</f>
        <v>7.5798880408265508E-4</v>
      </c>
      <c r="L53" s="495">
        <f ca="1">Model!N242/Model!N$237</f>
        <v>8.4823842530449276E-4</v>
      </c>
      <c r="M53" s="495">
        <f ca="1">Model!O242/Model!O$237</f>
        <v>9.7530834155434571E-4</v>
      </c>
      <c r="N53" s="495">
        <f ca="1">Model!P242/Model!P$237</f>
        <v>9.7436761677783797E-4</v>
      </c>
    </row>
    <row r="54" spans="2:14" x14ac:dyDescent="0.2">
      <c r="C54" s="2" t="s">
        <v>66</v>
      </c>
      <c r="F54" s="507">
        <f>Model!H243/Model!H$237</f>
        <v>0.12472782358642706</v>
      </c>
      <c r="G54" s="507">
        <f>Model!I243/Model!I$237</f>
        <v>0.12121266867663431</v>
      </c>
      <c r="H54" s="507">
        <f>Model!J243/Model!J$237</f>
        <v>9.9349728304819765E-2</v>
      </c>
      <c r="I54" s="507">
        <f ca="1">Model!K243/Model!K$237</f>
        <v>6.8859740292326277E-2</v>
      </c>
      <c r="J54" s="507">
        <f ca="1">Model!L243/Model!L$237</f>
        <v>5.713071858854718E-2</v>
      </c>
      <c r="K54" s="507">
        <f ca="1">Model!M243/Model!M$237</f>
        <v>4.8415531278604228E-2</v>
      </c>
      <c r="L54" s="507">
        <f ca="1">Model!N243/Model!N$237</f>
        <v>4.5117472561131258E-2</v>
      </c>
      <c r="M54" s="507">
        <f ca="1">Model!O243/Model!O$237</f>
        <v>4.3698587875848696E-2</v>
      </c>
      <c r="N54" s="507">
        <f ca="1">Model!P243/Model!P$237</f>
        <v>4.0291108581224241E-2</v>
      </c>
    </row>
    <row r="55" spans="2:14" x14ac:dyDescent="0.2">
      <c r="C55" s="39"/>
      <c r="F55" s="495"/>
      <c r="G55" s="495"/>
      <c r="H55" s="495"/>
      <c r="I55" s="495"/>
      <c r="J55" s="495"/>
      <c r="K55" s="495"/>
      <c r="L55" s="495"/>
      <c r="M55" s="495"/>
      <c r="N55" s="495"/>
    </row>
    <row r="56" spans="2:14" x14ac:dyDescent="0.2">
      <c r="C56" t="s">
        <v>60</v>
      </c>
      <c r="F56" s="495">
        <f>Model!H245/Model!H$237</f>
        <v>0.28904988395617182</v>
      </c>
      <c r="G56" s="495">
        <f>Model!I245/Model!I$237</f>
        <v>0.24484303725454146</v>
      </c>
      <c r="H56" s="495">
        <f>Model!J245/Model!J$237</f>
        <v>0.31098069599469641</v>
      </c>
      <c r="I56" s="495">
        <f ca="1">Model!K245/Model!K$237</f>
        <v>0.34775414740768207</v>
      </c>
      <c r="J56" s="495">
        <f ca="1">Model!L245/Model!L$237</f>
        <v>0.37999059726701701</v>
      </c>
      <c r="K56" s="495">
        <f ca="1">Model!M245/Model!M$237</f>
        <v>0.39741937219104639</v>
      </c>
      <c r="L56" s="495">
        <f ca="1">Model!N245/Model!N$237</f>
        <v>0.35880774956641909</v>
      </c>
      <c r="M56" s="495">
        <f ca="1">Model!O245/Model!O$237</f>
        <v>0.28861328684531606</v>
      </c>
      <c r="N56" s="495">
        <f ca="1">Model!P245/Model!P$237</f>
        <v>0.23604969113163995</v>
      </c>
    </row>
    <row r="57" spans="2:14" x14ac:dyDescent="0.2">
      <c r="C57" t="s">
        <v>61</v>
      </c>
      <c r="F57" s="495">
        <f>Model!H246/Model!H$237</f>
        <v>4.6843579614630586E-3</v>
      </c>
      <c r="G57" s="495">
        <f>Model!I246/Model!I$237</f>
        <v>1.2309900596224278E-3</v>
      </c>
      <c r="H57" s="495">
        <f>Model!J246/Model!J$237</f>
        <v>1.1036438428950234E-3</v>
      </c>
      <c r="I57" s="495">
        <f ca="1">Model!K246/Model!K$237</f>
        <v>9.1764802870698099E-4</v>
      </c>
      <c r="J57" s="495">
        <f ca="1">Model!L246/Model!L$237</f>
        <v>7.2455177737445673E-4</v>
      </c>
      <c r="K57" s="495">
        <f ca="1">Model!M246/Model!M$237</f>
        <v>5.8649223059333358E-4</v>
      </c>
      <c r="L57" s="495">
        <f ca="1">Model!N246/Model!N$237</f>
        <v>5.0147035742630411E-4</v>
      </c>
      <c r="M57" s="495">
        <f ca="1">Model!O246/Model!O$237</f>
        <v>4.3751645630330508E-4</v>
      </c>
      <c r="N57" s="495">
        <f ca="1">Model!P246/Model!P$237</f>
        <v>3.7794713059119791E-4</v>
      </c>
    </row>
    <row r="58" spans="2:14" x14ac:dyDescent="0.2">
      <c r="C58" t="s">
        <v>62</v>
      </c>
      <c r="F58" s="495">
        <f>Model!H247/Model!H$237</f>
        <v>1.728104213161546E-3</v>
      </c>
      <c r="G58" s="495">
        <f>Model!I247/Model!I$237</f>
        <v>1.0273010569510908E-2</v>
      </c>
      <c r="H58" s="495">
        <f>Model!J247/Model!J$237</f>
        <v>8.0958084528154669E-3</v>
      </c>
      <c r="I58" s="495">
        <f ca="1">Model!K247/Model!K$237</f>
        <v>6.7299219736914936E-3</v>
      </c>
      <c r="J58" s="495">
        <f ca="1">Model!L247/Model!L$237</f>
        <v>5.3137769330801029E-3</v>
      </c>
      <c r="K58" s="495">
        <f ca="1">Model!M247/Model!M$237</f>
        <v>4.3012645661442009E-3</v>
      </c>
      <c r="L58" s="495">
        <f ca="1">Model!N247/Model!N$237</f>
        <v>3.6777242167169246E-3</v>
      </c>
      <c r="M58" s="495">
        <f ca="1">Model!O247/Model!O$237</f>
        <v>3.2086938793691403E-3</v>
      </c>
      <c r="N58" s="495">
        <f ca="1">Model!P247/Model!P$237</f>
        <v>2.7718194988588015E-3</v>
      </c>
    </row>
    <row r="59" spans="2:14" x14ac:dyDescent="0.2">
      <c r="C59" t="s">
        <v>63</v>
      </c>
      <c r="F59" s="495">
        <f>Model!H248/Model!H$237</f>
        <v>-1.9998187120863174E-3</v>
      </c>
      <c r="G59" s="495">
        <f>Model!I248/Model!I$237</f>
        <v>-1.2309900596224278E-3</v>
      </c>
      <c r="H59" s="495">
        <f>Model!J248/Model!J$237</f>
        <v>-1.1036438428950234E-3</v>
      </c>
      <c r="I59" s="495">
        <f ca="1">Model!K248/Model!K$237</f>
        <v>-9.1764802870698099E-4</v>
      </c>
      <c r="J59" s="495">
        <f ca="1">Model!L248/Model!L$237</f>
        <v>-7.2455177737445673E-4</v>
      </c>
      <c r="K59" s="495">
        <f ca="1">Model!M248/Model!M$237</f>
        <v>-5.8649223059333358E-4</v>
      </c>
      <c r="L59" s="495">
        <f ca="1">Model!N248/Model!N$237</f>
        <v>-5.0147035742630411E-4</v>
      </c>
      <c r="M59" s="495">
        <f ca="1">Model!O248/Model!O$237</f>
        <v>-4.3751645630330508E-4</v>
      </c>
      <c r="N59" s="495">
        <f ca="1">Model!P248/Model!P$237</f>
        <v>-3.7794713059119791E-4</v>
      </c>
    </row>
    <row r="60" spans="2:14" x14ac:dyDescent="0.2">
      <c r="C60" t="s">
        <v>338</v>
      </c>
      <c r="F60" s="495">
        <f>Model!H249/Model!H$237</f>
        <v>0</v>
      </c>
      <c r="G60" s="495">
        <f>Model!I249/Model!I$237</f>
        <v>0</v>
      </c>
      <c r="H60" s="495">
        <f>Model!J249/Model!J$237</f>
        <v>4.2309856704774572E-2</v>
      </c>
      <c r="I60" s="495">
        <f ca="1">Model!K249/Model!K$237</f>
        <v>4.3142834046013073E-2</v>
      </c>
      <c r="J60" s="495">
        <f ca="1">Model!L249/Model!L$237</f>
        <v>3.9082327668930099E-2</v>
      </c>
      <c r="K60" s="495">
        <f ca="1">Model!M249/Model!M$237</f>
        <v>3.6480410865799631E-2</v>
      </c>
      <c r="L60" s="495">
        <f ca="1">Model!N249/Model!N$237</f>
        <v>3.796057857792963E-2</v>
      </c>
      <c r="M60" s="495">
        <f ca="1">Model!O249/Model!O$237</f>
        <v>4.186956365013686E-2</v>
      </c>
      <c r="N60" s="495">
        <f ca="1">Model!P249/Model!P$237</f>
        <v>4.399648019705947E-2</v>
      </c>
    </row>
    <row r="61" spans="2:14" x14ac:dyDescent="0.2">
      <c r="C61" t="s">
        <v>64</v>
      </c>
      <c r="F61" s="495">
        <f>Model!H250/Model!H$237</f>
        <v>0.11556408908148971</v>
      </c>
      <c r="G61" s="495">
        <f>Model!I250/Model!I$237</f>
        <v>0.11291588423521511</v>
      </c>
      <c r="H61" s="495">
        <f>Model!J250/Model!J$237</f>
        <v>5.7132160420168832E-2</v>
      </c>
      <c r="I61" s="495">
        <f ca="1">Model!K250/Model!K$237</f>
        <v>4.7503743823564024E-2</v>
      </c>
      <c r="J61" s="495">
        <f ca="1">Model!L250/Model!L$237</f>
        <v>3.7507759993559223E-2</v>
      </c>
      <c r="K61" s="495">
        <f ca="1">Model!M250/Model!M$237</f>
        <v>3.0360852750780185E-2</v>
      </c>
      <c r="L61" s="495">
        <f ca="1">Model!N250/Model!N$237</f>
        <v>2.5959538569331878E-2</v>
      </c>
      <c r="M61" s="495">
        <f ca="1">Model!O250/Model!O$237</f>
        <v>2.2648846843937687E-2</v>
      </c>
      <c r="N61" s="495">
        <f ca="1">Model!P250/Model!P$237</f>
        <v>1.9565130756891015E-2</v>
      </c>
    </row>
    <row r="62" spans="2:14" x14ac:dyDescent="0.2">
      <c r="C62" s="2" t="s">
        <v>67</v>
      </c>
      <c r="F62" s="507">
        <f>Model!H251/Model!H$237</f>
        <v>0.40902661650019984</v>
      </c>
      <c r="G62" s="507">
        <f>Model!I251/Model!I$237</f>
        <v>0.36803193205926749</v>
      </c>
      <c r="H62" s="507">
        <f>Model!J251/Model!J$237</f>
        <v>0.41851852157245528</v>
      </c>
      <c r="I62" s="507">
        <f ca="1">Model!K251/Model!K$237</f>
        <v>0.4451306472509507</v>
      </c>
      <c r="J62" s="507">
        <f ca="1">Model!L251/Model!L$237</f>
        <v>0.46189446186258643</v>
      </c>
      <c r="K62" s="507">
        <f ca="1">Model!M251/Model!M$237</f>
        <v>0.46856190037377043</v>
      </c>
      <c r="L62" s="507">
        <f ca="1">Model!N251/Model!N$237</f>
        <v>0.42640559093039754</v>
      </c>
      <c r="M62" s="507">
        <f ca="1">Model!O251/Model!O$237</f>
        <v>0.35634039121875971</v>
      </c>
      <c r="N62" s="507">
        <f ca="1">Model!P251/Model!P$237</f>
        <v>0.30238312158444924</v>
      </c>
    </row>
    <row r="63" spans="2:14" x14ac:dyDescent="0.2">
      <c r="C63" s="39"/>
      <c r="F63" s="495"/>
      <c r="G63" s="495"/>
      <c r="H63" s="495"/>
      <c r="I63" s="495"/>
      <c r="J63" s="495"/>
      <c r="K63" s="495"/>
      <c r="L63" s="495"/>
      <c r="M63" s="495"/>
      <c r="N63" s="495"/>
    </row>
    <row r="64" spans="2:14" x14ac:dyDescent="0.2">
      <c r="C64" t="s">
        <v>55</v>
      </c>
      <c r="F64" s="495">
        <f>Model!H253/Model!H$237</f>
        <v>4.1919460779316312E-2</v>
      </c>
      <c r="G64" s="495">
        <f>Model!I253/Model!I$237</f>
        <v>3.415722878100811E-2</v>
      </c>
      <c r="H64" s="495">
        <f>Model!J253/Model!J$237</f>
        <v>2.8004526864575864E-2</v>
      </c>
      <c r="I64" s="495">
        <f ca="1">Model!K253/Model!K$237</f>
        <v>2.3284956498954627E-2</v>
      </c>
      <c r="J64" s="495">
        <f ca="1">Model!L253/Model!L$237</f>
        <v>1.8385215343596297E-2</v>
      </c>
      <c r="K64" s="495">
        <f ca="1">Model!M253/Model!M$237</f>
        <v>1.4882008841214815E-2</v>
      </c>
      <c r="L64" s="495">
        <f ca="1">Model!N253/Model!N$237</f>
        <v>1.2724612370867168E-2</v>
      </c>
      <c r="M64" s="495">
        <f ca="1">Model!O253/Model!O$237</f>
        <v>1.1101807374832035E-2</v>
      </c>
      <c r="N64" s="495">
        <f ca="1">Model!P253/Model!P$237</f>
        <v>9.5902592490948353E-3</v>
      </c>
    </row>
    <row r="65" spans="3:14" x14ac:dyDescent="0.2">
      <c r="C65" t="s">
        <v>56</v>
      </c>
      <c r="F65" s="495">
        <f>Model!H254/Model!H$237</f>
        <v>0.42432609913405678</v>
      </c>
      <c r="G65" s="495">
        <f>Model!I254/Model!I$237</f>
        <v>0.4648550566769078</v>
      </c>
      <c r="H65" s="495">
        <f>Model!J254/Model!J$237</f>
        <v>0.44349012964077272</v>
      </c>
      <c r="I65" s="495">
        <f ca="1">Model!K254/Model!K$237</f>
        <v>0.45935693354084911</v>
      </c>
      <c r="J65" s="495">
        <f ca="1">Model!L254/Model!L$237</f>
        <v>0.45392663387331184</v>
      </c>
      <c r="K65" s="495">
        <f ca="1">Model!M254/Model!M$237</f>
        <v>0.45597663861935978</v>
      </c>
      <c r="L65" s="495">
        <f ca="1">Model!N254/Model!N$237</f>
        <v>0.49637977427256341</v>
      </c>
      <c r="M65" s="495">
        <f ca="1">Model!O254/Model!O$237</f>
        <v>0.56140520019777673</v>
      </c>
      <c r="N65" s="495">
        <f ca="1">Model!P254/Model!P$237</f>
        <v>0.61603004295361685</v>
      </c>
    </row>
    <row r="66" spans="3:14" x14ac:dyDescent="0.2">
      <c r="C66" s="2" t="s">
        <v>68</v>
      </c>
      <c r="F66" s="507">
        <f>Model!H255/Model!H$237</f>
        <v>0.46624555991337313</v>
      </c>
      <c r="G66" s="507">
        <f>Model!I255/Model!I$237</f>
        <v>0.49901228545791593</v>
      </c>
      <c r="H66" s="507">
        <f>Model!J255/Model!J$237</f>
        <v>0.47149465650534861</v>
      </c>
      <c r="I66" s="507">
        <f ca="1">Model!K255/Model!K$237</f>
        <v>0.48264189003980373</v>
      </c>
      <c r="J66" s="507">
        <f ca="1">Model!L255/Model!L$237</f>
        <v>0.47231184921690811</v>
      </c>
      <c r="K66" s="507">
        <f ca="1">Model!M255/Model!M$237</f>
        <v>0.4708586474605746</v>
      </c>
      <c r="L66" s="507">
        <f ca="1">Model!N255/Model!N$237</f>
        <v>0.50910438664343061</v>
      </c>
      <c r="M66" s="507">
        <f ca="1">Model!O255/Model!O$237</f>
        <v>0.57250700757260875</v>
      </c>
      <c r="N66" s="507">
        <f ca="1">Model!P255/Model!P$237</f>
        <v>0.6256203022027117</v>
      </c>
    </row>
    <row r="67" spans="3:14" x14ac:dyDescent="0.2">
      <c r="C67" s="39"/>
      <c r="F67" s="495"/>
      <c r="G67" s="495"/>
      <c r="H67" s="495"/>
      <c r="I67" s="495"/>
      <c r="J67" s="495"/>
      <c r="K67" s="495"/>
      <c r="L67" s="495"/>
      <c r="M67" s="495"/>
      <c r="N67" s="495"/>
    </row>
    <row r="68" spans="3:14" x14ac:dyDescent="0.2">
      <c r="C68" t="s">
        <v>65</v>
      </c>
      <c r="F68" s="495">
        <f>Model!H257/Model!H$237</f>
        <v>0</v>
      </c>
      <c r="G68" s="495">
        <f>Model!I257/Model!I$237</f>
        <v>1.1743113806182297E-2</v>
      </c>
      <c r="H68" s="495">
        <f>Model!J257/Model!J$237</f>
        <v>1.0637093617376376E-2</v>
      </c>
      <c r="I68" s="495">
        <f ca="1">Model!K257/Model!K$237</f>
        <v>9.8257448276245687E-3</v>
      </c>
      <c r="J68" s="495">
        <f ca="1">Model!L257/Model!L$237</f>
        <v>8.726240180110003E-3</v>
      </c>
      <c r="K68" s="495">
        <f ca="1">Model!M257/Model!M$237</f>
        <v>8.0030714543924651E-3</v>
      </c>
      <c r="L68" s="495">
        <f ca="1">Model!N257/Model!N$237</f>
        <v>7.9730570876190149E-3</v>
      </c>
      <c r="M68" s="495">
        <f ca="1">Model!O257/Model!O$237</f>
        <v>8.3179957675025232E-3</v>
      </c>
      <c r="N68" s="495">
        <f ca="1">Model!P257/Model!P$237</f>
        <v>8.576227164290285E-3</v>
      </c>
    </row>
    <row r="69" spans="3:14" x14ac:dyDescent="0.2">
      <c r="C69" s="39"/>
      <c r="F69" s="495"/>
      <c r="G69" s="495"/>
      <c r="H69" s="495"/>
      <c r="I69" s="495"/>
      <c r="J69" s="495"/>
      <c r="K69" s="495"/>
      <c r="L69" s="495"/>
      <c r="M69" s="495"/>
      <c r="N69" s="495"/>
    </row>
    <row r="70" spans="3:14" ht="16" thickBot="1" x14ac:dyDescent="0.25">
      <c r="C70" s="2" t="s">
        <v>339</v>
      </c>
      <c r="F70" s="505">
        <f>Model!H259/Model!H$237</f>
        <v>1</v>
      </c>
      <c r="G70" s="505">
        <f>Model!I259/Model!I$237</f>
        <v>1</v>
      </c>
      <c r="H70" s="505">
        <f>Model!J259/Model!J$237</f>
        <v>1</v>
      </c>
      <c r="I70" s="505">
        <f ca="1">Model!K259/Model!K$237</f>
        <v>1.0064580224107054</v>
      </c>
      <c r="J70" s="505">
        <f ca="1">Model!L259/Model!L$237</f>
        <v>1.0000632698481515</v>
      </c>
      <c r="K70" s="505">
        <f ca="1">Model!M259/Model!M$237</f>
        <v>0.99583915056734162</v>
      </c>
      <c r="L70" s="505">
        <f ca="1">Model!N259/Model!N$237</f>
        <v>0.98860050722257831</v>
      </c>
      <c r="M70" s="505">
        <f ca="1">Model!O259/Model!O$237</f>
        <v>0.98086398243471962</v>
      </c>
      <c r="N70" s="505">
        <f ca="1">Model!P259/Model!P$237</f>
        <v>0.97687075953267544</v>
      </c>
    </row>
    <row r="71" spans="3:14" ht="16" thickTop="1" x14ac:dyDescent="0.2"/>
  </sheetData>
  <printOptions horizontalCentered="1" verticalCentered="1"/>
  <pageMargins left="0.25" right="0.25" top="0.25" bottom="0.25" header="0" footer="0"/>
  <pageSetup paperSize="9" scale="67" orientation="portrait" horizontalDpi="0" verticalDpi="0"/>
  <rowBreaks count="1" manualBreakCount="1">
    <brk id="26" max="1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7FFE9-971D-1D4A-A900-F505F61B5BF9}">
  <sheetPr>
    <pageSetUpPr fitToPage="1"/>
  </sheetPr>
  <dimension ref="B1:N11"/>
  <sheetViews>
    <sheetView showGridLines="0" zoomScale="150" zoomScaleNormal="150" workbookViewId="0">
      <selection activeCell="J22" sqref="J22"/>
    </sheetView>
  </sheetViews>
  <sheetFormatPr baseColWidth="10" defaultRowHeight="15" x14ac:dyDescent="0.2"/>
  <cols>
    <col min="1" max="1" width="3.83203125" customWidth="1"/>
    <col min="12" max="12" width="11.6640625" bestFit="1" customWidth="1"/>
  </cols>
  <sheetData>
    <row r="1" spans="2:14" ht="21" x14ac:dyDescent="0.25">
      <c r="B1" s="381" t="str">
        <f>Cover!B11</f>
        <v>Adani Power</v>
      </c>
      <c r="C1" s="5"/>
      <c r="D1" s="5"/>
      <c r="E1" s="5"/>
      <c r="F1" s="5"/>
      <c r="G1" s="5"/>
      <c r="H1" s="5"/>
      <c r="I1" s="5"/>
      <c r="J1" s="5"/>
      <c r="K1" s="5"/>
      <c r="L1" s="5"/>
      <c r="M1" s="5"/>
      <c r="N1" s="5"/>
    </row>
    <row r="2" spans="2:14" ht="19" x14ac:dyDescent="0.25">
      <c r="B2" s="492" t="s">
        <v>601</v>
      </c>
      <c r="C2" s="491"/>
      <c r="D2" s="491"/>
      <c r="E2" s="491"/>
      <c r="F2" s="491"/>
      <c r="G2" s="491"/>
      <c r="H2" s="491"/>
      <c r="I2" s="491"/>
      <c r="J2" s="491"/>
      <c r="K2" s="491"/>
      <c r="L2" s="491"/>
      <c r="M2" s="491"/>
      <c r="N2" s="491"/>
    </row>
    <row r="3" spans="2:14" ht="3" customHeight="1" thickBot="1" x14ac:dyDescent="0.25">
      <c r="B3" s="1"/>
      <c r="C3" s="1"/>
      <c r="D3" s="1"/>
      <c r="E3" s="1"/>
      <c r="F3" s="1"/>
      <c r="G3" s="1"/>
      <c r="H3" s="1"/>
      <c r="I3" s="1"/>
      <c r="J3" s="1"/>
      <c r="K3" s="1"/>
      <c r="L3" s="1"/>
      <c r="M3" s="1"/>
      <c r="N3" s="1"/>
    </row>
    <row r="4" spans="2:14" ht="16" thickTop="1" x14ac:dyDescent="0.2"/>
    <row r="5" spans="2:14" x14ac:dyDescent="0.2">
      <c r="I5" s="474" t="str">
        <f>B2 &amp; " - Data Table"</f>
        <v>Football Field Analysis - Data Table</v>
      </c>
      <c r="J5" s="13"/>
      <c r="K5" s="13"/>
      <c r="L5" s="13"/>
      <c r="M5" s="13"/>
      <c r="N5" s="14"/>
    </row>
    <row r="6" spans="2:14" x14ac:dyDescent="0.2">
      <c r="I6" s="58"/>
      <c r="K6" s="579" t="s">
        <v>607</v>
      </c>
      <c r="L6" s="579" t="s">
        <v>588</v>
      </c>
      <c r="M6" s="579" t="s">
        <v>608</v>
      </c>
      <c r="N6" s="580" t="s">
        <v>585</v>
      </c>
    </row>
    <row r="7" spans="2:14" x14ac:dyDescent="0.2">
      <c r="I7" s="58" t="s">
        <v>602</v>
      </c>
      <c r="K7" s="365">
        <f>L7</f>
        <v>54.800548580863648</v>
      </c>
      <c r="L7" s="365">
        <f>MIN('Comp Valuation'!N34:P34)</f>
        <v>54.800548580863648</v>
      </c>
      <c r="M7" s="365">
        <f>N7</f>
        <v>182.31043125268769</v>
      </c>
      <c r="N7" s="429">
        <f>MAX('Comp Valuation'!N34:P34)</f>
        <v>182.31043125268769</v>
      </c>
    </row>
    <row r="8" spans="2:14" x14ac:dyDescent="0.2">
      <c r="I8" s="58" t="s">
        <v>603</v>
      </c>
      <c r="K8" s="365">
        <f t="shared" ref="K8:K11" si="0">L8</f>
        <v>181.36418302463369</v>
      </c>
      <c r="L8" s="365">
        <v>181.36418302463369</v>
      </c>
      <c r="M8" s="365">
        <f t="shared" ref="M8:M11" si="1">N8</f>
        <v>245.18773521665318</v>
      </c>
      <c r="N8" s="429">
        <v>245.18773521665318</v>
      </c>
    </row>
    <row r="9" spans="2:14" x14ac:dyDescent="0.2">
      <c r="I9" s="58" t="s">
        <v>604</v>
      </c>
      <c r="K9" s="365">
        <f t="shared" si="0"/>
        <v>382.06338392497622</v>
      </c>
      <c r="L9" s="365">
        <v>382.06338392497622</v>
      </c>
      <c r="M9" s="365">
        <f t="shared" si="1"/>
        <v>594.67445279724939</v>
      </c>
      <c r="N9" s="429">
        <v>594.67445279724939</v>
      </c>
    </row>
    <row r="10" spans="2:14" x14ac:dyDescent="0.2">
      <c r="I10" s="58" t="s">
        <v>605</v>
      </c>
      <c r="K10" s="365">
        <f t="shared" si="0"/>
        <v>611.72044940892238</v>
      </c>
      <c r="L10" s="365">
        <v>611.72044940892238</v>
      </c>
      <c r="M10" s="365">
        <f t="shared" si="1"/>
        <v>1243.5243877585531</v>
      </c>
      <c r="N10" s="429">
        <v>1243.5243877585531</v>
      </c>
    </row>
    <row r="11" spans="2:14" x14ac:dyDescent="0.2">
      <c r="I11" s="24" t="s">
        <v>606</v>
      </c>
      <c r="J11" s="25"/>
      <c r="K11" s="577">
        <f t="shared" si="0"/>
        <v>128.1</v>
      </c>
      <c r="L11" s="577">
        <v>128.1</v>
      </c>
      <c r="M11" s="577">
        <f t="shared" si="1"/>
        <v>254.2</v>
      </c>
      <c r="N11" s="578">
        <v>254.2</v>
      </c>
    </row>
  </sheetData>
  <printOptions horizontalCentered="1" verticalCentered="1"/>
  <pageMargins left="0.25" right="0.25" top="0.25" bottom="0.25" header="0" footer="0"/>
  <pageSetup paperSize="9" scale="92" orientation="landscape" horizontalDpi="0" verticalDpi="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E191-5994-D446-BD1A-5F2DC36DF874}">
  <dimension ref="B1:M10009"/>
  <sheetViews>
    <sheetView showGridLines="0" topLeftCell="F20" zoomScale="200" zoomScaleNormal="125" zoomScaleSheetLayoutView="38" workbookViewId="0">
      <selection activeCell="P33" sqref="P33"/>
    </sheetView>
  </sheetViews>
  <sheetFormatPr baseColWidth="10" defaultRowHeight="15" x14ac:dyDescent="0.2"/>
  <cols>
    <col min="1" max="1" width="3.83203125" customWidth="1"/>
    <col min="4" max="4" width="13.83203125" bestFit="1" customWidth="1"/>
    <col min="5" max="5" width="3.83203125" customWidth="1"/>
    <col min="6" max="6" width="10.5" bestFit="1" customWidth="1"/>
    <col min="7" max="7" width="15.33203125" bestFit="1" customWidth="1"/>
    <col min="8" max="8" width="3.83203125" customWidth="1"/>
  </cols>
  <sheetData>
    <row r="1" spans="2:13" ht="20" x14ac:dyDescent="0.2">
      <c r="B1" s="243" t="str">
        <f>Cover!B11</f>
        <v>Adani Power</v>
      </c>
      <c r="C1" s="5"/>
      <c r="D1" s="5"/>
      <c r="E1" s="5"/>
      <c r="F1" s="212"/>
      <c r="G1" s="5"/>
      <c r="H1" s="5"/>
      <c r="I1" s="5"/>
      <c r="J1" s="5"/>
      <c r="K1" s="5"/>
      <c r="L1" s="5"/>
      <c r="M1" s="5"/>
    </row>
    <row r="2" spans="2:13" ht="18" x14ac:dyDescent="0.2">
      <c r="B2" s="488" t="s">
        <v>611</v>
      </c>
      <c r="C2" s="489"/>
      <c r="D2" s="489"/>
      <c r="E2" s="489"/>
      <c r="F2" s="490"/>
      <c r="G2" s="489"/>
      <c r="H2" s="489"/>
      <c r="I2" s="489"/>
      <c r="J2" s="489"/>
      <c r="K2" s="489"/>
      <c r="L2" s="489"/>
      <c r="M2" s="489"/>
    </row>
    <row r="3" spans="2:13" ht="3" customHeight="1" thickBot="1" x14ac:dyDescent="0.25">
      <c r="B3" s="216"/>
      <c r="C3" s="217"/>
      <c r="D3" s="217"/>
      <c r="E3" s="217"/>
      <c r="F3" s="218"/>
      <c r="G3" s="217"/>
      <c r="H3" s="217"/>
      <c r="I3" s="217"/>
      <c r="J3" s="217"/>
      <c r="K3" s="217"/>
      <c r="L3" s="217"/>
      <c r="M3" s="217"/>
    </row>
    <row r="5" spans="2:13" x14ac:dyDescent="0.2">
      <c r="B5" s="410" t="s">
        <v>612</v>
      </c>
      <c r="C5" s="423"/>
      <c r="D5" s="411"/>
      <c r="F5" s="410" t="s">
        <v>615</v>
      </c>
      <c r="G5" s="411"/>
      <c r="I5" s="410" t="str">
        <f>"Calculation of Value at Risk - " &amp; B1</f>
        <v>Calculation of Value at Risk - Adani Power</v>
      </c>
      <c r="J5" s="423"/>
      <c r="K5" s="423"/>
      <c r="L5" s="423"/>
      <c r="M5" s="411"/>
    </row>
    <row r="6" spans="2:13" ht="3" customHeight="1" x14ac:dyDescent="0.2">
      <c r="B6" s="7"/>
      <c r="C6" s="7"/>
      <c r="D6" s="7"/>
      <c r="F6" s="15"/>
      <c r="G6" s="16"/>
      <c r="I6" s="15"/>
      <c r="J6" s="7"/>
      <c r="K6" s="7"/>
      <c r="L6" s="7"/>
      <c r="M6" s="16"/>
    </row>
    <row r="7" spans="2:13" ht="3" customHeight="1" x14ac:dyDescent="0.2">
      <c r="B7" s="8"/>
      <c r="C7" s="8"/>
      <c r="D7" s="8"/>
      <c r="F7" s="17"/>
      <c r="G7" s="18"/>
      <c r="I7" s="17"/>
      <c r="J7" s="8"/>
      <c r="K7" s="8"/>
      <c r="L7" s="8"/>
      <c r="M7" s="18"/>
    </row>
    <row r="8" spans="2:13" ht="3" customHeight="1" x14ac:dyDescent="0.2">
      <c r="B8" s="9"/>
      <c r="C8" s="9"/>
      <c r="D8" s="9"/>
      <c r="F8" s="19"/>
      <c r="G8" s="20"/>
      <c r="I8" s="19"/>
      <c r="J8" s="9"/>
      <c r="K8" s="9"/>
      <c r="L8" s="9"/>
      <c r="M8" s="20"/>
    </row>
    <row r="9" spans="2:13" x14ac:dyDescent="0.2">
      <c r="B9" s="424" t="s">
        <v>472</v>
      </c>
      <c r="C9" s="403" t="s">
        <v>473</v>
      </c>
      <c r="D9" s="425" t="s">
        <v>474</v>
      </c>
      <c r="F9" s="424" t="s">
        <v>613</v>
      </c>
      <c r="G9" s="425" t="s">
        <v>614</v>
      </c>
      <c r="I9" s="58"/>
      <c r="M9" s="22"/>
    </row>
    <row r="10" spans="2:13" ht="16" thickBot="1" x14ac:dyDescent="0.25">
      <c r="B10" s="426">
        <v>44465</v>
      </c>
      <c r="C10" s="394">
        <v>19.39</v>
      </c>
      <c r="D10" s="420">
        <v>1.1476264997391628E-2</v>
      </c>
      <c r="F10" s="591">
        <v>1</v>
      </c>
      <c r="G10" s="420">
        <f ca="1">_xlfn.NORM.INV(RAND(), $M$11,$M$12)</f>
        <v>3.2949953480342041E-2</v>
      </c>
      <c r="I10" s="602" t="s">
        <v>616</v>
      </c>
      <c r="J10" s="594"/>
      <c r="K10" s="594"/>
      <c r="L10" s="594"/>
      <c r="M10" s="603"/>
    </row>
    <row r="11" spans="2:13" x14ac:dyDescent="0.2">
      <c r="B11" s="426">
        <v>44472</v>
      </c>
      <c r="C11" s="394">
        <v>20.32</v>
      </c>
      <c r="D11" s="420">
        <v>4.7962867457452374E-2</v>
      </c>
      <c r="F11" s="591">
        <v>2</v>
      </c>
      <c r="G11" s="420">
        <f t="shared" ref="G11:G74" ca="1" si="0">_xlfn.NORM.INV(RAND(), $M$11,$M$12)</f>
        <v>5.7335030430133438E-2</v>
      </c>
      <c r="I11" s="604" t="s">
        <v>617</v>
      </c>
      <c r="J11" s="232"/>
      <c r="K11" s="232"/>
      <c r="L11" s="232"/>
      <c r="M11" s="605">
        <f>AVERAGE(D10:D269)</f>
        <v>1.1370955764805412E-2</v>
      </c>
    </row>
    <row r="12" spans="2:13" x14ac:dyDescent="0.2">
      <c r="B12" s="426">
        <v>44479</v>
      </c>
      <c r="C12" s="394">
        <v>22.4</v>
      </c>
      <c r="D12" s="420">
        <v>0.10236220472440927</v>
      </c>
      <c r="F12" s="591">
        <v>3</v>
      </c>
      <c r="G12" s="420">
        <f t="shared" ca="1" si="0"/>
        <v>-3.9357533408514375E-2</v>
      </c>
      <c r="I12" s="606" t="s">
        <v>621</v>
      </c>
      <c r="J12" s="592"/>
      <c r="K12" s="592"/>
      <c r="L12" s="592"/>
      <c r="M12" s="607">
        <f>STDEV(D10:D269)</f>
        <v>6.9106795500676763E-2</v>
      </c>
    </row>
    <row r="13" spans="2:13" x14ac:dyDescent="0.2">
      <c r="B13" s="426">
        <v>44486</v>
      </c>
      <c r="C13" s="394">
        <v>23.41</v>
      </c>
      <c r="D13" s="420">
        <v>4.5089285714285721E-2</v>
      </c>
      <c r="F13" s="591">
        <v>4</v>
      </c>
      <c r="G13" s="420">
        <f t="shared" ca="1" si="0"/>
        <v>-1.7250850947447379E-2</v>
      </c>
      <c r="I13" s="606" t="s">
        <v>618</v>
      </c>
      <c r="J13" s="592"/>
      <c r="K13" s="592"/>
      <c r="L13" s="592"/>
      <c r="M13" s="607">
        <f>MIN(D10:D269)</f>
        <v>-0.22585198628755798</v>
      </c>
    </row>
    <row r="14" spans="2:13" x14ac:dyDescent="0.2">
      <c r="B14" s="426">
        <v>44493</v>
      </c>
      <c r="C14" s="394">
        <v>20.100000000000001</v>
      </c>
      <c r="D14" s="420">
        <v>-0.14139256727894056</v>
      </c>
      <c r="F14" s="591">
        <v>5</v>
      </c>
      <c r="G14" s="420">
        <f t="shared" ca="1" si="0"/>
        <v>9.2379920774811997E-2</v>
      </c>
      <c r="I14" s="606" t="s">
        <v>619</v>
      </c>
      <c r="J14" s="592"/>
      <c r="K14" s="592"/>
      <c r="L14" s="592"/>
      <c r="M14" s="607">
        <f>MAX(D10:D269)</f>
        <v>0.420740223463687</v>
      </c>
    </row>
    <row r="15" spans="2:13" x14ac:dyDescent="0.2">
      <c r="B15" s="426">
        <v>44500</v>
      </c>
      <c r="C15" s="394">
        <v>21.08</v>
      </c>
      <c r="D15" s="420">
        <v>4.8756218905472437E-2</v>
      </c>
      <c r="F15" s="591">
        <v>6</v>
      </c>
      <c r="G15" s="420">
        <f t="shared" ca="1" si="0"/>
        <v>4.7746142722744883E-2</v>
      </c>
      <c r="I15" s="608" t="s">
        <v>578</v>
      </c>
      <c r="J15" s="593"/>
      <c r="K15" s="593"/>
      <c r="L15" s="593"/>
      <c r="M15" s="609">
        <f>Assumptions!O8</f>
        <v>202.71</v>
      </c>
    </row>
    <row r="16" spans="2:13" x14ac:dyDescent="0.2">
      <c r="B16" s="426">
        <v>44507</v>
      </c>
      <c r="C16" s="394">
        <v>21.69</v>
      </c>
      <c r="D16" s="420">
        <v>2.8937381404174678E-2</v>
      </c>
      <c r="F16" s="591">
        <v>7</v>
      </c>
      <c r="G16" s="420">
        <f t="shared" ca="1" si="0"/>
        <v>-0.10717095364195588</v>
      </c>
      <c r="I16" s="58"/>
      <c r="M16" s="22"/>
    </row>
    <row r="17" spans="2:13" ht="16" thickBot="1" x14ac:dyDescent="0.25">
      <c r="B17" s="426">
        <v>44514</v>
      </c>
      <c r="C17" s="394">
        <v>20.58</v>
      </c>
      <c r="D17" s="420">
        <v>-5.1175656984785767E-2</v>
      </c>
      <c r="F17" s="591">
        <v>8</v>
      </c>
      <c r="G17" s="420">
        <f t="shared" ca="1" si="0"/>
        <v>7.9807528594367946E-2</v>
      </c>
      <c r="I17" s="602" t="s">
        <v>620</v>
      </c>
      <c r="J17" s="594"/>
      <c r="K17" s="594"/>
      <c r="L17" s="594"/>
      <c r="M17" s="603"/>
    </row>
    <row r="18" spans="2:13" x14ac:dyDescent="0.2">
      <c r="B18" s="426">
        <v>44521</v>
      </c>
      <c r="C18" s="394">
        <v>20.25</v>
      </c>
      <c r="D18" s="420">
        <v>-1.60349854227404E-2</v>
      </c>
      <c r="F18" s="591">
        <v>9</v>
      </c>
      <c r="G18" s="420">
        <f t="shared" ca="1" si="0"/>
        <v>-6.060281254072121E-2</v>
      </c>
      <c r="I18" s="604" t="s">
        <v>617</v>
      </c>
      <c r="J18" s="232"/>
      <c r="K18" s="232"/>
      <c r="L18" s="232"/>
      <c r="M18" s="605">
        <f ca="1">AVERAGE(G10:G10009)</f>
        <v>1.1436419408561233E-2</v>
      </c>
    </row>
    <row r="19" spans="2:13" x14ac:dyDescent="0.2">
      <c r="B19" s="426">
        <v>44528</v>
      </c>
      <c r="C19" s="394">
        <v>20.16</v>
      </c>
      <c r="D19" s="420">
        <v>-4.4444444444444731E-3</v>
      </c>
      <c r="F19" s="591">
        <v>10</v>
      </c>
      <c r="G19" s="420">
        <f t="shared" ca="1" si="0"/>
        <v>7.6104993936895529E-2</v>
      </c>
      <c r="I19" s="606" t="s">
        <v>621</v>
      </c>
      <c r="J19" s="592"/>
      <c r="K19" s="592"/>
      <c r="L19" s="592"/>
      <c r="M19" s="607">
        <f ca="1">STDEV(G10:G10009)</f>
        <v>6.8939760015744977E-2</v>
      </c>
    </row>
    <row r="20" spans="2:13" x14ac:dyDescent="0.2">
      <c r="B20" s="426">
        <v>44535</v>
      </c>
      <c r="C20" s="394">
        <v>20.81</v>
      </c>
      <c r="D20" s="420">
        <v>3.2242063492063489E-2</v>
      </c>
      <c r="F20" s="591">
        <v>11</v>
      </c>
      <c r="G20" s="420">
        <f t="shared" ca="1" si="0"/>
        <v>-1.7962710241416633E-2</v>
      </c>
      <c r="I20" s="606" t="s">
        <v>618</v>
      </c>
      <c r="J20" s="592"/>
      <c r="K20" s="592"/>
      <c r="L20" s="592"/>
      <c r="M20" s="607">
        <f ca="1">MIN(G10:G10009)</f>
        <v>-0.23604955105122019</v>
      </c>
    </row>
    <row r="21" spans="2:13" x14ac:dyDescent="0.2">
      <c r="B21" s="426">
        <v>44542</v>
      </c>
      <c r="C21" s="394">
        <v>20.02</v>
      </c>
      <c r="D21" s="420">
        <v>-3.7962518020182578E-2</v>
      </c>
      <c r="F21" s="591">
        <v>12</v>
      </c>
      <c r="G21" s="420">
        <f t="shared" ca="1" si="0"/>
        <v>8.7462299942062879E-3</v>
      </c>
      <c r="I21" s="606" t="s">
        <v>619</v>
      </c>
      <c r="J21" s="592"/>
      <c r="K21" s="592"/>
      <c r="L21" s="592"/>
      <c r="M21" s="607">
        <f ca="1">MAX(G10:G10009)</f>
        <v>0.2701281976583042</v>
      </c>
    </row>
    <row r="22" spans="2:13" x14ac:dyDescent="0.2">
      <c r="B22" s="426">
        <v>44549</v>
      </c>
      <c r="C22" s="394">
        <v>19.73</v>
      </c>
      <c r="D22" s="420">
        <v>-1.4485514485514495E-2</v>
      </c>
      <c r="F22" s="591">
        <v>13</v>
      </c>
      <c r="G22" s="420">
        <f t="shared" ca="1" si="0"/>
        <v>6.1475540784690169E-2</v>
      </c>
      <c r="I22" s="608" t="s">
        <v>578</v>
      </c>
      <c r="J22" s="593"/>
      <c r="K22" s="593"/>
      <c r="L22" s="593"/>
      <c r="M22" s="609">
        <f>M15</f>
        <v>202.71</v>
      </c>
    </row>
    <row r="23" spans="2:13" x14ac:dyDescent="0.2">
      <c r="B23" s="426">
        <v>44556</v>
      </c>
      <c r="C23" s="394">
        <v>19.940000000000001</v>
      </c>
      <c r="D23" s="420">
        <v>1.0643689812468438E-2</v>
      </c>
      <c r="F23" s="591">
        <v>14</v>
      </c>
      <c r="G23" s="420">
        <f t="shared" ca="1" si="0"/>
        <v>1.265380221264123E-2</v>
      </c>
      <c r="I23" s="58"/>
      <c r="M23" s="22"/>
    </row>
    <row r="24" spans="2:13" ht="16" thickBot="1" x14ac:dyDescent="0.25">
      <c r="B24" s="426">
        <v>44563</v>
      </c>
      <c r="C24" s="394">
        <v>20.04</v>
      </c>
      <c r="D24" s="420">
        <v>5.015045135406071E-3</v>
      </c>
      <c r="F24" s="591">
        <v>15</v>
      </c>
      <c r="G24" s="420">
        <f t="shared" ca="1" si="0"/>
        <v>3.8539569074325618E-2</v>
      </c>
      <c r="I24" s="610" t="s">
        <v>627</v>
      </c>
      <c r="J24" s="594"/>
      <c r="K24" s="594"/>
      <c r="L24" s="594"/>
      <c r="M24" s="603"/>
    </row>
    <row r="25" spans="2:13" x14ac:dyDescent="0.2">
      <c r="B25" s="426">
        <v>44570</v>
      </c>
      <c r="C25" s="394">
        <v>23.43</v>
      </c>
      <c r="D25" s="420">
        <v>0.16916167664670656</v>
      </c>
      <c r="F25" s="591">
        <v>16</v>
      </c>
      <c r="G25" s="420">
        <f t="shared" ca="1" si="0"/>
        <v>-5.6220875283181676E-2</v>
      </c>
      <c r="I25" s="625" t="s">
        <v>622</v>
      </c>
      <c r="J25" s="626" t="s">
        <v>623</v>
      </c>
      <c r="K25" s="626" t="s">
        <v>624</v>
      </c>
      <c r="L25" s="626" t="s">
        <v>625</v>
      </c>
      <c r="M25" s="627" t="s">
        <v>626</v>
      </c>
    </row>
    <row r="26" spans="2:13" x14ac:dyDescent="0.2">
      <c r="B26" s="426">
        <v>44577</v>
      </c>
      <c r="C26" s="394">
        <v>21.99</v>
      </c>
      <c r="D26" s="420">
        <v>-6.145966709346995E-2</v>
      </c>
      <c r="F26" s="591">
        <v>17</v>
      </c>
      <c r="G26" s="420">
        <f t="shared" ca="1" si="0"/>
        <v>8.2447626558533757E-2</v>
      </c>
      <c r="I26" s="620">
        <v>0.1</v>
      </c>
      <c r="J26" s="621">
        <f>100%-I26</f>
        <v>0.9</v>
      </c>
      <c r="K26" s="622">
        <f>_xlfn.PERCENTILE.INC($D$10:$D$269,I26)</f>
        <v>-5.534122335797774E-2</v>
      </c>
      <c r="L26" s="623">
        <f>$M$15+M26</f>
        <v>191.49178061310434</v>
      </c>
      <c r="M26" s="624">
        <f>$M$15*K26</f>
        <v>-11.218219386895669</v>
      </c>
    </row>
    <row r="27" spans="2:13" x14ac:dyDescent="0.2">
      <c r="B27" s="426">
        <v>44584</v>
      </c>
      <c r="C27" s="394">
        <v>21.15</v>
      </c>
      <c r="D27" s="420">
        <v>-3.8199181446111896E-2</v>
      </c>
      <c r="F27" s="591">
        <v>18</v>
      </c>
      <c r="G27" s="420">
        <f t="shared" ca="1" si="0"/>
        <v>5.2055358692036813E-2</v>
      </c>
      <c r="I27" s="611">
        <v>0.05</v>
      </c>
      <c r="J27" s="595">
        <f t="shared" ref="J27:J29" si="1">100%-I27</f>
        <v>0.95</v>
      </c>
      <c r="K27" s="596">
        <f t="shared" ref="K27:K29" si="2">_xlfn.PERCENTILE.INC($D$10:$D$269,I27)</f>
        <v>-7.217981983752339E-2</v>
      </c>
      <c r="L27" s="597">
        <f t="shared" ref="L27:L29" si="3">$M$15+M27</f>
        <v>188.07842872073564</v>
      </c>
      <c r="M27" s="612">
        <f t="shared" ref="M27:M29" si="4">$M$15*K27</f>
        <v>-14.631571279264367</v>
      </c>
    </row>
    <row r="28" spans="2:13" x14ac:dyDescent="0.2">
      <c r="B28" s="426">
        <v>44591</v>
      </c>
      <c r="C28" s="394">
        <v>21.71</v>
      </c>
      <c r="D28" s="420">
        <v>2.6477541371158431E-2</v>
      </c>
      <c r="F28" s="591">
        <v>19</v>
      </c>
      <c r="G28" s="420">
        <f t="shared" ca="1" si="0"/>
        <v>-5.1974213165854294E-2</v>
      </c>
      <c r="I28" s="611">
        <v>0.01</v>
      </c>
      <c r="J28" s="595">
        <f t="shared" si="1"/>
        <v>0.99</v>
      </c>
      <c r="K28" s="596">
        <f t="shared" si="2"/>
        <v>-0.14614982334176313</v>
      </c>
      <c r="L28" s="597">
        <f t="shared" si="3"/>
        <v>173.08396931039121</v>
      </c>
      <c r="M28" s="612">
        <f t="shared" si="4"/>
        <v>-29.626030689608804</v>
      </c>
    </row>
    <row r="29" spans="2:13" x14ac:dyDescent="0.2">
      <c r="B29" s="426">
        <v>44598</v>
      </c>
      <c r="C29" s="394">
        <v>25</v>
      </c>
      <c r="D29" s="420">
        <v>0.15154306771073234</v>
      </c>
      <c r="F29" s="591">
        <v>20</v>
      </c>
      <c r="G29" s="420">
        <f t="shared" ca="1" si="0"/>
        <v>-5.8515514204081388E-3</v>
      </c>
      <c r="I29" s="613">
        <v>5.0000000000000001E-3</v>
      </c>
      <c r="J29" s="598">
        <f t="shared" si="1"/>
        <v>0.995</v>
      </c>
      <c r="K29" s="599">
        <f t="shared" si="2"/>
        <v>-0.15760475170654811</v>
      </c>
      <c r="L29" s="600">
        <f t="shared" si="3"/>
        <v>170.76194078156564</v>
      </c>
      <c r="M29" s="614">
        <f t="shared" si="4"/>
        <v>-31.94805921843437</v>
      </c>
    </row>
    <row r="30" spans="2:13" x14ac:dyDescent="0.2">
      <c r="B30" s="426">
        <v>44605</v>
      </c>
      <c r="C30" s="394">
        <v>26.32</v>
      </c>
      <c r="D30" s="420">
        <v>5.2799999999999958E-2</v>
      </c>
      <c r="F30" s="591">
        <v>21</v>
      </c>
      <c r="G30" s="420">
        <f t="shared" ca="1" si="0"/>
        <v>2.4300986320113696E-2</v>
      </c>
      <c r="I30" s="58"/>
      <c r="M30" s="22"/>
    </row>
    <row r="31" spans="2:13" ht="16" thickBot="1" x14ac:dyDescent="0.25">
      <c r="B31" s="426">
        <v>44612</v>
      </c>
      <c r="C31" s="394">
        <v>24.81</v>
      </c>
      <c r="D31" s="420">
        <v>-5.7370820668693034E-2</v>
      </c>
      <c r="F31" s="591">
        <v>22</v>
      </c>
      <c r="G31" s="420">
        <f t="shared" ca="1" si="0"/>
        <v>1.8528447475579378E-2</v>
      </c>
      <c r="I31" s="610" t="s">
        <v>628</v>
      </c>
      <c r="J31" s="594"/>
      <c r="K31" s="594"/>
      <c r="L31" s="594"/>
      <c r="M31" s="603"/>
    </row>
    <row r="32" spans="2:13" x14ac:dyDescent="0.2">
      <c r="B32" s="426">
        <v>44619</v>
      </c>
      <c r="C32" s="394">
        <v>23.95</v>
      </c>
      <c r="D32" s="420">
        <v>-3.4663442160419167E-2</v>
      </c>
      <c r="F32" s="591">
        <v>23</v>
      </c>
      <c r="G32" s="420">
        <f t="shared" ca="1" si="0"/>
        <v>-8.6401050516339742E-2</v>
      </c>
      <c r="I32" s="625" t="s">
        <v>622</v>
      </c>
      <c r="J32" s="626" t="s">
        <v>623</v>
      </c>
      <c r="K32" s="626" t="s">
        <v>624</v>
      </c>
      <c r="L32" s="626" t="s">
        <v>625</v>
      </c>
      <c r="M32" s="627" t="s">
        <v>626</v>
      </c>
    </row>
    <row r="33" spans="2:13" x14ac:dyDescent="0.2">
      <c r="B33" s="426">
        <v>44626</v>
      </c>
      <c r="C33" s="394">
        <v>24.36</v>
      </c>
      <c r="D33" s="420">
        <v>1.7118997912317413E-2</v>
      </c>
      <c r="F33" s="591">
        <v>24</v>
      </c>
      <c r="G33" s="420">
        <f t="shared" ca="1" si="0"/>
        <v>-1.6034126384416415E-2</v>
      </c>
      <c r="I33" s="620">
        <v>0.1</v>
      </c>
      <c r="J33" s="621">
        <f>100%-I33</f>
        <v>0.9</v>
      </c>
      <c r="K33" s="622">
        <f ca="1">_xlfn.PERCENTILE.INC($G$10:$G$10009, I33)</f>
        <v>-7.6434690844292025E-2</v>
      </c>
      <c r="L33" s="623">
        <f ca="1">$M$22+M33</f>
        <v>187.21592381895357</v>
      </c>
      <c r="M33" s="624">
        <f ca="1">K33*$M$22</f>
        <v>-15.494076181046436</v>
      </c>
    </row>
    <row r="34" spans="2:13" x14ac:dyDescent="0.2">
      <c r="B34" s="426">
        <v>44633</v>
      </c>
      <c r="C34" s="394">
        <v>25.02</v>
      </c>
      <c r="D34" s="420">
        <v>2.7093596059113212E-2</v>
      </c>
      <c r="F34" s="591">
        <v>25</v>
      </c>
      <c r="G34" s="420">
        <f t="shared" ca="1" si="0"/>
        <v>-1.5465159168087845E-2</v>
      </c>
      <c r="I34" s="611">
        <v>0.05</v>
      </c>
      <c r="J34" s="595">
        <f t="shared" ref="J34:J36" si="5">100%-I34</f>
        <v>0.95</v>
      </c>
      <c r="K34" s="596">
        <f t="shared" ref="K34:K36" ca="1" si="6">_xlfn.PERCENTILE.INC($G$10:$G$10009, I34)</f>
        <v>-0.10147466319325735</v>
      </c>
      <c r="L34" s="597">
        <f t="shared" ref="L34:L36" ca="1" si="7">$M$22+M34</f>
        <v>182.14007102409482</v>
      </c>
      <c r="M34" s="612">
        <f t="shared" ref="M34:M36" ca="1" si="8">K34*$M$22</f>
        <v>-20.569928975905199</v>
      </c>
    </row>
    <row r="35" spans="2:13" x14ac:dyDescent="0.2">
      <c r="B35" s="426">
        <v>44640</v>
      </c>
      <c r="C35" s="394">
        <v>28.64</v>
      </c>
      <c r="D35" s="420">
        <v>0.14468425259792173</v>
      </c>
      <c r="F35" s="591">
        <v>26</v>
      </c>
      <c r="G35" s="420">
        <f t="shared" ca="1" si="0"/>
        <v>-5.9060255856119528E-2</v>
      </c>
      <c r="I35" s="611">
        <v>0.01</v>
      </c>
      <c r="J35" s="595">
        <f t="shared" si="5"/>
        <v>0.99</v>
      </c>
      <c r="K35" s="596">
        <f t="shared" ca="1" si="6"/>
        <v>-0.1498646719893672</v>
      </c>
      <c r="L35" s="597">
        <f t="shared" ca="1" si="7"/>
        <v>172.33093234103538</v>
      </c>
      <c r="M35" s="612">
        <f t="shared" ca="1" si="8"/>
        <v>-30.379067658964626</v>
      </c>
    </row>
    <row r="36" spans="2:13" x14ac:dyDescent="0.2">
      <c r="B36" s="426">
        <v>44647</v>
      </c>
      <c r="C36" s="394">
        <v>40.69</v>
      </c>
      <c r="D36" s="420">
        <v>0.420740223463687</v>
      </c>
      <c r="F36" s="591">
        <v>27</v>
      </c>
      <c r="G36" s="420">
        <f t="shared" ca="1" si="0"/>
        <v>-2.9063896280209427E-2</v>
      </c>
      <c r="I36" s="615">
        <v>5.0000000000000001E-3</v>
      </c>
      <c r="J36" s="616">
        <f t="shared" si="5"/>
        <v>0.995</v>
      </c>
      <c r="K36" s="617">
        <f t="shared" ca="1" si="6"/>
        <v>-0.17117548191192344</v>
      </c>
      <c r="L36" s="618">
        <f t="shared" ca="1" si="7"/>
        <v>168.01101806163399</v>
      </c>
      <c r="M36" s="619">
        <f t="shared" ca="1" si="8"/>
        <v>-34.698981938366003</v>
      </c>
    </row>
    <row r="37" spans="2:13" x14ac:dyDescent="0.2">
      <c r="B37" s="426">
        <v>44654</v>
      </c>
      <c r="C37" s="394">
        <v>44.19</v>
      </c>
      <c r="D37" s="420">
        <v>8.6016220201523774E-2</v>
      </c>
      <c r="F37" s="591">
        <v>28</v>
      </c>
      <c r="G37" s="420">
        <f t="shared" ca="1" si="0"/>
        <v>8.5225080560460964E-2</v>
      </c>
    </row>
    <row r="38" spans="2:13" x14ac:dyDescent="0.2">
      <c r="B38" s="426">
        <v>44661</v>
      </c>
      <c r="C38" s="394">
        <v>44.65</v>
      </c>
      <c r="D38" s="420">
        <v>1.0409594930979926E-2</v>
      </c>
      <c r="F38" s="591">
        <v>29</v>
      </c>
      <c r="G38" s="420">
        <f t="shared" ca="1" si="0"/>
        <v>-8.7204721672343985E-2</v>
      </c>
    </row>
    <row r="39" spans="2:13" x14ac:dyDescent="0.2">
      <c r="B39" s="426">
        <v>44668</v>
      </c>
      <c r="C39" s="394">
        <v>51.82</v>
      </c>
      <c r="D39" s="420">
        <v>0.16058230683090713</v>
      </c>
      <c r="F39" s="591">
        <v>30</v>
      </c>
      <c r="G39" s="420">
        <f t="shared" ca="1" si="0"/>
        <v>4.4485863936374465E-2</v>
      </c>
    </row>
    <row r="40" spans="2:13" x14ac:dyDescent="0.2">
      <c r="B40" s="426">
        <v>44675</v>
      </c>
      <c r="C40" s="394">
        <v>56.07</v>
      </c>
      <c r="D40" s="420">
        <v>8.2014666152064875E-2</v>
      </c>
      <c r="F40" s="591">
        <v>31</v>
      </c>
      <c r="G40" s="420">
        <f t="shared" ca="1" si="0"/>
        <v>3.2111323224161714E-2</v>
      </c>
    </row>
    <row r="41" spans="2:13" x14ac:dyDescent="0.2">
      <c r="B41" s="426">
        <v>44682</v>
      </c>
      <c r="C41" s="394">
        <v>58.41</v>
      </c>
      <c r="D41" s="420">
        <v>4.1733547351524791E-2</v>
      </c>
      <c r="F41" s="591">
        <v>32</v>
      </c>
      <c r="G41" s="420">
        <f t="shared" ca="1" si="0"/>
        <v>-6.6550296865011918E-2</v>
      </c>
    </row>
    <row r="42" spans="2:13" x14ac:dyDescent="0.2">
      <c r="B42" s="426">
        <v>44689</v>
      </c>
      <c r="C42" s="394">
        <v>50.93</v>
      </c>
      <c r="D42" s="420">
        <v>-0.128060263653484</v>
      </c>
      <c r="F42" s="591">
        <v>33</v>
      </c>
      <c r="G42" s="420">
        <f t="shared" ca="1" si="0"/>
        <v>-2.2022962259836461E-2</v>
      </c>
    </row>
    <row r="43" spans="2:13" x14ac:dyDescent="0.2">
      <c r="B43" s="426">
        <v>44696</v>
      </c>
      <c r="C43" s="394">
        <v>62.45</v>
      </c>
      <c r="D43" s="420">
        <v>0.22619281366581578</v>
      </c>
      <c r="F43" s="591">
        <v>34</v>
      </c>
      <c r="G43" s="420">
        <f t="shared" ca="1" si="0"/>
        <v>-1.0610120006541199E-2</v>
      </c>
    </row>
    <row r="44" spans="2:13" x14ac:dyDescent="0.2">
      <c r="B44" s="426">
        <v>44703</v>
      </c>
      <c r="C44" s="394">
        <v>65.62</v>
      </c>
      <c r="D44" s="420">
        <v>5.0760608486789538E-2</v>
      </c>
      <c r="F44" s="591">
        <v>35</v>
      </c>
      <c r="G44" s="420">
        <f t="shared" ca="1" si="0"/>
        <v>-7.6678489406227748E-2</v>
      </c>
    </row>
    <row r="45" spans="2:13" x14ac:dyDescent="0.2">
      <c r="B45" s="426">
        <v>44710</v>
      </c>
      <c r="C45" s="394">
        <v>56.82</v>
      </c>
      <c r="D45" s="420">
        <v>-0.13410545565376419</v>
      </c>
      <c r="F45" s="591">
        <v>36</v>
      </c>
      <c r="G45" s="420">
        <f t="shared" ca="1" si="0"/>
        <v>6.5905880991590934E-2</v>
      </c>
    </row>
    <row r="46" spans="2:13" x14ac:dyDescent="0.2">
      <c r="B46" s="426">
        <v>44717</v>
      </c>
      <c r="C46" s="394">
        <v>56.02</v>
      </c>
      <c r="D46" s="420">
        <v>-1.4079549454417362E-2</v>
      </c>
      <c r="F46" s="591">
        <v>37</v>
      </c>
      <c r="G46" s="420">
        <f t="shared" ca="1" si="0"/>
        <v>8.3020487488385683E-2</v>
      </c>
    </row>
    <row r="47" spans="2:13" x14ac:dyDescent="0.2">
      <c r="B47" s="426">
        <v>44724</v>
      </c>
      <c r="C47" s="394">
        <v>52.26</v>
      </c>
      <c r="D47" s="420">
        <v>-6.7118886112102927E-2</v>
      </c>
      <c r="F47" s="591">
        <v>38</v>
      </c>
      <c r="G47" s="420">
        <f t="shared" ca="1" si="0"/>
        <v>4.792445856132567E-2</v>
      </c>
    </row>
    <row r="48" spans="2:13" x14ac:dyDescent="0.2">
      <c r="B48" s="426">
        <v>44731</v>
      </c>
      <c r="C48" s="394">
        <v>52.89</v>
      </c>
      <c r="D48" s="420">
        <v>1.2055109070034487E-2</v>
      </c>
      <c r="F48" s="591">
        <v>39</v>
      </c>
      <c r="G48" s="420">
        <f t="shared" ca="1" si="0"/>
        <v>-6.0520233900423243E-2</v>
      </c>
    </row>
    <row r="49" spans="2:7" x14ac:dyDescent="0.2">
      <c r="B49" s="426">
        <v>44738</v>
      </c>
      <c r="C49" s="394">
        <v>52.65</v>
      </c>
      <c r="D49" s="420">
        <v>-4.5377197958026416E-3</v>
      </c>
      <c r="F49" s="591">
        <v>40</v>
      </c>
      <c r="G49" s="420">
        <f t="shared" ca="1" si="0"/>
        <v>-0.11177529224418355</v>
      </c>
    </row>
    <row r="50" spans="2:7" x14ac:dyDescent="0.2">
      <c r="B50" s="426">
        <v>44745</v>
      </c>
      <c r="C50" s="394">
        <v>54.31</v>
      </c>
      <c r="D50" s="420">
        <v>3.1528964862298281E-2</v>
      </c>
      <c r="F50" s="591">
        <v>41</v>
      </c>
      <c r="G50" s="420">
        <f t="shared" ca="1" si="0"/>
        <v>0.11421571615510663</v>
      </c>
    </row>
    <row r="51" spans="2:7" x14ac:dyDescent="0.2">
      <c r="B51" s="426">
        <v>44752</v>
      </c>
      <c r="C51" s="394">
        <v>57.35</v>
      </c>
      <c r="D51" s="420">
        <v>5.5974958571165523E-2</v>
      </c>
      <c r="F51" s="591">
        <v>42</v>
      </c>
      <c r="G51" s="420">
        <f t="shared" ca="1" si="0"/>
        <v>4.9880800836110711E-2</v>
      </c>
    </row>
    <row r="52" spans="2:7" x14ac:dyDescent="0.2">
      <c r="B52" s="426">
        <v>44759</v>
      </c>
      <c r="C52" s="394">
        <v>58.26</v>
      </c>
      <c r="D52" s="420">
        <v>1.5867480383609411E-2</v>
      </c>
      <c r="F52" s="591">
        <v>43</v>
      </c>
      <c r="G52" s="420">
        <f t="shared" ca="1" si="0"/>
        <v>-3.289995494489803E-2</v>
      </c>
    </row>
    <row r="53" spans="2:7" x14ac:dyDescent="0.2">
      <c r="B53" s="426">
        <v>44766</v>
      </c>
      <c r="C53" s="394">
        <v>62.79</v>
      </c>
      <c r="D53" s="420">
        <v>7.7754891864057596E-2</v>
      </c>
      <c r="F53" s="591">
        <v>44</v>
      </c>
      <c r="G53" s="420">
        <f t="shared" ca="1" si="0"/>
        <v>5.5805586849246247E-2</v>
      </c>
    </row>
    <row r="54" spans="2:7" x14ac:dyDescent="0.2">
      <c r="B54" s="426">
        <v>44773</v>
      </c>
      <c r="C54" s="394">
        <v>66.41</v>
      </c>
      <c r="D54" s="420">
        <v>5.7652492435101177E-2</v>
      </c>
      <c r="F54" s="591">
        <v>45</v>
      </c>
      <c r="G54" s="420">
        <f t="shared" ca="1" si="0"/>
        <v>7.4658732017504181E-3</v>
      </c>
    </row>
    <row r="55" spans="2:7" x14ac:dyDescent="0.2">
      <c r="B55" s="426">
        <v>44780</v>
      </c>
      <c r="C55" s="394">
        <v>69.03</v>
      </c>
      <c r="D55" s="420">
        <v>3.9451889775636184E-2</v>
      </c>
      <c r="F55" s="591">
        <v>46</v>
      </c>
      <c r="G55" s="420">
        <f t="shared" ca="1" si="0"/>
        <v>1.7937737582170054E-2</v>
      </c>
    </row>
    <row r="56" spans="2:7" x14ac:dyDescent="0.2">
      <c r="B56" s="426">
        <v>44787</v>
      </c>
      <c r="C56" s="394">
        <v>82.39</v>
      </c>
      <c r="D56" s="420">
        <v>0.19353904099666819</v>
      </c>
      <c r="F56" s="591">
        <v>47</v>
      </c>
      <c r="G56" s="420">
        <f t="shared" ca="1" si="0"/>
        <v>0.12115999411232523</v>
      </c>
    </row>
    <row r="57" spans="2:7" x14ac:dyDescent="0.2">
      <c r="B57" s="426">
        <v>44794</v>
      </c>
      <c r="C57" s="394">
        <v>75.099999999999994</v>
      </c>
      <c r="D57" s="420">
        <v>-8.848161184609793E-2</v>
      </c>
      <c r="F57" s="591">
        <v>48</v>
      </c>
      <c r="G57" s="420">
        <f t="shared" ca="1" si="0"/>
        <v>4.9275759324666199E-2</v>
      </c>
    </row>
    <row r="58" spans="2:7" x14ac:dyDescent="0.2">
      <c r="B58" s="426">
        <v>44801</v>
      </c>
      <c r="C58" s="394">
        <v>80.25</v>
      </c>
      <c r="D58" s="420">
        <v>6.8575233022636572E-2</v>
      </c>
      <c r="F58" s="591">
        <v>49</v>
      </c>
      <c r="G58" s="420">
        <f t="shared" ca="1" si="0"/>
        <v>5.8886403728588494E-3</v>
      </c>
    </row>
    <row r="59" spans="2:7" x14ac:dyDescent="0.2">
      <c r="B59" s="426">
        <v>44808</v>
      </c>
      <c r="C59" s="394">
        <v>79.400000000000006</v>
      </c>
      <c r="D59" s="420">
        <v>-1.0591900311526459E-2</v>
      </c>
      <c r="F59" s="591">
        <v>50</v>
      </c>
      <c r="G59" s="420">
        <f t="shared" ca="1" si="0"/>
        <v>-7.262449238489363E-2</v>
      </c>
    </row>
    <row r="60" spans="2:7" x14ac:dyDescent="0.2">
      <c r="B60" s="426">
        <v>44815</v>
      </c>
      <c r="C60" s="394">
        <v>77.55</v>
      </c>
      <c r="D60" s="420">
        <v>-2.3299748110831353E-2</v>
      </c>
      <c r="F60" s="591">
        <v>51</v>
      </c>
      <c r="G60" s="420">
        <f t="shared" ca="1" si="0"/>
        <v>9.8411555535242914E-3</v>
      </c>
    </row>
    <row r="61" spans="2:7" x14ac:dyDescent="0.2">
      <c r="B61" s="426">
        <v>44822</v>
      </c>
      <c r="C61" s="394">
        <v>77.12</v>
      </c>
      <c r="D61" s="420">
        <v>-5.544809800128836E-3</v>
      </c>
      <c r="F61" s="591">
        <v>52</v>
      </c>
      <c r="G61" s="420">
        <f t="shared" ca="1" si="0"/>
        <v>0.12098734485312175</v>
      </c>
    </row>
    <row r="62" spans="2:7" x14ac:dyDescent="0.2">
      <c r="B62" s="426">
        <v>44829</v>
      </c>
      <c r="C62" s="394">
        <v>74.7</v>
      </c>
      <c r="D62" s="420">
        <v>-3.1379668049792531E-2</v>
      </c>
      <c r="F62" s="591">
        <v>53</v>
      </c>
      <c r="G62" s="420">
        <f t="shared" ca="1" si="0"/>
        <v>-0.1200310144286371</v>
      </c>
    </row>
    <row r="63" spans="2:7" x14ac:dyDescent="0.2">
      <c r="B63" s="426">
        <v>44836</v>
      </c>
      <c r="C63" s="394">
        <v>74.569999999999993</v>
      </c>
      <c r="D63" s="420">
        <v>-1.7402945113790258E-3</v>
      </c>
      <c r="F63" s="591">
        <v>54</v>
      </c>
      <c r="G63" s="420">
        <f t="shared" ca="1" si="0"/>
        <v>-7.0726853339427506E-2</v>
      </c>
    </row>
    <row r="64" spans="2:7" x14ac:dyDescent="0.2">
      <c r="B64" s="426">
        <v>44843</v>
      </c>
      <c r="C64" s="394">
        <v>66.25</v>
      </c>
      <c r="D64" s="420">
        <v>-0.11157301864020375</v>
      </c>
      <c r="F64" s="591">
        <v>55</v>
      </c>
      <c r="G64" s="420">
        <f t="shared" ca="1" si="0"/>
        <v>-5.3019344320789197E-2</v>
      </c>
    </row>
    <row r="65" spans="2:7" x14ac:dyDescent="0.2">
      <c r="B65" s="426">
        <v>44850</v>
      </c>
      <c r="C65" s="394">
        <v>66.44</v>
      </c>
      <c r="D65" s="420">
        <v>2.8679245283018684E-3</v>
      </c>
      <c r="F65" s="591">
        <v>56</v>
      </c>
      <c r="G65" s="420">
        <f t="shared" ca="1" si="0"/>
        <v>7.1983602342386335E-2</v>
      </c>
    </row>
    <row r="66" spans="2:7" x14ac:dyDescent="0.2">
      <c r="B66" s="426">
        <v>44857</v>
      </c>
      <c r="C66" s="394">
        <v>66.66</v>
      </c>
      <c r="D66" s="420">
        <v>3.3112582781456013E-3</v>
      </c>
      <c r="F66" s="591">
        <v>57</v>
      </c>
      <c r="G66" s="420">
        <f t="shared" ca="1" si="0"/>
        <v>9.4506660791281172E-2</v>
      </c>
    </row>
    <row r="67" spans="2:7" x14ac:dyDescent="0.2">
      <c r="B67" s="426">
        <v>44864</v>
      </c>
      <c r="C67" s="394">
        <v>69.37</v>
      </c>
      <c r="D67" s="420">
        <v>4.0654065406540818E-2</v>
      </c>
      <c r="F67" s="591">
        <v>58</v>
      </c>
      <c r="G67" s="420">
        <f t="shared" ca="1" si="0"/>
        <v>-4.7103052125880257E-2</v>
      </c>
    </row>
    <row r="68" spans="2:7" x14ac:dyDescent="0.2">
      <c r="B68" s="426">
        <v>44871</v>
      </c>
      <c r="C68" s="394">
        <v>72.040000000000006</v>
      </c>
      <c r="D68" s="420">
        <v>3.8489260487242438E-2</v>
      </c>
      <c r="F68" s="591">
        <v>59</v>
      </c>
      <c r="G68" s="420">
        <f t="shared" ca="1" si="0"/>
        <v>-1.3734490591320762E-2</v>
      </c>
    </row>
    <row r="69" spans="2:7" x14ac:dyDescent="0.2">
      <c r="B69" s="426">
        <v>44878</v>
      </c>
      <c r="C69" s="394">
        <v>67.3</v>
      </c>
      <c r="D69" s="420">
        <v>-6.5796779566907437E-2</v>
      </c>
      <c r="F69" s="591">
        <v>60</v>
      </c>
      <c r="G69" s="420">
        <f t="shared" ca="1" si="0"/>
        <v>1.8155145367350523E-2</v>
      </c>
    </row>
    <row r="70" spans="2:7" x14ac:dyDescent="0.2">
      <c r="B70" s="426">
        <v>44885</v>
      </c>
      <c r="C70" s="394">
        <v>64.790000000000006</v>
      </c>
      <c r="D70" s="420">
        <v>-3.7295690936106851E-2</v>
      </c>
      <c r="F70" s="591">
        <v>61</v>
      </c>
      <c r="G70" s="420">
        <f t="shared" ca="1" si="0"/>
        <v>1.1166692855773833E-2</v>
      </c>
    </row>
    <row r="71" spans="2:7" x14ac:dyDescent="0.2">
      <c r="B71" s="426">
        <v>44892</v>
      </c>
      <c r="C71" s="394">
        <v>65.06</v>
      </c>
      <c r="D71" s="420">
        <v>4.1673097700261064E-3</v>
      </c>
      <c r="F71" s="591">
        <v>62</v>
      </c>
      <c r="G71" s="420">
        <f t="shared" ca="1" si="0"/>
        <v>-1.8189336192402865E-2</v>
      </c>
    </row>
    <row r="72" spans="2:7" x14ac:dyDescent="0.2">
      <c r="B72" s="426">
        <v>44899</v>
      </c>
      <c r="C72" s="394">
        <v>63.21</v>
      </c>
      <c r="D72" s="420">
        <v>-2.843529050107596E-2</v>
      </c>
      <c r="F72" s="591">
        <v>63</v>
      </c>
      <c r="G72" s="420">
        <f t="shared" ca="1" si="0"/>
        <v>1.1971510228138591E-2</v>
      </c>
    </row>
    <row r="73" spans="2:7" x14ac:dyDescent="0.2">
      <c r="B73" s="426">
        <v>44906</v>
      </c>
      <c r="C73" s="394">
        <v>61.58</v>
      </c>
      <c r="D73" s="420">
        <v>-2.5787059009650393E-2</v>
      </c>
      <c r="F73" s="591">
        <v>64</v>
      </c>
      <c r="G73" s="420">
        <f t="shared" ca="1" si="0"/>
        <v>-0.10769535078010027</v>
      </c>
    </row>
    <row r="74" spans="2:7" x14ac:dyDescent="0.2">
      <c r="B74" s="426">
        <v>44913</v>
      </c>
      <c r="C74" s="394">
        <v>52.44</v>
      </c>
      <c r="D74" s="420">
        <v>-0.1484248132510555</v>
      </c>
      <c r="F74" s="591">
        <v>65</v>
      </c>
      <c r="G74" s="420">
        <f t="shared" ca="1" si="0"/>
        <v>1.1430411207462963E-2</v>
      </c>
    </row>
    <row r="75" spans="2:7" x14ac:dyDescent="0.2">
      <c r="B75" s="426">
        <v>44920</v>
      </c>
      <c r="C75" s="394">
        <v>59.91</v>
      </c>
      <c r="D75" s="420">
        <v>0.14244851258581237</v>
      </c>
      <c r="F75" s="591">
        <v>66</v>
      </c>
      <c r="G75" s="420">
        <f t="shared" ref="G75:G138" ca="1" si="9">_xlfn.NORM.INV(RAND(), $M$11,$M$12)</f>
        <v>-7.4847705090877042E-2</v>
      </c>
    </row>
    <row r="76" spans="2:7" x14ac:dyDescent="0.2">
      <c r="B76" s="426">
        <v>44927</v>
      </c>
      <c r="C76" s="394">
        <v>56.68</v>
      </c>
      <c r="D76" s="420">
        <v>-5.3914204640293728E-2</v>
      </c>
      <c r="F76" s="591">
        <v>67</v>
      </c>
      <c r="G76" s="420">
        <f t="shared" ca="1" si="9"/>
        <v>-3.9004892179259024E-2</v>
      </c>
    </row>
    <row r="77" spans="2:7" x14ac:dyDescent="0.2">
      <c r="B77" s="426">
        <v>44934</v>
      </c>
      <c r="C77" s="394">
        <v>55.74</v>
      </c>
      <c r="D77" s="420">
        <v>-1.6584333098094484E-2</v>
      </c>
      <c r="F77" s="591">
        <v>68</v>
      </c>
      <c r="G77" s="420">
        <f t="shared" ca="1" si="9"/>
        <v>1.4091051594328396E-2</v>
      </c>
    </row>
    <row r="78" spans="2:7" x14ac:dyDescent="0.2">
      <c r="B78" s="426">
        <v>44941</v>
      </c>
      <c r="C78" s="394">
        <v>55.01</v>
      </c>
      <c r="D78" s="420">
        <v>-1.309651955507718E-2</v>
      </c>
      <c r="F78" s="591">
        <v>69</v>
      </c>
      <c r="G78" s="420">
        <f t="shared" ca="1" si="9"/>
        <v>-2.164320483501431E-2</v>
      </c>
    </row>
    <row r="79" spans="2:7" x14ac:dyDescent="0.2">
      <c r="B79" s="426">
        <v>44948</v>
      </c>
      <c r="C79" s="394">
        <v>49.59</v>
      </c>
      <c r="D79" s="420">
        <v>-9.8527540447191364E-2</v>
      </c>
      <c r="F79" s="591">
        <v>70</v>
      </c>
      <c r="G79" s="420">
        <f t="shared" ca="1" si="9"/>
        <v>-5.747709237161959E-2</v>
      </c>
    </row>
    <row r="80" spans="2:7" x14ac:dyDescent="0.2">
      <c r="B80" s="426">
        <v>44955</v>
      </c>
      <c r="C80" s="394">
        <v>38.39</v>
      </c>
      <c r="D80" s="420">
        <v>-0.22585198628755798</v>
      </c>
      <c r="F80" s="591">
        <v>71</v>
      </c>
      <c r="G80" s="420">
        <f t="shared" ca="1" si="9"/>
        <v>3.631797838933578E-2</v>
      </c>
    </row>
    <row r="81" spans="2:7" x14ac:dyDescent="0.2">
      <c r="B81" s="426">
        <v>44962</v>
      </c>
      <c r="C81" s="394">
        <v>32.840000000000003</v>
      </c>
      <c r="D81" s="420">
        <v>-0.14456889815055995</v>
      </c>
      <c r="F81" s="591">
        <v>72</v>
      </c>
      <c r="G81" s="420">
        <f t="shared" ca="1" si="9"/>
        <v>9.7977229019481485E-2</v>
      </c>
    </row>
    <row r="82" spans="2:7" x14ac:dyDescent="0.2">
      <c r="B82" s="426">
        <v>44969</v>
      </c>
      <c r="C82" s="394">
        <v>31.03</v>
      </c>
      <c r="D82" s="420">
        <v>-5.5115712545676043E-2</v>
      </c>
      <c r="F82" s="591">
        <v>73</v>
      </c>
      <c r="G82" s="420">
        <f t="shared" ca="1" si="9"/>
        <v>-8.5423824119707531E-2</v>
      </c>
    </row>
    <row r="83" spans="2:7" x14ac:dyDescent="0.2">
      <c r="B83" s="426">
        <v>44976</v>
      </c>
      <c r="C83" s="394">
        <v>29.33</v>
      </c>
      <c r="D83" s="420">
        <v>-5.4785691266516334E-2</v>
      </c>
      <c r="F83" s="591">
        <v>74</v>
      </c>
      <c r="G83" s="420">
        <f t="shared" ca="1" si="9"/>
        <v>-8.787815086244001E-2</v>
      </c>
    </row>
    <row r="84" spans="2:7" x14ac:dyDescent="0.2">
      <c r="B84" s="426">
        <v>44983</v>
      </c>
      <c r="C84" s="394">
        <v>33.86</v>
      </c>
      <c r="D84" s="420">
        <v>0.15444936924650543</v>
      </c>
      <c r="F84" s="591">
        <v>75</v>
      </c>
      <c r="G84" s="420">
        <f t="shared" ca="1" si="9"/>
        <v>4.5612558824500257E-2</v>
      </c>
    </row>
    <row r="85" spans="2:7" x14ac:dyDescent="0.2">
      <c r="B85" s="426">
        <v>44990</v>
      </c>
      <c r="C85" s="394">
        <v>40.98</v>
      </c>
      <c r="D85" s="420">
        <v>0.21027761370348497</v>
      </c>
      <c r="F85" s="591">
        <v>76</v>
      </c>
      <c r="G85" s="420">
        <f t="shared" ca="1" si="9"/>
        <v>7.6201746895458389E-2</v>
      </c>
    </row>
    <row r="86" spans="2:7" x14ac:dyDescent="0.2">
      <c r="B86" s="426">
        <v>44997</v>
      </c>
      <c r="C86" s="394">
        <v>39.99</v>
      </c>
      <c r="D86" s="420">
        <v>-2.4158125915080375E-2</v>
      </c>
      <c r="F86" s="591">
        <v>77</v>
      </c>
      <c r="G86" s="420">
        <f t="shared" ca="1" si="9"/>
        <v>7.9754521340571108E-2</v>
      </c>
    </row>
    <row r="87" spans="2:7" x14ac:dyDescent="0.2">
      <c r="B87" s="426">
        <v>45004</v>
      </c>
      <c r="C87" s="394">
        <v>38.520000000000003</v>
      </c>
      <c r="D87" s="420">
        <v>-3.6759189797449299E-2</v>
      </c>
      <c r="F87" s="591">
        <v>78</v>
      </c>
      <c r="G87" s="420">
        <f t="shared" ca="1" si="9"/>
        <v>0.18889870297105851</v>
      </c>
    </row>
    <row r="88" spans="2:7" x14ac:dyDescent="0.2">
      <c r="B88" s="426">
        <v>45011</v>
      </c>
      <c r="C88" s="394">
        <v>38.32</v>
      </c>
      <c r="D88" s="420">
        <v>-5.1921079958463512E-3</v>
      </c>
      <c r="F88" s="591">
        <v>79</v>
      </c>
      <c r="G88" s="420">
        <f t="shared" ca="1" si="9"/>
        <v>5.1290164769185936E-2</v>
      </c>
    </row>
    <row r="89" spans="2:7" x14ac:dyDescent="0.2">
      <c r="B89" s="426">
        <v>45018</v>
      </c>
      <c r="C89" s="394">
        <v>38.44</v>
      </c>
      <c r="D89" s="420">
        <v>3.1315240083507057E-3</v>
      </c>
      <c r="F89" s="591">
        <v>80</v>
      </c>
      <c r="G89" s="420">
        <f t="shared" ca="1" si="9"/>
        <v>3.3682207561231942E-2</v>
      </c>
    </row>
    <row r="90" spans="2:7" x14ac:dyDescent="0.2">
      <c r="B90" s="426">
        <v>45025</v>
      </c>
      <c r="C90" s="394">
        <v>37.83</v>
      </c>
      <c r="D90" s="420">
        <v>-1.5868886576482777E-2</v>
      </c>
      <c r="F90" s="591">
        <v>81</v>
      </c>
      <c r="G90" s="420">
        <f t="shared" ca="1" si="9"/>
        <v>0.12165381580313268</v>
      </c>
    </row>
    <row r="91" spans="2:7" x14ac:dyDescent="0.2">
      <c r="B91" s="426">
        <v>45032</v>
      </c>
      <c r="C91" s="394">
        <v>39.85</v>
      </c>
      <c r="D91" s="420">
        <v>5.3396775046259615E-2</v>
      </c>
      <c r="F91" s="591">
        <v>82</v>
      </c>
      <c r="G91" s="420">
        <f t="shared" ca="1" si="9"/>
        <v>-4.8556632466967384E-2</v>
      </c>
    </row>
    <row r="92" spans="2:7" x14ac:dyDescent="0.2">
      <c r="B92" s="426">
        <v>45039</v>
      </c>
      <c r="C92" s="394">
        <v>44.97</v>
      </c>
      <c r="D92" s="420">
        <v>0.12848180677540766</v>
      </c>
      <c r="F92" s="591">
        <v>83</v>
      </c>
      <c r="G92" s="420">
        <f t="shared" ca="1" si="9"/>
        <v>0.1077482736808734</v>
      </c>
    </row>
    <row r="93" spans="2:7" x14ac:dyDescent="0.2">
      <c r="B93" s="426">
        <v>45046</v>
      </c>
      <c r="C93" s="394">
        <v>47.97</v>
      </c>
      <c r="D93" s="420">
        <v>6.6711140760506993E-2</v>
      </c>
      <c r="F93" s="591">
        <v>84</v>
      </c>
      <c r="G93" s="420">
        <f t="shared" ca="1" si="9"/>
        <v>-0.13406217459481548</v>
      </c>
    </row>
    <row r="94" spans="2:7" x14ac:dyDescent="0.2">
      <c r="B94" s="426">
        <v>45053</v>
      </c>
      <c r="C94" s="394">
        <v>48.17</v>
      </c>
      <c r="D94" s="420">
        <v>4.169272461955531E-3</v>
      </c>
      <c r="F94" s="591">
        <v>85</v>
      </c>
      <c r="G94" s="420">
        <f t="shared" ca="1" si="9"/>
        <v>4.0548485482392399E-2</v>
      </c>
    </row>
    <row r="95" spans="2:7" x14ac:dyDescent="0.2">
      <c r="B95" s="426">
        <v>45060</v>
      </c>
      <c r="C95" s="394">
        <v>47.22</v>
      </c>
      <c r="D95" s="420">
        <v>-1.9721818559269355E-2</v>
      </c>
      <c r="F95" s="591">
        <v>86</v>
      </c>
      <c r="G95" s="420">
        <f t="shared" ca="1" si="9"/>
        <v>-1.0415002899433607E-2</v>
      </c>
    </row>
    <row r="96" spans="2:7" x14ac:dyDescent="0.2">
      <c r="B96" s="426">
        <v>45067</v>
      </c>
      <c r="C96" s="394">
        <v>51.61</v>
      </c>
      <c r="D96" s="420">
        <v>9.2969080897924661E-2</v>
      </c>
      <c r="F96" s="591">
        <v>87</v>
      </c>
      <c r="G96" s="420">
        <f t="shared" ca="1" si="9"/>
        <v>0.10581726295414247</v>
      </c>
    </row>
    <row r="97" spans="2:7" x14ac:dyDescent="0.2">
      <c r="B97" s="426">
        <v>45074</v>
      </c>
      <c r="C97" s="394">
        <v>51.13</v>
      </c>
      <c r="D97" s="420">
        <v>-9.3005231544274203E-3</v>
      </c>
      <c r="F97" s="591">
        <v>88</v>
      </c>
      <c r="G97" s="420">
        <f t="shared" ca="1" si="9"/>
        <v>2.7906036310192867E-2</v>
      </c>
    </row>
    <row r="98" spans="2:7" x14ac:dyDescent="0.2">
      <c r="B98" s="426">
        <v>45081</v>
      </c>
      <c r="C98" s="394">
        <v>55.24</v>
      </c>
      <c r="D98" s="420">
        <v>8.0383336592998234E-2</v>
      </c>
      <c r="F98" s="591">
        <v>89</v>
      </c>
      <c r="G98" s="420">
        <f t="shared" ca="1" si="9"/>
        <v>9.8727020171895819E-3</v>
      </c>
    </row>
    <row r="99" spans="2:7" x14ac:dyDescent="0.2">
      <c r="B99" s="426">
        <v>45088</v>
      </c>
      <c r="C99" s="394">
        <v>53.22</v>
      </c>
      <c r="D99" s="420">
        <v>-3.6567704561911718E-2</v>
      </c>
      <c r="F99" s="591">
        <v>90</v>
      </c>
      <c r="G99" s="420">
        <f t="shared" ca="1" si="9"/>
        <v>-6.5590883910636194E-2</v>
      </c>
    </row>
    <row r="100" spans="2:7" x14ac:dyDescent="0.2">
      <c r="B100" s="426">
        <v>45095</v>
      </c>
      <c r="C100" s="394">
        <v>48.48</v>
      </c>
      <c r="D100" s="420">
        <v>-8.9064261555806157E-2</v>
      </c>
      <c r="F100" s="591">
        <v>91</v>
      </c>
      <c r="G100" s="420">
        <f t="shared" ca="1" si="9"/>
        <v>-1.1432210931715283E-2</v>
      </c>
    </row>
    <row r="101" spans="2:7" x14ac:dyDescent="0.2">
      <c r="B101" s="426">
        <v>45102</v>
      </c>
      <c r="C101" s="394">
        <v>49.97</v>
      </c>
      <c r="D101" s="420">
        <v>3.0734323432343169E-2</v>
      </c>
      <c r="F101" s="591">
        <v>92</v>
      </c>
      <c r="G101" s="420">
        <f t="shared" ca="1" si="9"/>
        <v>1.1318001842374366E-3</v>
      </c>
    </row>
    <row r="102" spans="2:7" x14ac:dyDescent="0.2">
      <c r="B102" s="426">
        <v>45109</v>
      </c>
      <c r="C102" s="394">
        <v>48.75</v>
      </c>
      <c r="D102" s="420">
        <v>-2.4414648789273574E-2</v>
      </c>
      <c r="F102" s="591">
        <v>93</v>
      </c>
      <c r="G102" s="420">
        <f t="shared" ca="1" si="9"/>
        <v>9.8042819233804382E-2</v>
      </c>
    </row>
    <row r="103" spans="2:7" x14ac:dyDescent="0.2">
      <c r="B103" s="426">
        <v>45116</v>
      </c>
      <c r="C103" s="394">
        <v>48.38</v>
      </c>
      <c r="D103" s="420">
        <v>-7.5897435897435139E-3</v>
      </c>
      <c r="F103" s="591">
        <v>94</v>
      </c>
      <c r="G103" s="420">
        <f t="shared" ca="1" si="9"/>
        <v>4.2625285865893731E-2</v>
      </c>
    </row>
    <row r="104" spans="2:7" x14ac:dyDescent="0.2">
      <c r="B104" s="426">
        <v>45123</v>
      </c>
      <c r="C104" s="394">
        <v>48.35</v>
      </c>
      <c r="D104" s="420">
        <v>-6.2009094667214715E-4</v>
      </c>
      <c r="F104" s="591">
        <v>95</v>
      </c>
      <c r="G104" s="420">
        <f t="shared" ca="1" si="9"/>
        <v>-4.838608386743154E-2</v>
      </c>
    </row>
    <row r="105" spans="2:7" x14ac:dyDescent="0.2">
      <c r="B105" s="426">
        <v>45130</v>
      </c>
      <c r="C105" s="394">
        <v>51.71</v>
      </c>
      <c r="D105" s="420">
        <v>6.9493278179938001E-2</v>
      </c>
      <c r="F105" s="591">
        <v>96</v>
      </c>
      <c r="G105" s="420">
        <f t="shared" ca="1" si="9"/>
        <v>-3.523683471758321E-2</v>
      </c>
    </row>
    <row r="106" spans="2:7" x14ac:dyDescent="0.2">
      <c r="B106" s="426">
        <v>45137</v>
      </c>
      <c r="C106" s="394">
        <v>55.7</v>
      </c>
      <c r="D106" s="420">
        <v>7.7161090698124157E-2</v>
      </c>
      <c r="F106" s="591">
        <v>97</v>
      </c>
      <c r="G106" s="420">
        <f t="shared" ca="1" si="9"/>
        <v>0.12338843397527326</v>
      </c>
    </row>
    <row r="107" spans="2:7" x14ac:dyDescent="0.2">
      <c r="B107" s="426">
        <v>45144</v>
      </c>
      <c r="C107" s="394">
        <v>57.62</v>
      </c>
      <c r="D107" s="420">
        <v>3.4470377019748533E-2</v>
      </c>
      <c r="F107" s="591">
        <v>98</v>
      </c>
      <c r="G107" s="420">
        <f t="shared" ca="1" si="9"/>
        <v>7.5282858938004515E-2</v>
      </c>
    </row>
    <row r="108" spans="2:7" x14ac:dyDescent="0.2">
      <c r="B108" s="426">
        <v>45151</v>
      </c>
      <c r="C108" s="394">
        <v>60.92</v>
      </c>
      <c r="D108" s="420">
        <v>5.7271780631725111E-2</v>
      </c>
      <c r="F108" s="591">
        <v>99</v>
      </c>
      <c r="G108" s="420">
        <f t="shared" ca="1" si="9"/>
        <v>7.6531262585663687E-2</v>
      </c>
    </row>
    <row r="109" spans="2:7" x14ac:dyDescent="0.2">
      <c r="B109" s="426">
        <v>45158</v>
      </c>
      <c r="C109" s="394">
        <v>65.010000000000005</v>
      </c>
      <c r="D109" s="420">
        <v>6.7137229152987477E-2</v>
      </c>
      <c r="F109" s="591">
        <v>100</v>
      </c>
      <c r="G109" s="420">
        <f t="shared" ca="1" si="9"/>
        <v>9.848755911100493E-2</v>
      </c>
    </row>
    <row r="110" spans="2:7" x14ac:dyDescent="0.2">
      <c r="B110" s="426">
        <v>45165</v>
      </c>
      <c r="C110" s="394">
        <v>66.05</v>
      </c>
      <c r="D110" s="420">
        <v>1.5997538840178294E-2</v>
      </c>
      <c r="F110" s="591">
        <v>101</v>
      </c>
      <c r="G110" s="420">
        <f t="shared" ca="1" si="9"/>
        <v>1.8447406480324408E-2</v>
      </c>
    </row>
    <row r="111" spans="2:7" x14ac:dyDescent="0.2">
      <c r="B111" s="426">
        <v>45172</v>
      </c>
      <c r="C111" s="394">
        <v>73.83</v>
      </c>
      <c r="D111" s="420">
        <v>0.11778955336866015</v>
      </c>
      <c r="F111" s="591">
        <v>102</v>
      </c>
      <c r="G111" s="420">
        <f t="shared" ca="1" si="9"/>
        <v>0.14340349004556441</v>
      </c>
    </row>
    <row r="112" spans="2:7" x14ac:dyDescent="0.2">
      <c r="B112" s="426">
        <v>45179</v>
      </c>
      <c r="C112" s="394">
        <v>75.88</v>
      </c>
      <c r="D112" s="420">
        <v>2.7766490586482506E-2</v>
      </c>
      <c r="F112" s="591">
        <v>103</v>
      </c>
      <c r="G112" s="420">
        <f t="shared" ca="1" si="9"/>
        <v>-1.3643959488198951E-2</v>
      </c>
    </row>
    <row r="113" spans="2:7" x14ac:dyDescent="0.2">
      <c r="B113" s="426">
        <v>45186</v>
      </c>
      <c r="C113" s="394">
        <v>76.78</v>
      </c>
      <c r="D113" s="420">
        <v>1.1860832894043272E-2</v>
      </c>
      <c r="F113" s="591">
        <v>104</v>
      </c>
      <c r="G113" s="420">
        <f t="shared" ca="1" si="9"/>
        <v>3.8154100562168253E-2</v>
      </c>
    </row>
    <row r="114" spans="2:7" x14ac:dyDescent="0.2">
      <c r="B114" s="426">
        <v>45193</v>
      </c>
      <c r="C114" s="394">
        <v>75.489999999999995</v>
      </c>
      <c r="D114" s="420">
        <v>-1.6801250325605754E-2</v>
      </c>
      <c r="F114" s="591">
        <v>105</v>
      </c>
      <c r="G114" s="420">
        <f t="shared" ca="1" si="9"/>
        <v>0.11109587867087162</v>
      </c>
    </row>
    <row r="115" spans="2:7" x14ac:dyDescent="0.2">
      <c r="B115" s="426">
        <v>45200</v>
      </c>
      <c r="C115" s="394">
        <v>72.86</v>
      </c>
      <c r="D115" s="420">
        <v>-3.4839051530003884E-2</v>
      </c>
      <c r="F115" s="591">
        <v>106</v>
      </c>
      <c r="G115" s="420">
        <f t="shared" ca="1" si="9"/>
        <v>0.11894965375851783</v>
      </c>
    </row>
    <row r="116" spans="2:7" x14ac:dyDescent="0.2">
      <c r="B116" s="426">
        <v>45207</v>
      </c>
      <c r="C116" s="394">
        <v>68.38</v>
      </c>
      <c r="D116" s="420">
        <v>-6.1487784792753297E-2</v>
      </c>
      <c r="F116" s="591">
        <v>107</v>
      </c>
      <c r="G116" s="420">
        <f t="shared" ca="1" si="9"/>
        <v>8.8506982871558337E-2</v>
      </c>
    </row>
    <row r="117" spans="2:7" x14ac:dyDescent="0.2">
      <c r="B117" s="426">
        <v>45214</v>
      </c>
      <c r="C117" s="394">
        <v>67.66</v>
      </c>
      <c r="D117" s="420">
        <v>-1.0529394559812832E-2</v>
      </c>
      <c r="F117" s="591">
        <v>108</v>
      </c>
      <c r="G117" s="420">
        <f t="shared" ca="1" si="9"/>
        <v>1.3854066090508751E-2</v>
      </c>
    </row>
    <row r="118" spans="2:7" x14ac:dyDescent="0.2">
      <c r="B118" s="426">
        <v>45221</v>
      </c>
      <c r="C118" s="394">
        <v>70.83</v>
      </c>
      <c r="D118" s="420">
        <v>4.6851906591782511E-2</v>
      </c>
      <c r="F118" s="591">
        <v>109</v>
      </c>
      <c r="G118" s="420">
        <f t="shared" ca="1" si="9"/>
        <v>-2.5881220777203878E-2</v>
      </c>
    </row>
    <row r="119" spans="2:7" x14ac:dyDescent="0.2">
      <c r="B119" s="426">
        <v>45228</v>
      </c>
      <c r="C119" s="394">
        <v>76.930000000000007</v>
      </c>
      <c r="D119" s="420">
        <v>8.6121699844698751E-2</v>
      </c>
      <c r="F119" s="591">
        <v>110</v>
      </c>
      <c r="G119" s="420">
        <f t="shared" ca="1" si="9"/>
        <v>0.10186334551682619</v>
      </c>
    </row>
    <row r="120" spans="2:7" x14ac:dyDescent="0.2">
      <c r="B120" s="426">
        <v>45235</v>
      </c>
      <c r="C120" s="394">
        <v>79.88</v>
      </c>
      <c r="D120" s="420">
        <v>3.8346548810606951E-2</v>
      </c>
      <c r="F120" s="591">
        <v>111</v>
      </c>
      <c r="G120" s="420">
        <f t="shared" ca="1" si="9"/>
        <v>-2.9157175120825368E-2</v>
      </c>
    </row>
    <row r="121" spans="2:7" x14ac:dyDescent="0.2">
      <c r="B121" s="426">
        <v>45242</v>
      </c>
      <c r="C121" s="394">
        <v>77.459999999999994</v>
      </c>
      <c r="D121" s="420">
        <v>-3.0295443164747193E-2</v>
      </c>
      <c r="F121" s="591">
        <v>112</v>
      </c>
      <c r="G121" s="420">
        <f t="shared" ca="1" si="9"/>
        <v>-0.10939380164685029</v>
      </c>
    </row>
    <row r="122" spans="2:7" x14ac:dyDescent="0.2">
      <c r="B122" s="426">
        <v>45249</v>
      </c>
      <c r="C122" s="394">
        <v>79.44</v>
      </c>
      <c r="D122" s="420">
        <v>2.5561580170410547E-2</v>
      </c>
      <c r="F122" s="591">
        <v>113</v>
      </c>
      <c r="G122" s="420">
        <f t="shared" ca="1" si="9"/>
        <v>6.5842138111330689E-2</v>
      </c>
    </row>
    <row r="123" spans="2:7" x14ac:dyDescent="0.2">
      <c r="B123" s="426">
        <v>45256</v>
      </c>
      <c r="C123" s="394">
        <v>88.08</v>
      </c>
      <c r="D123" s="420">
        <v>0.10876132930513593</v>
      </c>
      <c r="F123" s="591">
        <v>114</v>
      </c>
      <c r="G123" s="420">
        <f t="shared" ca="1" si="9"/>
        <v>-8.9802590535549065E-2</v>
      </c>
    </row>
    <row r="124" spans="2:7" x14ac:dyDescent="0.2">
      <c r="B124" s="426">
        <v>45263</v>
      </c>
      <c r="C124" s="394">
        <v>106.76</v>
      </c>
      <c r="D124" s="420">
        <v>0.212079927338783</v>
      </c>
      <c r="F124" s="591">
        <v>115</v>
      </c>
      <c r="G124" s="420">
        <f t="shared" ca="1" si="9"/>
        <v>-0.12756173823132391</v>
      </c>
    </row>
    <row r="125" spans="2:7" x14ac:dyDescent="0.2">
      <c r="B125" s="426">
        <v>45270</v>
      </c>
      <c r="C125" s="394">
        <v>107.77</v>
      </c>
      <c r="D125" s="420">
        <v>9.460472086923799E-3</v>
      </c>
      <c r="F125" s="591">
        <v>116</v>
      </c>
      <c r="G125" s="420">
        <f t="shared" ca="1" si="9"/>
        <v>5.3575596874445755E-2</v>
      </c>
    </row>
    <row r="126" spans="2:7" x14ac:dyDescent="0.2">
      <c r="B126" s="426">
        <v>45277</v>
      </c>
      <c r="C126" s="394">
        <v>102.51</v>
      </c>
      <c r="D126" s="420">
        <v>-4.8807645912591568E-2</v>
      </c>
      <c r="F126" s="591">
        <v>117</v>
      </c>
      <c r="G126" s="420">
        <f t="shared" ca="1" si="9"/>
        <v>-7.3949460066417894E-2</v>
      </c>
    </row>
    <row r="127" spans="2:7" x14ac:dyDescent="0.2">
      <c r="B127" s="426">
        <v>45284</v>
      </c>
      <c r="C127" s="394">
        <v>105.03</v>
      </c>
      <c r="D127" s="420">
        <v>2.4582967515364373E-2</v>
      </c>
      <c r="F127" s="591">
        <v>118</v>
      </c>
      <c r="G127" s="420">
        <f t="shared" ca="1" si="9"/>
        <v>-4.6496078318324474E-2</v>
      </c>
    </row>
    <row r="128" spans="2:7" x14ac:dyDescent="0.2">
      <c r="B128" s="426">
        <v>45291</v>
      </c>
      <c r="C128" s="394">
        <v>110.22</v>
      </c>
      <c r="D128" s="420">
        <v>4.941445301342462E-2</v>
      </c>
      <c r="F128" s="591">
        <v>119</v>
      </c>
      <c r="G128" s="420">
        <f t="shared" ca="1" si="9"/>
        <v>3.8378676074833529E-2</v>
      </c>
    </row>
    <row r="129" spans="2:7" x14ac:dyDescent="0.2">
      <c r="B129" s="426">
        <v>45298</v>
      </c>
      <c r="C129" s="394">
        <v>108.23</v>
      </c>
      <c r="D129" s="420">
        <v>-1.8054799491925233E-2</v>
      </c>
      <c r="F129" s="591">
        <v>120</v>
      </c>
      <c r="G129" s="420">
        <f t="shared" ca="1" si="9"/>
        <v>-6.8353753805431711E-3</v>
      </c>
    </row>
    <row r="130" spans="2:7" x14ac:dyDescent="0.2">
      <c r="B130" s="426">
        <v>45305</v>
      </c>
      <c r="C130" s="394">
        <v>103.35</v>
      </c>
      <c r="D130" s="420">
        <v>-4.5089161969878999E-2</v>
      </c>
      <c r="F130" s="591">
        <v>121</v>
      </c>
      <c r="G130" s="420">
        <f t="shared" ca="1" si="9"/>
        <v>7.6259671582071711E-2</v>
      </c>
    </row>
    <row r="131" spans="2:7" x14ac:dyDescent="0.2">
      <c r="B131" s="426">
        <v>45312</v>
      </c>
      <c r="C131" s="394">
        <v>108.66</v>
      </c>
      <c r="D131" s="420">
        <v>5.137880986937593E-2</v>
      </c>
      <c r="F131" s="591">
        <v>122</v>
      </c>
      <c r="G131" s="420">
        <f t="shared" ca="1" si="9"/>
        <v>-8.45502843093454E-2</v>
      </c>
    </row>
    <row r="132" spans="2:7" x14ac:dyDescent="0.2">
      <c r="B132" s="426">
        <v>45319</v>
      </c>
      <c r="C132" s="394">
        <v>111.88</v>
      </c>
      <c r="D132" s="420">
        <v>2.9633719860114205E-2</v>
      </c>
      <c r="F132" s="591">
        <v>123</v>
      </c>
      <c r="G132" s="420">
        <f t="shared" ca="1" si="9"/>
        <v>2.844489741216483E-2</v>
      </c>
    </row>
    <row r="133" spans="2:7" x14ac:dyDescent="0.2">
      <c r="B133" s="426">
        <v>45326</v>
      </c>
      <c r="C133" s="394">
        <v>113.9</v>
      </c>
      <c r="D133" s="420">
        <v>1.8055058991776951E-2</v>
      </c>
      <c r="F133" s="591">
        <v>124</v>
      </c>
      <c r="G133" s="420">
        <f t="shared" ca="1" si="9"/>
        <v>-7.3589303588647778E-3</v>
      </c>
    </row>
    <row r="134" spans="2:7" x14ac:dyDescent="0.2">
      <c r="B134" s="426">
        <v>45333</v>
      </c>
      <c r="C134" s="394">
        <v>112.75</v>
      </c>
      <c r="D134" s="420">
        <v>-1.0096575943810415E-2</v>
      </c>
      <c r="F134" s="591">
        <v>125</v>
      </c>
      <c r="G134" s="420">
        <f t="shared" ca="1" si="9"/>
        <v>-7.6234256425825639E-2</v>
      </c>
    </row>
    <row r="135" spans="2:7" x14ac:dyDescent="0.2">
      <c r="B135" s="426">
        <v>45340</v>
      </c>
      <c r="C135" s="394">
        <v>111.81</v>
      </c>
      <c r="D135" s="420">
        <v>-8.3370288248336699E-3</v>
      </c>
      <c r="F135" s="591">
        <v>126</v>
      </c>
      <c r="G135" s="420">
        <f t="shared" ca="1" si="9"/>
        <v>3.6572756506335444E-2</v>
      </c>
    </row>
    <row r="136" spans="2:7" x14ac:dyDescent="0.2">
      <c r="B136" s="426">
        <v>45347</v>
      </c>
      <c r="C136" s="394">
        <v>110.83</v>
      </c>
      <c r="D136" s="420">
        <v>-8.7648689741526287E-3</v>
      </c>
      <c r="F136" s="591">
        <v>127</v>
      </c>
      <c r="G136" s="420">
        <f t="shared" ca="1" si="9"/>
        <v>5.3310883078970472E-2</v>
      </c>
    </row>
    <row r="137" spans="2:7" x14ac:dyDescent="0.2">
      <c r="B137" s="426">
        <v>45354</v>
      </c>
      <c r="C137" s="394">
        <v>113.37</v>
      </c>
      <c r="D137" s="420">
        <v>2.2917982495714195E-2</v>
      </c>
      <c r="F137" s="591">
        <v>128</v>
      </c>
      <c r="G137" s="420">
        <f t="shared" ca="1" si="9"/>
        <v>1.2842706612820406E-2</v>
      </c>
    </row>
    <row r="138" spans="2:7" x14ac:dyDescent="0.2">
      <c r="B138" s="426">
        <v>45361</v>
      </c>
      <c r="C138" s="394">
        <v>106.08</v>
      </c>
      <c r="D138" s="420">
        <v>-6.4302725588780141E-2</v>
      </c>
      <c r="F138" s="591">
        <v>129</v>
      </c>
      <c r="G138" s="420">
        <f t="shared" ca="1" si="9"/>
        <v>-3.7905677900056736E-2</v>
      </c>
    </row>
    <row r="139" spans="2:7" x14ac:dyDescent="0.2">
      <c r="B139" s="426">
        <v>45368</v>
      </c>
      <c r="C139" s="394">
        <v>106.21</v>
      </c>
      <c r="D139" s="420">
        <v>1.225490196078427E-3</v>
      </c>
      <c r="F139" s="591">
        <v>130</v>
      </c>
      <c r="G139" s="420">
        <f t="shared" ref="G139:G202" ca="1" si="10">_xlfn.NORM.INV(RAND(), $M$11,$M$12)</f>
        <v>0.12485922939319696</v>
      </c>
    </row>
    <row r="140" spans="2:7" x14ac:dyDescent="0.2">
      <c r="B140" s="426">
        <v>45375</v>
      </c>
      <c r="C140" s="394">
        <v>106.76</v>
      </c>
      <c r="D140" s="420">
        <v>5.1784201111007011E-3</v>
      </c>
      <c r="F140" s="591">
        <v>131</v>
      </c>
      <c r="G140" s="420">
        <f t="shared" ca="1" si="10"/>
        <v>-4.078628726494414E-3</v>
      </c>
    </row>
    <row r="141" spans="2:7" x14ac:dyDescent="0.2">
      <c r="B141" s="426">
        <v>45382</v>
      </c>
      <c r="C141" s="394">
        <v>125.34</v>
      </c>
      <c r="D141" s="420">
        <v>0.17403521918321463</v>
      </c>
      <c r="F141" s="591">
        <v>132</v>
      </c>
      <c r="G141" s="420">
        <f t="shared" ca="1" si="10"/>
        <v>0.11185220561269567</v>
      </c>
    </row>
    <row r="142" spans="2:7" x14ac:dyDescent="0.2">
      <c r="B142" s="426">
        <v>45389</v>
      </c>
      <c r="C142" s="394">
        <v>119.04</v>
      </c>
      <c r="D142" s="420">
        <v>-5.0263283867879371E-2</v>
      </c>
      <c r="F142" s="591">
        <v>133</v>
      </c>
      <c r="G142" s="420">
        <f t="shared" ca="1" si="10"/>
        <v>5.4015834380088709E-2</v>
      </c>
    </row>
    <row r="143" spans="2:7" x14ac:dyDescent="0.2">
      <c r="B143" s="426">
        <v>45396</v>
      </c>
      <c r="C143" s="394">
        <v>118.91</v>
      </c>
      <c r="D143" s="420">
        <v>-1.0920698924732353E-3</v>
      </c>
      <c r="F143" s="591">
        <v>134</v>
      </c>
      <c r="G143" s="420">
        <f t="shared" ca="1" si="10"/>
        <v>1.1010819877609632E-2</v>
      </c>
    </row>
    <row r="144" spans="2:7" x14ac:dyDescent="0.2">
      <c r="B144" s="426">
        <v>45403</v>
      </c>
      <c r="C144" s="394">
        <v>118.32</v>
      </c>
      <c r="D144" s="420">
        <v>-4.961735766546127E-3</v>
      </c>
      <c r="F144" s="591">
        <v>135</v>
      </c>
      <c r="G144" s="420">
        <f t="shared" ca="1" si="10"/>
        <v>-1.5020175707324446E-2</v>
      </c>
    </row>
    <row r="145" spans="2:7" x14ac:dyDescent="0.2">
      <c r="B145" s="426">
        <v>45410</v>
      </c>
      <c r="C145" s="394">
        <v>120.94</v>
      </c>
      <c r="D145" s="420">
        <v>2.2143340094658681E-2</v>
      </c>
      <c r="F145" s="591">
        <v>136</v>
      </c>
      <c r="G145" s="420">
        <f t="shared" ca="1" si="10"/>
        <v>6.3036947490123868E-2</v>
      </c>
    </row>
    <row r="146" spans="2:7" x14ac:dyDescent="0.2">
      <c r="B146" s="426">
        <v>45417</v>
      </c>
      <c r="C146" s="394">
        <v>120.62</v>
      </c>
      <c r="D146" s="420">
        <v>-2.6459401356043744E-3</v>
      </c>
      <c r="F146" s="591">
        <v>137</v>
      </c>
      <c r="G146" s="420">
        <f t="shared" ca="1" si="10"/>
        <v>4.7975392592610341E-2</v>
      </c>
    </row>
    <row r="147" spans="2:7" x14ac:dyDescent="0.2">
      <c r="B147" s="426">
        <v>45424</v>
      </c>
      <c r="C147" s="394">
        <v>127.19</v>
      </c>
      <c r="D147" s="420">
        <v>5.4468579008456253E-2</v>
      </c>
      <c r="F147" s="591">
        <v>138</v>
      </c>
      <c r="G147" s="420">
        <f t="shared" ca="1" si="10"/>
        <v>9.2263197417796622E-3</v>
      </c>
    </row>
    <row r="148" spans="2:7" x14ac:dyDescent="0.2">
      <c r="B148" s="426">
        <v>45431</v>
      </c>
      <c r="C148" s="394">
        <v>141.4</v>
      </c>
      <c r="D148" s="420">
        <v>0.11172261970280695</v>
      </c>
      <c r="F148" s="591">
        <v>139</v>
      </c>
      <c r="G148" s="420">
        <f t="shared" ca="1" si="10"/>
        <v>-6.3899313377073164E-2</v>
      </c>
    </row>
    <row r="149" spans="2:7" x14ac:dyDescent="0.2">
      <c r="B149" s="426">
        <v>45438</v>
      </c>
      <c r="C149" s="394">
        <v>151.16</v>
      </c>
      <c r="D149" s="420">
        <v>6.9024045261669054E-2</v>
      </c>
      <c r="F149" s="591">
        <v>140</v>
      </c>
      <c r="G149" s="420">
        <f t="shared" ca="1" si="10"/>
        <v>9.8149201783778312E-2</v>
      </c>
    </row>
    <row r="150" spans="2:7" x14ac:dyDescent="0.2">
      <c r="B150" s="426">
        <v>45445</v>
      </c>
      <c r="C150" s="394">
        <v>153.41</v>
      </c>
      <c r="D150" s="420">
        <v>1.4884890182587984E-2</v>
      </c>
      <c r="F150" s="591">
        <v>141</v>
      </c>
      <c r="G150" s="420">
        <f t="shared" ca="1" si="10"/>
        <v>-2.9218602070565331E-2</v>
      </c>
    </row>
    <row r="151" spans="2:7" x14ac:dyDescent="0.2">
      <c r="B151" s="426">
        <v>45452</v>
      </c>
      <c r="C151" s="394">
        <v>149.35</v>
      </c>
      <c r="D151" s="420">
        <v>-2.6465028355387554E-2</v>
      </c>
      <c r="F151" s="591">
        <v>142</v>
      </c>
      <c r="G151" s="420">
        <f t="shared" ca="1" si="10"/>
        <v>-7.0321924612549588E-2</v>
      </c>
    </row>
    <row r="152" spans="2:7" x14ac:dyDescent="0.2">
      <c r="B152" s="426">
        <v>45459</v>
      </c>
      <c r="C152" s="394">
        <v>146.72999999999999</v>
      </c>
      <c r="D152" s="420">
        <v>-1.7542684968195554E-2</v>
      </c>
      <c r="F152" s="591">
        <v>143</v>
      </c>
      <c r="G152" s="420">
        <f t="shared" ca="1" si="10"/>
        <v>6.9482121370017056E-3</v>
      </c>
    </row>
    <row r="153" spans="2:7" x14ac:dyDescent="0.2">
      <c r="B153" s="426">
        <v>45466</v>
      </c>
      <c r="C153" s="394">
        <v>143.72</v>
      </c>
      <c r="D153" s="420">
        <v>-2.0513869011108743E-2</v>
      </c>
      <c r="F153" s="591">
        <v>144</v>
      </c>
      <c r="G153" s="420">
        <f t="shared" ca="1" si="10"/>
        <v>-1.3593911215104743E-2</v>
      </c>
    </row>
    <row r="154" spans="2:7" x14ac:dyDescent="0.2">
      <c r="B154" s="426">
        <v>45473</v>
      </c>
      <c r="C154" s="394">
        <v>141.78</v>
      </c>
      <c r="D154" s="420">
        <v>-1.3498469245755595E-2</v>
      </c>
      <c r="F154" s="591">
        <v>145</v>
      </c>
      <c r="G154" s="420">
        <f t="shared" ca="1" si="10"/>
        <v>-3.6363718918953236E-2</v>
      </c>
    </row>
    <row r="155" spans="2:7" x14ac:dyDescent="0.2">
      <c r="B155" s="426">
        <v>45480</v>
      </c>
      <c r="C155" s="394">
        <v>141.99</v>
      </c>
      <c r="D155" s="420">
        <v>1.4811680067710054E-3</v>
      </c>
      <c r="F155" s="591">
        <v>146</v>
      </c>
      <c r="G155" s="420">
        <f t="shared" ca="1" si="10"/>
        <v>-3.049796403021195E-2</v>
      </c>
    </row>
    <row r="156" spans="2:7" x14ac:dyDescent="0.2">
      <c r="B156" s="426">
        <v>45487</v>
      </c>
      <c r="C156" s="394">
        <v>138.9</v>
      </c>
      <c r="D156" s="420">
        <v>-2.1762095922248093E-2</v>
      </c>
      <c r="F156" s="591">
        <v>147</v>
      </c>
      <c r="G156" s="420">
        <f t="shared" ca="1" si="10"/>
        <v>0.10616851089860144</v>
      </c>
    </row>
    <row r="157" spans="2:7" x14ac:dyDescent="0.2">
      <c r="B157" s="426">
        <v>45494</v>
      </c>
      <c r="C157" s="394">
        <v>142.53</v>
      </c>
      <c r="D157" s="420">
        <v>2.6133909287257007E-2</v>
      </c>
      <c r="F157" s="591">
        <v>148</v>
      </c>
      <c r="G157" s="420">
        <f t="shared" ca="1" si="10"/>
        <v>0.20189602904203516</v>
      </c>
    </row>
    <row r="158" spans="2:7" x14ac:dyDescent="0.2">
      <c r="B158" s="426">
        <v>45501</v>
      </c>
      <c r="C158" s="394">
        <v>145.27000000000001</v>
      </c>
      <c r="D158" s="420">
        <v>1.922402301269921E-2</v>
      </c>
      <c r="F158" s="591">
        <v>149</v>
      </c>
      <c r="G158" s="420">
        <f t="shared" ca="1" si="10"/>
        <v>-2.8420600939991363E-2</v>
      </c>
    </row>
    <row r="159" spans="2:7" x14ac:dyDescent="0.2">
      <c r="B159" s="426">
        <v>45508</v>
      </c>
      <c r="C159" s="394">
        <v>139.08000000000001</v>
      </c>
      <c r="D159" s="420">
        <v>-4.2610311833138237E-2</v>
      </c>
      <c r="F159" s="591">
        <v>150</v>
      </c>
      <c r="G159" s="420">
        <f t="shared" ca="1" si="10"/>
        <v>1.6785097955865916E-2</v>
      </c>
    </row>
    <row r="160" spans="2:7" x14ac:dyDescent="0.2">
      <c r="B160" s="426">
        <v>45515</v>
      </c>
      <c r="C160" s="394">
        <v>139.47999999999999</v>
      </c>
      <c r="D160" s="420">
        <v>2.8760425654297261E-3</v>
      </c>
      <c r="F160" s="591">
        <v>151</v>
      </c>
      <c r="G160" s="420">
        <f t="shared" ca="1" si="10"/>
        <v>3.2094293643985694E-2</v>
      </c>
    </row>
    <row r="161" spans="2:7" x14ac:dyDescent="0.2">
      <c r="B161" s="426">
        <v>45522</v>
      </c>
      <c r="C161" s="394">
        <v>135.16</v>
      </c>
      <c r="D161" s="420">
        <v>-3.097218239174071E-2</v>
      </c>
      <c r="F161" s="591">
        <v>152</v>
      </c>
      <c r="G161" s="420">
        <f t="shared" ca="1" si="10"/>
        <v>7.7615471733637392E-2</v>
      </c>
    </row>
    <row r="162" spans="2:7" x14ac:dyDescent="0.2">
      <c r="B162" s="426">
        <v>45529</v>
      </c>
      <c r="C162" s="394">
        <v>126.41</v>
      </c>
      <c r="D162" s="420">
        <v>-6.4738088191772736E-2</v>
      </c>
      <c r="F162" s="591">
        <v>153</v>
      </c>
      <c r="G162" s="420">
        <f t="shared" ca="1" si="10"/>
        <v>3.7061569493771492E-2</v>
      </c>
    </row>
    <row r="163" spans="2:7" x14ac:dyDescent="0.2">
      <c r="B163" s="426">
        <v>45536</v>
      </c>
      <c r="C163" s="394">
        <v>126.94</v>
      </c>
      <c r="D163" s="420">
        <v>4.1927062732378673E-3</v>
      </c>
      <c r="F163" s="591">
        <v>154</v>
      </c>
      <c r="G163" s="420">
        <f t="shared" ca="1" si="10"/>
        <v>3.0717506908915664E-2</v>
      </c>
    </row>
    <row r="164" spans="2:7" x14ac:dyDescent="0.2">
      <c r="B164" s="426">
        <v>45543</v>
      </c>
      <c r="C164" s="394">
        <v>126.69</v>
      </c>
      <c r="D164" s="420">
        <v>-1.969434378446544E-3</v>
      </c>
      <c r="F164" s="591">
        <v>155</v>
      </c>
      <c r="G164" s="420">
        <f t="shared" ca="1" si="10"/>
        <v>3.5033707365183006E-2</v>
      </c>
    </row>
    <row r="165" spans="2:7" x14ac:dyDescent="0.2">
      <c r="B165" s="426">
        <v>45550</v>
      </c>
      <c r="C165" s="394">
        <v>133.03</v>
      </c>
      <c r="D165" s="420">
        <v>5.0043413055489872E-2</v>
      </c>
      <c r="F165" s="591">
        <v>156</v>
      </c>
      <c r="G165" s="420">
        <f t="shared" ca="1" si="10"/>
        <v>0.12247790871574643</v>
      </c>
    </row>
    <row r="166" spans="2:7" x14ac:dyDescent="0.2">
      <c r="B166" s="426">
        <v>45557</v>
      </c>
      <c r="C166" s="394">
        <v>130.86000000000001</v>
      </c>
      <c r="D166" s="420">
        <v>-1.6312110050364481E-2</v>
      </c>
      <c r="F166" s="591">
        <v>157</v>
      </c>
      <c r="G166" s="420">
        <f t="shared" ca="1" si="10"/>
        <v>-9.5332820872654031E-2</v>
      </c>
    </row>
    <row r="167" spans="2:7" x14ac:dyDescent="0.2">
      <c r="B167" s="426">
        <v>45564</v>
      </c>
      <c r="C167" s="394">
        <v>128.41999999999999</v>
      </c>
      <c r="D167" s="420">
        <v>-1.8645881094299432E-2</v>
      </c>
      <c r="F167" s="591">
        <v>158</v>
      </c>
      <c r="G167" s="420">
        <f t="shared" ca="1" si="10"/>
        <v>-2.8272480949669627E-2</v>
      </c>
    </row>
    <row r="168" spans="2:7" x14ac:dyDescent="0.2">
      <c r="B168" s="426">
        <v>45571</v>
      </c>
      <c r="C168" s="394">
        <v>128.46</v>
      </c>
      <c r="D168" s="420">
        <v>3.1147796293429231E-4</v>
      </c>
      <c r="F168" s="591">
        <v>159</v>
      </c>
      <c r="G168" s="420">
        <f t="shared" ca="1" si="10"/>
        <v>6.4354861346009151E-2</v>
      </c>
    </row>
    <row r="169" spans="2:7" x14ac:dyDescent="0.2">
      <c r="B169" s="426">
        <v>45578</v>
      </c>
      <c r="C169" s="394">
        <v>122.28</v>
      </c>
      <c r="D169" s="420">
        <v>-4.8108360579168674E-2</v>
      </c>
      <c r="F169" s="591">
        <v>160</v>
      </c>
      <c r="G169" s="420">
        <f t="shared" ca="1" si="10"/>
        <v>5.3388369270267216E-2</v>
      </c>
    </row>
    <row r="170" spans="2:7" x14ac:dyDescent="0.2">
      <c r="B170" s="426">
        <v>45585</v>
      </c>
      <c r="C170" s="394">
        <v>118.46</v>
      </c>
      <c r="D170" s="420">
        <v>-3.1239777559699089E-2</v>
      </c>
      <c r="F170" s="591">
        <v>161</v>
      </c>
      <c r="G170" s="420">
        <f t="shared" ca="1" si="10"/>
        <v>-2.5742806766625877E-2</v>
      </c>
    </row>
    <row r="171" spans="2:7" x14ac:dyDescent="0.2">
      <c r="B171" s="426">
        <v>45592</v>
      </c>
      <c r="C171" s="394">
        <v>119.47</v>
      </c>
      <c r="D171" s="420">
        <v>8.5260847543475737E-3</v>
      </c>
      <c r="F171" s="591">
        <v>162</v>
      </c>
      <c r="G171" s="420">
        <f t="shared" ca="1" si="10"/>
        <v>-4.0356732545676802E-2</v>
      </c>
    </row>
    <row r="172" spans="2:7" x14ac:dyDescent="0.2">
      <c r="B172" s="426">
        <v>45599</v>
      </c>
      <c r="C172" s="394">
        <v>117.8</v>
      </c>
      <c r="D172" s="420">
        <v>-1.3978404620406781E-2</v>
      </c>
      <c r="F172" s="591">
        <v>163</v>
      </c>
      <c r="G172" s="420">
        <f t="shared" ca="1" si="10"/>
        <v>-3.8888091168773689E-2</v>
      </c>
    </row>
    <row r="173" spans="2:7" x14ac:dyDescent="0.2">
      <c r="B173" s="426">
        <v>45606</v>
      </c>
      <c r="C173" s="394">
        <v>109.82</v>
      </c>
      <c r="D173" s="420">
        <v>-6.7741935483870974E-2</v>
      </c>
      <c r="F173" s="591">
        <v>164</v>
      </c>
      <c r="G173" s="420">
        <f t="shared" ca="1" si="10"/>
        <v>5.6473771023806171E-2</v>
      </c>
    </row>
    <row r="174" spans="2:7" x14ac:dyDescent="0.2">
      <c r="B174" s="426">
        <v>45613</v>
      </c>
      <c r="C174" s="394">
        <v>92.09</v>
      </c>
      <c r="D174" s="420">
        <v>-0.1614460025496266</v>
      </c>
      <c r="F174" s="591">
        <v>165</v>
      </c>
      <c r="G174" s="420">
        <f t="shared" ca="1" si="10"/>
        <v>6.4247905332413813E-2</v>
      </c>
    </row>
    <row r="175" spans="2:7" x14ac:dyDescent="0.2">
      <c r="B175" s="426">
        <v>45620</v>
      </c>
      <c r="C175" s="394">
        <v>110.96</v>
      </c>
      <c r="D175" s="420">
        <v>0.20490824193723522</v>
      </c>
      <c r="F175" s="591">
        <v>166</v>
      </c>
      <c r="G175" s="420">
        <f t="shared" ca="1" si="10"/>
        <v>-8.8106305910860029E-3</v>
      </c>
    </row>
    <row r="176" spans="2:7" x14ac:dyDescent="0.2">
      <c r="B176" s="426">
        <v>45627</v>
      </c>
      <c r="C176" s="394">
        <v>107.22</v>
      </c>
      <c r="D176" s="420">
        <v>-3.3705839942321458E-2</v>
      </c>
      <c r="F176" s="591">
        <v>167</v>
      </c>
      <c r="G176" s="420">
        <f t="shared" ca="1" si="10"/>
        <v>3.173924840215521E-2</v>
      </c>
    </row>
    <row r="177" spans="2:7" x14ac:dyDescent="0.2">
      <c r="B177" s="426">
        <v>45634</v>
      </c>
      <c r="C177" s="394">
        <v>107.32</v>
      </c>
      <c r="D177" s="420">
        <v>9.3266181682527538E-4</v>
      </c>
      <c r="F177" s="591">
        <v>168</v>
      </c>
      <c r="G177" s="420">
        <f t="shared" ca="1" si="10"/>
        <v>0.14080352915900396</v>
      </c>
    </row>
    <row r="178" spans="2:7" x14ac:dyDescent="0.2">
      <c r="B178" s="426">
        <v>45641</v>
      </c>
      <c r="C178" s="394">
        <v>99.58</v>
      </c>
      <c r="D178" s="420">
        <v>-7.2120760342899715E-2</v>
      </c>
      <c r="F178" s="591">
        <v>169</v>
      </c>
      <c r="G178" s="420">
        <f t="shared" ca="1" si="10"/>
        <v>-4.6100261220796454E-2</v>
      </c>
    </row>
    <row r="179" spans="2:7" x14ac:dyDescent="0.2">
      <c r="B179" s="426">
        <v>45648</v>
      </c>
      <c r="C179" s="394">
        <v>101.35</v>
      </c>
      <c r="D179" s="420">
        <v>1.7774653544888386E-2</v>
      </c>
      <c r="F179" s="591">
        <v>170</v>
      </c>
      <c r="G179" s="420">
        <f t="shared" ca="1" si="10"/>
        <v>0.13614769376787877</v>
      </c>
    </row>
    <row r="180" spans="2:7" x14ac:dyDescent="0.2">
      <c r="B180" s="426">
        <v>45655</v>
      </c>
      <c r="C180" s="394">
        <v>104.09</v>
      </c>
      <c r="D180" s="420">
        <v>2.7035027133695211E-2</v>
      </c>
      <c r="F180" s="591">
        <v>171</v>
      </c>
      <c r="G180" s="420">
        <f t="shared" ca="1" si="10"/>
        <v>-5.5596176779690379E-2</v>
      </c>
    </row>
    <row r="181" spans="2:7" x14ac:dyDescent="0.2">
      <c r="B181" s="426">
        <v>45662</v>
      </c>
      <c r="C181" s="394">
        <v>96.46</v>
      </c>
      <c r="D181" s="420">
        <v>-7.3301950235373337E-2</v>
      </c>
      <c r="F181" s="591">
        <v>172</v>
      </c>
      <c r="G181" s="420">
        <f t="shared" ca="1" si="10"/>
        <v>-8.6446787518305951E-2</v>
      </c>
    </row>
    <row r="182" spans="2:7" x14ac:dyDescent="0.2">
      <c r="B182" s="426">
        <v>45669</v>
      </c>
      <c r="C182" s="394">
        <v>110.26</v>
      </c>
      <c r="D182" s="420">
        <v>0.14306448268712435</v>
      </c>
      <c r="F182" s="591">
        <v>173</v>
      </c>
      <c r="G182" s="420">
        <f t="shared" ca="1" si="10"/>
        <v>7.4655050835887929E-2</v>
      </c>
    </row>
    <row r="183" spans="2:7" x14ac:dyDescent="0.2">
      <c r="B183" s="426">
        <v>45676</v>
      </c>
      <c r="C183" s="394">
        <v>102.97</v>
      </c>
      <c r="D183" s="420">
        <v>-6.6116452022492389E-2</v>
      </c>
      <c r="F183" s="591">
        <v>174</v>
      </c>
      <c r="G183" s="420">
        <f t="shared" ca="1" si="10"/>
        <v>7.2785776233340566E-2</v>
      </c>
    </row>
    <row r="184" spans="2:7" x14ac:dyDescent="0.2">
      <c r="B184" s="426">
        <v>45683</v>
      </c>
      <c r="C184" s="394">
        <v>102.64</v>
      </c>
      <c r="D184" s="420">
        <v>-3.2048169369719437E-3</v>
      </c>
      <c r="F184" s="591">
        <v>175</v>
      </c>
      <c r="G184" s="420">
        <f t="shared" ca="1" si="10"/>
        <v>0.10457836128663679</v>
      </c>
    </row>
    <row r="185" spans="2:7" x14ac:dyDescent="0.2">
      <c r="B185" s="426">
        <v>45690</v>
      </c>
      <c r="C185" s="394">
        <v>98.82</v>
      </c>
      <c r="D185" s="420">
        <v>-3.7217459080280624E-2</v>
      </c>
      <c r="F185" s="591">
        <v>176</v>
      </c>
      <c r="G185" s="420">
        <f t="shared" ca="1" si="10"/>
        <v>7.2790467923147889E-2</v>
      </c>
    </row>
    <row r="186" spans="2:7" x14ac:dyDescent="0.2">
      <c r="B186" s="426">
        <v>45697</v>
      </c>
      <c r="C186" s="394">
        <v>97.73</v>
      </c>
      <c r="D186" s="420">
        <v>-1.1030155838898881E-2</v>
      </c>
      <c r="F186" s="591">
        <v>177</v>
      </c>
      <c r="G186" s="420">
        <f t="shared" ca="1" si="10"/>
        <v>-0.1031866684395681</v>
      </c>
    </row>
    <row r="187" spans="2:7" x14ac:dyDescent="0.2">
      <c r="B187" s="426">
        <v>45704</v>
      </c>
      <c r="C187" s="394">
        <v>95.73</v>
      </c>
      <c r="D187" s="420">
        <v>-2.0464545175483462E-2</v>
      </c>
      <c r="F187" s="591">
        <v>178</v>
      </c>
      <c r="G187" s="420">
        <f t="shared" ca="1" si="10"/>
        <v>4.2328105619171282E-2</v>
      </c>
    </row>
    <row r="188" spans="2:7" x14ac:dyDescent="0.2">
      <c r="B188" s="426">
        <v>45711</v>
      </c>
      <c r="C188" s="394">
        <v>95.79</v>
      </c>
      <c r="D188" s="420">
        <v>6.2676277029138916E-4</v>
      </c>
      <c r="F188" s="591">
        <v>179</v>
      </c>
      <c r="G188" s="420">
        <f t="shared" ca="1" si="10"/>
        <v>8.9324747672417937E-2</v>
      </c>
    </row>
    <row r="189" spans="2:7" x14ac:dyDescent="0.2">
      <c r="B189" s="426">
        <v>45718</v>
      </c>
      <c r="C189" s="394">
        <v>101.23</v>
      </c>
      <c r="D189" s="420">
        <v>5.6790896753314613E-2</v>
      </c>
      <c r="F189" s="591">
        <v>180</v>
      </c>
      <c r="G189" s="420">
        <f t="shared" ca="1" si="10"/>
        <v>3.1371533330558393E-2</v>
      </c>
    </row>
    <row r="190" spans="2:7" x14ac:dyDescent="0.2">
      <c r="B190" s="426">
        <v>45725</v>
      </c>
      <c r="C190" s="394">
        <v>102.4</v>
      </c>
      <c r="D190" s="420">
        <v>1.1557838585399605E-2</v>
      </c>
      <c r="F190" s="591">
        <v>181</v>
      </c>
      <c r="G190" s="420">
        <f t="shared" ca="1" si="10"/>
        <v>-0.11502583966518511</v>
      </c>
    </row>
    <row r="191" spans="2:7" x14ac:dyDescent="0.2">
      <c r="B191" s="426">
        <v>45732</v>
      </c>
      <c r="C191" s="394">
        <v>104.42</v>
      </c>
      <c r="D191" s="420">
        <v>1.9726562500000044E-2</v>
      </c>
      <c r="F191" s="591">
        <v>182</v>
      </c>
      <c r="G191" s="420">
        <f t="shared" ca="1" si="10"/>
        <v>-5.4456711724865325E-2</v>
      </c>
    </row>
    <row r="192" spans="2:7" x14ac:dyDescent="0.2">
      <c r="B192" s="426">
        <v>45739</v>
      </c>
      <c r="C192" s="394">
        <v>101.86</v>
      </c>
      <c r="D192" s="420">
        <v>-2.4516376173146948E-2</v>
      </c>
      <c r="F192" s="591">
        <v>183</v>
      </c>
      <c r="G192" s="420">
        <f t="shared" ca="1" si="10"/>
        <v>1.7381505657136059E-2</v>
      </c>
    </row>
    <row r="193" spans="2:7" x14ac:dyDescent="0.2">
      <c r="B193" s="426">
        <v>45746</v>
      </c>
      <c r="C193" s="394">
        <v>106.51</v>
      </c>
      <c r="D193" s="420">
        <v>4.565089338307482E-2</v>
      </c>
      <c r="F193" s="591">
        <v>184</v>
      </c>
      <c r="G193" s="420">
        <f t="shared" ca="1" si="10"/>
        <v>0.11607283791174428</v>
      </c>
    </row>
    <row r="194" spans="2:7" x14ac:dyDescent="0.2">
      <c r="B194" s="426">
        <v>45753</v>
      </c>
      <c r="C194" s="394">
        <v>103.65</v>
      </c>
      <c r="D194" s="420">
        <v>-2.6851938785090623E-2</v>
      </c>
      <c r="F194" s="591">
        <v>185</v>
      </c>
      <c r="G194" s="420">
        <f t="shared" ca="1" si="10"/>
        <v>-5.6504027277601288E-2</v>
      </c>
    </row>
    <row r="195" spans="2:7" x14ac:dyDescent="0.2">
      <c r="B195" s="426">
        <v>45760</v>
      </c>
      <c r="C195" s="394">
        <v>109.94</v>
      </c>
      <c r="D195" s="420">
        <v>6.0684997588036582E-2</v>
      </c>
      <c r="F195" s="591">
        <v>186</v>
      </c>
      <c r="G195" s="420">
        <f t="shared" ca="1" si="10"/>
        <v>-5.9336721388335692E-2</v>
      </c>
    </row>
    <row r="196" spans="2:7" x14ac:dyDescent="0.2">
      <c r="B196" s="426">
        <v>45767</v>
      </c>
      <c r="C196" s="394">
        <v>109.87</v>
      </c>
      <c r="D196" s="420">
        <v>-6.3671093323625083E-4</v>
      </c>
      <c r="F196" s="591">
        <v>187</v>
      </c>
      <c r="G196" s="420">
        <f t="shared" ca="1" si="10"/>
        <v>8.2945033218011457E-2</v>
      </c>
    </row>
    <row r="197" spans="2:7" x14ac:dyDescent="0.2">
      <c r="B197" s="426">
        <v>45774</v>
      </c>
      <c r="C197" s="394">
        <v>105.04</v>
      </c>
      <c r="D197" s="420">
        <v>-4.3961044871211441E-2</v>
      </c>
      <c r="F197" s="591">
        <v>188</v>
      </c>
      <c r="G197" s="420">
        <f t="shared" ca="1" si="10"/>
        <v>7.6894181067761747E-2</v>
      </c>
    </row>
    <row r="198" spans="2:7" x14ac:dyDescent="0.2">
      <c r="B198" s="426">
        <v>45781</v>
      </c>
      <c r="C198" s="394">
        <v>102.4</v>
      </c>
      <c r="D198" s="420">
        <v>-2.5133282559025139E-2</v>
      </c>
      <c r="F198" s="591">
        <v>189</v>
      </c>
      <c r="G198" s="420">
        <f t="shared" ca="1" si="10"/>
        <v>1.2977875183645494E-2</v>
      </c>
    </row>
    <row r="199" spans="2:7" x14ac:dyDescent="0.2">
      <c r="B199" s="426">
        <v>45788</v>
      </c>
      <c r="C199" s="394">
        <v>113.1</v>
      </c>
      <c r="D199" s="420">
        <v>0.10449218749999978</v>
      </c>
      <c r="F199" s="591">
        <v>190</v>
      </c>
      <c r="G199" s="420">
        <f t="shared" ca="1" si="10"/>
        <v>3.272244239330574E-2</v>
      </c>
    </row>
    <row r="200" spans="2:7" x14ac:dyDescent="0.2">
      <c r="B200" s="426">
        <v>45795</v>
      </c>
      <c r="C200" s="394">
        <v>110.64</v>
      </c>
      <c r="D200" s="420">
        <v>-2.1750663129973424E-2</v>
      </c>
      <c r="F200" s="591">
        <v>191</v>
      </c>
      <c r="G200" s="420">
        <f t="shared" ca="1" si="10"/>
        <v>-7.0788288284802187E-2</v>
      </c>
    </row>
    <row r="201" spans="2:7" x14ac:dyDescent="0.2">
      <c r="B201" s="426">
        <v>45802</v>
      </c>
      <c r="C201" s="394">
        <v>108.76</v>
      </c>
      <c r="D201" s="420">
        <v>-1.6992046276211092E-2</v>
      </c>
      <c r="F201" s="591">
        <v>192</v>
      </c>
      <c r="G201" s="420">
        <f t="shared" ca="1" si="10"/>
        <v>7.9712303123603261E-3</v>
      </c>
    </row>
    <row r="202" spans="2:7" x14ac:dyDescent="0.2">
      <c r="B202" s="426">
        <v>45809</v>
      </c>
      <c r="C202" s="394">
        <v>111.05</v>
      </c>
      <c r="D202" s="420">
        <v>2.1055535123206903E-2</v>
      </c>
      <c r="F202" s="591">
        <v>193</v>
      </c>
      <c r="G202" s="420">
        <f t="shared" ca="1" si="10"/>
        <v>-7.8003785593064839E-2</v>
      </c>
    </row>
    <row r="203" spans="2:7" x14ac:dyDescent="0.2">
      <c r="B203" s="426">
        <v>45816</v>
      </c>
      <c r="C203" s="394">
        <v>114.18</v>
      </c>
      <c r="D203" s="420">
        <v>2.8185502026114362E-2</v>
      </c>
      <c r="F203" s="591">
        <v>194</v>
      </c>
      <c r="G203" s="420">
        <f t="shared" ref="G203:G266" ca="1" si="11">_xlfn.NORM.INV(RAND(), $M$11,$M$12)</f>
        <v>0.10827118199471464</v>
      </c>
    </row>
    <row r="204" spans="2:7" x14ac:dyDescent="0.2">
      <c r="B204" s="426">
        <v>45823</v>
      </c>
      <c r="C204" s="394">
        <v>106.05</v>
      </c>
      <c r="D204" s="420">
        <v>-7.1203363110877604E-2</v>
      </c>
      <c r="F204" s="591">
        <v>195</v>
      </c>
      <c r="G204" s="420">
        <f t="shared" ca="1" si="11"/>
        <v>-2.2711075456076982E-2</v>
      </c>
    </row>
    <row r="205" spans="2:7" x14ac:dyDescent="0.2">
      <c r="B205" s="426">
        <v>45830</v>
      </c>
      <c r="C205" s="394">
        <v>116.87</v>
      </c>
      <c r="D205" s="420">
        <v>0.10202734559170201</v>
      </c>
      <c r="F205" s="591">
        <v>196</v>
      </c>
      <c r="G205" s="420">
        <f t="shared" ca="1" si="11"/>
        <v>6.0411641900805099E-2</v>
      </c>
    </row>
    <row r="206" spans="2:7" x14ac:dyDescent="0.2">
      <c r="B206" s="426">
        <v>45837</v>
      </c>
      <c r="C206" s="394">
        <v>116.96</v>
      </c>
      <c r="D206" s="420">
        <v>7.7008642080933498E-4</v>
      </c>
      <c r="F206" s="591">
        <v>197</v>
      </c>
      <c r="G206" s="420">
        <f t="shared" ca="1" si="11"/>
        <v>9.616272049253774E-2</v>
      </c>
    </row>
    <row r="207" spans="2:7" x14ac:dyDescent="0.2">
      <c r="B207" s="426">
        <v>45844</v>
      </c>
      <c r="C207" s="394">
        <v>120.79</v>
      </c>
      <c r="D207" s="420">
        <v>3.2746238030095798E-2</v>
      </c>
      <c r="F207" s="591">
        <v>198</v>
      </c>
      <c r="G207" s="420">
        <f t="shared" ca="1" si="11"/>
        <v>5.8107743368264825E-2</v>
      </c>
    </row>
    <row r="208" spans="2:7" x14ac:dyDescent="0.2">
      <c r="B208" s="426">
        <v>45851</v>
      </c>
      <c r="C208" s="394">
        <v>118.93</v>
      </c>
      <c r="D208" s="420">
        <v>-1.5398625714049152E-2</v>
      </c>
      <c r="F208" s="591">
        <v>199</v>
      </c>
      <c r="G208" s="420">
        <f t="shared" ca="1" si="11"/>
        <v>-4.8651560292147802E-2</v>
      </c>
    </row>
    <row r="209" spans="2:7" x14ac:dyDescent="0.2">
      <c r="B209" s="426">
        <v>45858</v>
      </c>
      <c r="C209" s="394">
        <v>114</v>
      </c>
      <c r="D209" s="420">
        <v>-4.1452955520053902E-2</v>
      </c>
      <c r="F209" s="591">
        <v>200</v>
      </c>
      <c r="G209" s="420">
        <f t="shared" ca="1" si="11"/>
        <v>1.7437122499385879E-2</v>
      </c>
    </row>
    <row r="210" spans="2:7" x14ac:dyDescent="0.2">
      <c r="B210" s="426">
        <v>45865</v>
      </c>
      <c r="C210" s="394">
        <v>113.4</v>
      </c>
      <c r="D210" s="420">
        <v>-5.2631578947367474E-3</v>
      </c>
      <c r="F210" s="591">
        <v>201</v>
      </c>
      <c r="G210" s="420">
        <f t="shared" ca="1" si="11"/>
        <v>-0.10239669866052609</v>
      </c>
    </row>
    <row r="211" spans="2:7" x14ac:dyDescent="0.2">
      <c r="B211" s="426">
        <v>45872</v>
      </c>
      <c r="C211" s="394">
        <v>115.38</v>
      </c>
      <c r="D211" s="420">
        <v>1.7460317460317398E-2</v>
      </c>
      <c r="F211" s="591">
        <v>202</v>
      </c>
      <c r="G211" s="420">
        <f t="shared" ca="1" si="11"/>
        <v>-2.4751952187466595E-2</v>
      </c>
    </row>
    <row r="212" spans="2:7" x14ac:dyDescent="0.2">
      <c r="B212" s="426">
        <v>45879</v>
      </c>
      <c r="C212" s="394">
        <v>116.81</v>
      </c>
      <c r="D212" s="420">
        <v>1.2393829086496888E-2</v>
      </c>
      <c r="F212" s="591">
        <v>203</v>
      </c>
      <c r="G212" s="420">
        <f t="shared" ca="1" si="11"/>
        <v>-6.4278344638161428E-2</v>
      </c>
    </row>
    <row r="213" spans="2:7" x14ac:dyDescent="0.2">
      <c r="B213" s="426">
        <v>45886</v>
      </c>
      <c r="C213" s="394">
        <v>118.86</v>
      </c>
      <c r="D213" s="420">
        <v>1.7549867305881373E-2</v>
      </c>
      <c r="F213" s="591">
        <v>204</v>
      </c>
      <c r="G213" s="420">
        <f t="shared" ca="1" si="11"/>
        <v>4.3995745340285108E-2</v>
      </c>
    </row>
    <row r="214" spans="2:7" x14ac:dyDescent="0.2">
      <c r="B214" s="426">
        <v>45893</v>
      </c>
      <c r="C214" s="394">
        <v>120.13</v>
      </c>
      <c r="D214" s="420">
        <v>1.0684839306747351E-2</v>
      </c>
      <c r="F214" s="591">
        <v>205</v>
      </c>
      <c r="G214" s="420">
        <f t="shared" ca="1" si="11"/>
        <v>2.0093910546292268E-2</v>
      </c>
    </row>
    <row r="215" spans="2:7" x14ac:dyDescent="0.2">
      <c r="B215" s="426">
        <v>45900</v>
      </c>
      <c r="C215" s="394">
        <v>121.94</v>
      </c>
      <c r="D215" s="420">
        <v>1.5067010738366804E-2</v>
      </c>
      <c r="F215" s="591">
        <v>206</v>
      </c>
      <c r="G215" s="420">
        <f t="shared" ca="1" si="11"/>
        <v>-5.5517606951187889E-2</v>
      </c>
    </row>
    <row r="216" spans="2:7" x14ac:dyDescent="0.2">
      <c r="B216" s="426">
        <v>45907</v>
      </c>
      <c r="C216" s="394">
        <v>129.71</v>
      </c>
      <c r="D216" s="420">
        <v>6.3719862227324953E-2</v>
      </c>
      <c r="F216" s="591">
        <v>207</v>
      </c>
      <c r="G216" s="420">
        <f t="shared" ca="1" si="11"/>
        <v>8.0877469961870591E-2</v>
      </c>
    </row>
    <row r="217" spans="2:7" x14ac:dyDescent="0.2">
      <c r="B217" s="426">
        <v>45914</v>
      </c>
      <c r="C217" s="394">
        <v>141.88</v>
      </c>
      <c r="D217" s="420">
        <v>9.38246858376377E-2</v>
      </c>
      <c r="F217" s="591">
        <v>208</v>
      </c>
      <c r="G217" s="420">
        <f t="shared" ca="1" si="11"/>
        <v>-5.1162754344537612E-2</v>
      </c>
    </row>
    <row r="218" spans="2:7" x14ac:dyDescent="0.2">
      <c r="B218" s="426">
        <v>45921</v>
      </c>
      <c r="C218" s="394">
        <v>146.25</v>
      </c>
      <c r="D218" s="420">
        <v>3.080067662813657E-2</v>
      </c>
      <c r="F218" s="591">
        <v>209</v>
      </c>
      <c r="G218" s="420">
        <f t="shared" ca="1" si="11"/>
        <v>2.7032772951510024E-2</v>
      </c>
    </row>
    <row r="219" spans="2:7" x14ac:dyDescent="0.2">
      <c r="B219" s="426">
        <v>45928</v>
      </c>
      <c r="C219" s="394">
        <v>147.38</v>
      </c>
      <c r="D219" s="420">
        <v>7.7264957264957523E-3</v>
      </c>
      <c r="F219" s="591">
        <v>210</v>
      </c>
      <c r="G219" s="420">
        <f t="shared" ca="1" si="11"/>
        <v>5.147257950284187E-2</v>
      </c>
    </row>
    <row r="220" spans="2:7" x14ac:dyDescent="0.2">
      <c r="B220" s="426">
        <v>45935</v>
      </c>
      <c r="C220" s="394">
        <v>149.69999999999999</v>
      </c>
      <c r="D220" s="420">
        <v>1.5741620301261916E-2</v>
      </c>
      <c r="F220" s="591">
        <v>211</v>
      </c>
      <c r="G220" s="420">
        <f t="shared" ca="1" si="11"/>
        <v>-4.4650274833804723E-2</v>
      </c>
    </row>
    <row r="221" spans="2:7" x14ac:dyDescent="0.2">
      <c r="B221" s="426">
        <v>45942</v>
      </c>
      <c r="C221" s="394">
        <v>165.98</v>
      </c>
      <c r="D221" s="420">
        <v>0.10875083500333993</v>
      </c>
      <c r="F221" s="591">
        <v>212</v>
      </c>
      <c r="G221" s="420">
        <f t="shared" ca="1" si="11"/>
        <v>-0.10682122646554346</v>
      </c>
    </row>
    <row r="222" spans="2:7" x14ac:dyDescent="0.2">
      <c r="B222" s="426">
        <v>45949</v>
      </c>
      <c r="C222" s="394">
        <v>167.72</v>
      </c>
      <c r="D222" s="420">
        <v>1.0483190745873117E-2</v>
      </c>
      <c r="F222" s="591">
        <v>213</v>
      </c>
      <c r="G222" s="420">
        <f t="shared" ca="1" si="11"/>
        <v>-0.12356864169816985</v>
      </c>
    </row>
    <row r="223" spans="2:7" x14ac:dyDescent="0.2">
      <c r="B223" s="426">
        <v>45956</v>
      </c>
      <c r="C223" s="394">
        <v>157.85</v>
      </c>
      <c r="D223" s="420">
        <v>-5.8848080133555913E-2</v>
      </c>
      <c r="F223" s="591">
        <v>214</v>
      </c>
      <c r="G223" s="420">
        <f t="shared" ca="1" si="11"/>
        <v>-8.7883017177140185E-2</v>
      </c>
    </row>
    <row r="224" spans="2:7" x14ac:dyDescent="0.2">
      <c r="B224" s="426">
        <v>45963</v>
      </c>
      <c r="C224" s="394">
        <v>151.47999999999999</v>
      </c>
      <c r="D224" s="420">
        <v>-4.0354767184035523E-2</v>
      </c>
      <c r="F224" s="591">
        <v>215</v>
      </c>
      <c r="G224" s="420">
        <f t="shared" ca="1" si="11"/>
        <v>2.5748295261250928E-2</v>
      </c>
    </row>
    <row r="225" spans="2:7" x14ac:dyDescent="0.2">
      <c r="B225" s="426">
        <v>45970</v>
      </c>
      <c r="C225" s="394">
        <v>153.91</v>
      </c>
      <c r="D225" s="420">
        <v>1.6041721679429743E-2</v>
      </c>
      <c r="F225" s="591">
        <v>216</v>
      </c>
      <c r="G225" s="420">
        <f t="shared" ca="1" si="11"/>
        <v>5.5683187626897876E-2</v>
      </c>
    </row>
    <row r="226" spans="2:7" x14ac:dyDescent="0.2">
      <c r="B226" s="426">
        <v>45977</v>
      </c>
      <c r="C226" s="394">
        <v>149.12</v>
      </c>
      <c r="D226" s="420">
        <v>-3.1122084335000966E-2</v>
      </c>
      <c r="F226" s="591">
        <v>217</v>
      </c>
      <c r="G226" s="420">
        <f t="shared" ca="1" si="11"/>
        <v>-9.9543737111085565E-4</v>
      </c>
    </row>
    <row r="227" spans="2:7" x14ac:dyDescent="0.2">
      <c r="B227" s="426">
        <v>45984</v>
      </c>
      <c r="C227" s="394">
        <v>147.49</v>
      </c>
      <c r="D227" s="420">
        <v>-1.0930793991416277E-2</v>
      </c>
      <c r="F227" s="591">
        <v>218</v>
      </c>
      <c r="G227" s="420">
        <f t="shared" ca="1" si="11"/>
        <v>5.5140701533020198E-2</v>
      </c>
    </row>
    <row r="228" spans="2:7" x14ac:dyDescent="0.2">
      <c r="B228" s="426">
        <v>45991</v>
      </c>
      <c r="C228" s="394">
        <v>143.78</v>
      </c>
      <c r="D228" s="420">
        <v>-2.5154247745609926E-2</v>
      </c>
      <c r="F228" s="591">
        <v>219</v>
      </c>
      <c r="G228" s="420">
        <f t="shared" ca="1" si="11"/>
        <v>-1.3313893638016095E-2</v>
      </c>
    </row>
    <row r="229" spans="2:7" x14ac:dyDescent="0.2">
      <c r="B229" s="426">
        <v>45998</v>
      </c>
      <c r="C229" s="394">
        <v>144.49</v>
      </c>
      <c r="D229" s="420">
        <v>4.9380998748087546E-3</v>
      </c>
      <c r="F229" s="591">
        <v>220</v>
      </c>
      <c r="G229" s="420">
        <f t="shared" ca="1" si="11"/>
        <v>-0.1795399752565775</v>
      </c>
    </row>
    <row r="230" spans="2:7" x14ac:dyDescent="0.2">
      <c r="B230" s="426">
        <v>46005</v>
      </c>
      <c r="C230" s="394">
        <v>141.76</v>
      </c>
      <c r="D230" s="420">
        <v>-1.8894041110111504E-2</v>
      </c>
      <c r="F230" s="591">
        <v>221</v>
      </c>
      <c r="G230" s="420">
        <f t="shared" ca="1" si="11"/>
        <v>-7.9314206709317325E-2</v>
      </c>
    </row>
    <row r="231" spans="2:7" x14ac:dyDescent="0.2">
      <c r="B231" s="426">
        <v>46012</v>
      </c>
      <c r="C231" s="394">
        <v>142.19</v>
      </c>
      <c r="D231" s="420">
        <v>3.0332957110610348E-3</v>
      </c>
      <c r="F231" s="591">
        <v>222</v>
      </c>
      <c r="G231" s="420">
        <f t="shared" ca="1" si="11"/>
        <v>-9.5062147440184513E-2</v>
      </c>
    </row>
    <row r="232" spans="2:7" x14ac:dyDescent="0.2">
      <c r="B232" s="426">
        <v>46019</v>
      </c>
      <c r="C232" s="394">
        <v>148.16999999999999</v>
      </c>
      <c r="D232" s="420">
        <v>4.2056403403896159E-2</v>
      </c>
      <c r="F232" s="591">
        <v>223</v>
      </c>
      <c r="G232" s="420">
        <f t="shared" ca="1" si="11"/>
        <v>0.15685978106852783</v>
      </c>
    </row>
    <row r="233" spans="2:7" x14ac:dyDescent="0.2">
      <c r="B233" s="426">
        <v>46026</v>
      </c>
      <c r="C233" s="394">
        <v>141.68</v>
      </c>
      <c r="D233" s="420">
        <v>-4.3801039346696213E-2</v>
      </c>
      <c r="F233" s="591">
        <v>224</v>
      </c>
      <c r="G233" s="420">
        <f t="shared" ca="1" si="11"/>
        <v>-2.4502775497103748E-2</v>
      </c>
    </row>
    <row r="234" spans="2:7" x14ac:dyDescent="0.2">
      <c r="B234" s="426">
        <v>46033</v>
      </c>
      <c r="C234" s="394">
        <v>142.63</v>
      </c>
      <c r="D234" s="420">
        <v>6.7052512704686151E-3</v>
      </c>
      <c r="F234" s="591">
        <v>225</v>
      </c>
      <c r="G234" s="420">
        <f t="shared" ca="1" si="11"/>
        <v>-0.10583492908940077</v>
      </c>
    </row>
    <row r="235" spans="2:7" x14ac:dyDescent="0.2">
      <c r="B235" s="426">
        <v>46040</v>
      </c>
      <c r="C235" s="394">
        <v>132.96</v>
      </c>
      <c r="D235" s="420">
        <v>-6.7797798499614315E-2</v>
      </c>
      <c r="F235" s="591">
        <v>226</v>
      </c>
      <c r="G235" s="420">
        <f t="shared" ca="1" si="11"/>
        <v>1.3810667319454678E-2</v>
      </c>
    </row>
    <row r="236" spans="2:7" x14ac:dyDescent="0.2">
      <c r="B236" s="426">
        <v>46047</v>
      </c>
      <c r="C236" s="394">
        <v>135.38</v>
      </c>
      <c r="D236" s="420">
        <v>1.8200962695547496E-2</v>
      </c>
      <c r="F236" s="591">
        <v>227</v>
      </c>
      <c r="G236" s="420">
        <f t="shared" ca="1" si="11"/>
        <v>7.4331565740847885E-2</v>
      </c>
    </row>
    <row r="237" spans="2:7" x14ac:dyDescent="0.2">
      <c r="B237" s="426">
        <v>46054</v>
      </c>
      <c r="C237" s="394">
        <v>152.74</v>
      </c>
      <c r="D237" s="420">
        <v>0.12823164426059996</v>
      </c>
      <c r="F237" s="591">
        <v>228</v>
      </c>
      <c r="G237" s="420">
        <f t="shared" ca="1" si="11"/>
        <v>-4.0144454630855281E-2</v>
      </c>
    </row>
    <row r="238" spans="2:7" x14ac:dyDescent="0.2">
      <c r="B238" s="426">
        <v>46061</v>
      </c>
      <c r="C238" s="394">
        <v>139.9</v>
      </c>
      <c r="D238" s="420">
        <v>-8.4064423202828364E-2</v>
      </c>
      <c r="F238" s="591">
        <v>229</v>
      </c>
      <c r="G238" s="420">
        <f t="shared" ca="1" si="11"/>
        <v>5.9702450546438621E-2</v>
      </c>
    </row>
    <row r="239" spans="2:7" x14ac:dyDescent="0.2">
      <c r="B239" s="426">
        <v>46068</v>
      </c>
      <c r="C239" s="394">
        <v>142.69999999999999</v>
      </c>
      <c r="D239" s="420">
        <v>2.0014295925661063E-2</v>
      </c>
      <c r="F239" s="591">
        <v>230</v>
      </c>
      <c r="G239" s="420">
        <f t="shared" ca="1" si="11"/>
        <v>7.6079892624767415E-2</v>
      </c>
    </row>
    <row r="240" spans="2:7" x14ac:dyDescent="0.2">
      <c r="B240" s="426">
        <v>46075</v>
      </c>
      <c r="C240" s="394">
        <v>140.11000000000001</v>
      </c>
      <c r="D240" s="420">
        <v>-1.8149964961457377E-2</v>
      </c>
      <c r="F240" s="591">
        <v>231</v>
      </c>
      <c r="G240" s="420">
        <f t="shared" ca="1" si="11"/>
        <v>1.6175924303171354E-2</v>
      </c>
    </row>
    <row r="241" spans="2:7" x14ac:dyDescent="0.2">
      <c r="B241" s="426">
        <v>46082</v>
      </c>
      <c r="C241" s="394">
        <v>138.99</v>
      </c>
      <c r="D241" s="420">
        <v>-7.9937192206124275E-3</v>
      </c>
      <c r="F241" s="591">
        <v>232</v>
      </c>
      <c r="G241" s="420">
        <f t="shared" ca="1" si="11"/>
        <v>-0.17277429686275303</v>
      </c>
    </row>
    <row r="242" spans="2:7" x14ac:dyDescent="0.2">
      <c r="B242" s="426">
        <v>46089</v>
      </c>
      <c r="C242" s="394">
        <v>146.57</v>
      </c>
      <c r="D242" s="420">
        <v>5.4536297575364934E-2</v>
      </c>
      <c r="F242" s="591">
        <v>233</v>
      </c>
      <c r="G242" s="420">
        <f t="shared" ca="1" si="11"/>
        <v>0.13348326384278114</v>
      </c>
    </row>
    <row r="243" spans="2:7" x14ac:dyDescent="0.2">
      <c r="B243" s="426">
        <v>46096</v>
      </c>
      <c r="C243" s="394">
        <v>151.54</v>
      </c>
      <c r="D243" s="420">
        <v>3.390871256055128E-2</v>
      </c>
      <c r="F243" s="591">
        <v>234</v>
      </c>
      <c r="G243" s="420">
        <f t="shared" ca="1" si="11"/>
        <v>6.6325285522413208E-2</v>
      </c>
    </row>
    <row r="244" spans="2:7" x14ac:dyDescent="0.2">
      <c r="B244" s="426">
        <v>46103</v>
      </c>
      <c r="C244" s="394">
        <v>153.91999999999999</v>
      </c>
      <c r="D244" s="420">
        <v>1.5705424310413107E-2</v>
      </c>
      <c r="F244" s="591">
        <v>235</v>
      </c>
      <c r="G244" s="420">
        <f t="shared" ca="1" si="11"/>
        <v>5.0455088324421277E-2</v>
      </c>
    </row>
    <row r="245" spans="2:7" x14ac:dyDescent="0.2">
      <c r="B245" s="426">
        <v>46110</v>
      </c>
      <c r="C245" s="394">
        <v>159.97</v>
      </c>
      <c r="D245" s="420">
        <v>3.9306133056133064E-2</v>
      </c>
      <c r="F245" s="591">
        <v>236</v>
      </c>
      <c r="G245" s="420">
        <f t="shared" ca="1" si="11"/>
        <v>-5.714908312978699E-2</v>
      </c>
    </row>
    <row r="246" spans="2:7" x14ac:dyDescent="0.2">
      <c r="B246" s="426">
        <v>46117</v>
      </c>
      <c r="C246" s="394">
        <v>175.81</v>
      </c>
      <c r="D246" s="420">
        <v>9.9018565981121576E-2</v>
      </c>
      <c r="F246" s="591">
        <v>237</v>
      </c>
      <c r="G246" s="420">
        <f t="shared" ca="1" si="11"/>
        <v>2.0589696858887556E-2</v>
      </c>
    </row>
    <row r="247" spans="2:7" x14ac:dyDescent="0.2">
      <c r="B247" s="426">
        <v>46124</v>
      </c>
      <c r="C247" s="394">
        <v>198.5</v>
      </c>
      <c r="D247" s="420">
        <v>0.12905978044479838</v>
      </c>
      <c r="F247" s="591">
        <v>238</v>
      </c>
      <c r="G247" s="420">
        <f t="shared" ca="1" si="11"/>
        <v>2.2229292596390227E-2</v>
      </c>
    </row>
    <row r="248" spans="2:7" x14ac:dyDescent="0.2">
      <c r="B248" s="426">
        <v>46131</v>
      </c>
      <c r="C248" s="394">
        <v>212.9</v>
      </c>
      <c r="D248" s="420">
        <v>7.25440806045341E-2</v>
      </c>
      <c r="F248" s="591">
        <v>239</v>
      </c>
      <c r="G248" s="420">
        <f t="shared" ca="1" si="11"/>
        <v>2.3480559039648692E-2</v>
      </c>
    </row>
    <row r="249" spans="2:7" x14ac:dyDescent="0.2">
      <c r="B249" s="426">
        <v>46138</v>
      </c>
      <c r="C249" s="394">
        <v>221.85</v>
      </c>
      <c r="D249" s="420">
        <v>4.2038515735086879E-2</v>
      </c>
      <c r="F249" s="591">
        <v>240</v>
      </c>
      <c r="G249" s="420">
        <f t="shared" ca="1" si="11"/>
        <v>4.6892109464491433E-2</v>
      </c>
    </row>
    <row r="250" spans="2:7" x14ac:dyDescent="0.2">
      <c r="B250" s="426">
        <v>46145</v>
      </c>
      <c r="C250" s="394">
        <v>225.33</v>
      </c>
      <c r="D250" s="420">
        <v>1.5686274509804088E-2</v>
      </c>
      <c r="F250" s="591">
        <v>241</v>
      </c>
      <c r="G250" s="420">
        <f t="shared" ca="1" si="11"/>
        <v>6.6194461348138223E-2</v>
      </c>
    </row>
    <row r="251" spans="2:7" x14ac:dyDescent="0.2">
      <c r="B251" s="426">
        <v>46152</v>
      </c>
      <c r="C251" s="394">
        <v>221.33</v>
      </c>
      <c r="D251" s="420">
        <v>-1.7751741889672878E-2</v>
      </c>
      <c r="F251" s="591">
        <v>242</v>
      </c>
      <c r="G251" s="420">
        <f t="shared" ca="1" si="11"/>
        <v>-2.1703969988713778E-2</v>
      </c>
    </row>
    <row r="252" spans="2:7" x14ac:dyDescent="0.2">
      <c r="B252" s="426">
        <v>46159</v>
      </c>
      <c r="C252" s="394">
        <v>219.32</v>
      </c>
      <c r="D252" s="420">
        <v>-9.0814620702119875E-3</v>
      </c>
      <c r="F252" s="591">
        <v>243</v>
      </c>
      <c r="G252" s="420">
        <f t="shared" ca="1" si="11"/>
        <v>6.1682839315502822E-2</v>
      </c>
    </row>
    <row r="253" spans="2:7" x14ac:dyDescent="0.2">
      <c r="B253" s="426">
        <v>46166</v>
      </c>
      <c r="C253" s="394">
        <v>243.37</v>
      </c>
      <c r="D253" s="420">
        <v>0.10965712201349631</v>
      </c>
      <c r="F253" s="591">
        <v>244</v>
      </c>
      <c r="G253" s="420">
        <f t="shared" ca="1" si="11"/>
        <v>3.7693523580270255E-2</v>
      </c>
    </row>
    <row r="254" spans="2:7" x14ac:dyDescent="0.2">
      <c r="B254" s="426">
        <v>46173</v>
      </c>
      <c r="C254" s="394">
        <v>232.6</v>
      </c>
      <c r="D254" s="420">
        <v>-4.4253605621070835E-2</v>
      </c>
      <c r="F254" s="591">
        <v>245</v>
      </c>
      <c r="G254" s="420">
        <f t="shared" ca="1" si="11"/>
        <v>-3.3487179885540869E-2</v>
      </c>
    </row>
    <row r="255" spans="2:7" x14ac:dyDescent="0.2">
      <c r="B255" s="426">
        <v>46180</v>
      </c>
      <c r="C255" s="394">
        <v>223.07</v>
      </c>
      <c r="D255" s="420">
        <v>-4.0971625107480647E-2</v>
      </c>
      <c r="F255" s="591">
        <v>246</v>
      </c>
      <c r="G255" s="420">
        <f t="shared" ca="1" si="11"/>
        <v>6.363164905833664E-2</v>
      </c>
    </row>
    <row r="256" spans="2:7" x14ac:dyDescent="0.2">
      <c r="B256" s="426">
        <v>46187</v>
      </c>
      <c r="C256" s="394">
        <v>231.76</v>
      </c>
      <c r="D256" s="420">
        <v>3.8956381404940066E-2</v>
      </c>
      <c r="F256" s="591">
        <v>247</v>
      </c>
      <c r="G256" s="420">
        <f t="shared" ca="1" si="11"/>
        <v>-7.7775034158474837E-2</v>
      </c>
    </row>
    <row r="257" spans="2:7" x14ac:dyDescent="0.2">
      <c r="B257" s="426">
        <v>46194</v>
      </c>
      <c r="C257" s="394">
        <v>229.27</v>
      </c>
      <c r="D257" s="420">
        <v>-1.0743872972039936E-2</v>
      </c>
      <c r="F257" s="591">
        <v>248</v>
      </c>
      <c r="G257" s="420">
        <f t="shared" ca="1" si="11"/>
        <v>7.291356074962993E-2</v>
      </c>
    </row>
    <row r="258" spans="2:7" x14ac:dyDescent="0.2">
      <c r="B258" s="426">
        <v>46201</v>
      </c>
      <c r="C258" s="394">
        <v>221.79</v>
      </c>
      <c r="D258" s="420">
        <v>-3.2625288960614229E-2</v>
      </c>
      <c r="F258" s="591">
        <v>249</v>
      </c>
      <c r="G258" s="420">
        <f t="shared" ca="1" si="11"/>
        <v>-2.1460935667374868E-3</v>
      </c>
    </row>
    <row r="259" spans="2:7" x14ac:dyDescent="0.2">
      <c r="B259" s="426">
        <v>46208</v>
      </c>
      <c r="C259" s="394">
        <v>218.45</v>
      </c>
      <c r="D259" s="420">
        <v>-1.5059290319671792E-2</v>
      </c>
      <c r="F259" s="591">
        <v>250</v>
      </c>
      <c r="G259" s="420">
        <f t="shared" ca="1" si="11"/>
        <v>4.5885167028487994E-2</v>
      </c>
    </row>
    <row r="260" spans="2:7" x14ac:dyDescent="0.2">
      <c r="B260" s="426">
        <v>46215</v>
      </c>
      <c r="C260" s="394">
        <v>214.45</v>
      </c>
      <c r="D260" s="420">
        <v>-1.8310826276035752E-2</v>
      </c>
      <c r="F260" s="591">
        <v>251</v>
      </c>
      <c r="G260" s="420">
        <f t="shared" ca="1" si="11"/>
        <v>8.3200780117223608E-2</v>
      </c>
    </row>
    <row r="261" spans="2:7" x14ac:dyDescent="0.2">
      <c r="B261" s="426">
        <v>46222</v>
      </c>
      <c r="C261" s="394">
        <v>213.66</v>
      </c>
      <c r="D261" s="420">
        <v>-3.6838423875028559E-3</v>
      </c>
      <c r="F261" s="591">
        <v>252</v>
      </c>
      <c r="G261" s="420">
        <f t="shared" ca="1" si="11"/>
        <v>0.11383422642252143</v>
      </c>
    </row>
    <row r="262" spans="2:7" x14ac:dyDescent="0.2">
      <c r="B262" s="426">
        <v>46229</v>
      </c>
      <c r="C262" s="394">
        <v>211.31</v>
      </c>
      <c r="D262" s="420">
        <v>-1.0998783113357669E-2</v>
      </c>
      <c r="F262" s="591">
        <v>253</v>
      </c>
      <c r="G262" s="420">
        <f t="shared" ca="1" si="11"/>
        <v>4.7718258652272083E-2</v>
      </c>
    </row>
    <row r="263" spans="2:7" x14ac:dyDescent="0.2">
      <c r="B263" s="426">
        <v>46236</v>
      </c>
      <c r="C263" s="394">
        <v>209</v>
      </c>
      <c r="D263" s="420">
        <v>-1.0931806350858886E-2</v>
      </c>
      <c r="F263" s="591">
        <v>254</v>
      </c>
      <c r="G263" s="420">
        <f t="shared" ca="1" si="11"/>
        <v>-3.7401863204874361E-2</v>
      </c>
    </row>
    <row r="264" spans="2:7" x14ac:dyDescent="0.2">
      <c r="B264" s="426">
        <v>46243</v>
      </c>
      <c r="C264" s="394">
        <v>205.25</v>
      </c>
      <c r="D264" s="420">
        <v>-1.7942583732057371E-2</v>
      </c>
      <c r="F264" s="591">
        <v>255</v>
      </c>
      <c r="G264" s="420">
        <f t="shared" ca="1" si="11"/>
        <v>-0.13099720711672902</v>
      </c>
    </row>
    <row r="265" spans="2:7" x14ac:dyDescent="0.2">
      <c r="B265" s="426">
        <v>46250</v>
      </c>
      <c r="C265" s="394">
        <v>205.5</v>
      </c>
      <c r="D265" s="420">
        <v>1.2180267965895553E-3</v>
      </c>
      <c r="F265" s="591">
        <v>256</v>
      </c>
      <c r="G265" s="420">
        <f t="shared" ca="1" si="11"/>
        <v>-6.579411571645602E-2</v>
      </c>
    </row>
    <row r="266" spans="2:7" x14ac:dyDescent="0.2">
      <c r="B266" s="426">
        <v>46257</v>
      </c>
      <c r="C266" s="394">
        <v>212.63</v>
      </c>
      <c r="D266" s="420">
        <v>3.4695863746958544E-2</v>
      </c>
      <c r="F266" s="591">
        <v>257</v>
      </c>
      <c r="G266" s="420">
        <f t="shared" ca="1" si="11"/>
        <v>7.9069358566524695E-2</v>
      </c>
    </row>
    <row r="267" spans="2:7" x14ac:dyDescent="0.2">
      <c r="B267" s="426">
        <v>46264</v>
      </c>
      <c r="C267" s="394">
        <v>207.2</v>
      </c>
      <c r="D267" s="420">
        <v>-2.5537318346423366E-2</v>
      </c>
      <c r="F267" s="591">
        <v>258</v>
      </c>
      <c r="G267" s="420">
        <f t="shared" ref="G267:G330" ca="1" si="12">_xlfn.NORM.INV(RAND(), $M$11,$M$12)</f>
        <v>1.3840719920687628E-3</v>
      </c>
    </row>
    <row r="268" spans="2:7" x14ac:dyDescent="0.2">
      <c r="B268" s="426">
        <v>46271</v>
      </c>
      <c r="C268" s="394">
        <v>209.97</v>
      </c>
      <c r="D268" s="420">
        <v>1.3368725868725839E-2</v>
      </c>
      <c r="F268" s="591">
        <v>259</v>
      </c>
      <c r="G268" s="420">
        <f t="shared" ca="1" si="12"/>
        <v>-7.0462064508045749E-2</v>
      </c>
    </row>
    <row r="269" spans="2:7" x14ac:dyDescent="0.2">
      <c r="B269" s="427">
        <v>46278</v>
      </c>
      <c r="C269" s="428">
        <v>202.25</v>
      </c>
      <c r="D269" s="422">
        <v>-3.676715721293522E-2</v>
      </c>
      <c r="F269" s="591">
        <v>260</v>
      </c>
      <c r="G269" s="420">
        <f t="shared" ca="1" si="12"/>
        <v>-2.0309474726439933E-2</v>
      </c>
    </row>
    <row r="270" spans="2:7" x14ac:dyDescent="0.2">
      <c r="F270" s="591">
        <v>261</v>
      </c>
      <c r="G270" s="420">
        <f t="shared" ca="1" si="12"/>
        <v>0.11170167980520074</v>
      </c>
    </row>
    <row r="271" spans="2:7" x14ac:dyDescent="0.2">
      <c r="F271" s="591">
        <v>262</v>
      </c>
      <c r="G271" s="420">
        <f t="shared" ca="1" si="12"/>
        <v>-6.8433629931731271E-2</v>
      </c>
    </row>
    <row r="272" spans="2:7" x14ac:dyDescent="0.2">
      <c r="F272" s="591">
        <v>263</v>
      </c>
      <c r="G272" s="420">
        <f t="shared" ca="1" si="12"/>
        <v>6.0279092123155423E-2</v>
      </c>
    </row>
    <row r="273" spans="6:7" x14ac:dyDescent="0.2">
      <c r="F273" s="591">
        <v>264</v>
      </c>
      <c r="G273" s="420">
        <f t="shared" ca="1" si="12"/>
        <v>4.8120865142891725E-2</v>
      </c>
    </row>
    <row r="274" spans="6:7" x14ac:dyDescent="0.2">
      <c r="F274" s="591">
        <v>265</v>
      </c>
      <c r="G274" s="420">
        <f t="shared" ca="1" si="12"/>
        <v>-0.12026804925117547</v>
      </c>
    </row>
    <row r="275" spans="6:7" x14ac:dyDescent="0.2">
      <c r="F275" s="591">
        <v>266</v>
      </c>
      <c r="G275" s="420">
        <f t="shared" ca="1" si="12"/>
        <v>3.6014702109774352E-2</v>
      </c>
    </row>
    <row r="276" spans="6:7" x14ac:dyDescent="0.2">
      <c r="F276" s="591">
        <v>267</v>
      </c>
      <c r="G276" s="420">
        <f t="shared" ca="1" si="12"/>
        <v>3.1460782731037668E-2</v>
      </c>
    </row>
    <row r="277" spans="6:7" x14ac:dyDescent="0.2">
      <c r="F277" s="591">
        <v>268</v>
      </c>
      <c r="G277" s="420">
        <f t="shared" ca="1" si="12"/>
        <v>6.6970539609161675E-2</v>
      </c>
    </row>
    <row r="278" spans="6:7" x14ac:dyDescent="0.2">
      <c r="F278" s="591">
        <v>269</v>
      </c>
      <c r="G278" s="420">
        <f t="shared" ca="1" si="12"/>
        <v>-4.506776529830582E-2</v>
      </c>
    </row>
    <row r="279" spans="6:7" x14ac:dyDescent="0.2">
      <c r="F279" s="591">
        <v>270</v>
      </c>
      <c r="G279" s="420">
        <f t="shared" ca="1" si="12"/>
        <v>9.1111015955011643E-2</v>
      </c>
    </row>
    <row r="280" spans="6:7" x14ac:dyDescent="0.2">
      <c r="F280" s="591">
        <v>271</v>
      </c>
      <c r="G280" s="420">
        <f t="shared" ca="1" si="12"/>
        <v>1.771316572165826E-2</v>
      </c>
    </row>
    <row r="281" spans="6:7" x14ac:dyDescent="0.2">
      <c r="F281" s="591">
        <v>272</v>
      </c>
      <c r="G281" s="420">
        <f t="shared" ca="1" si="12"/>
        <v>-6.5522048281805745E-2</v>
      </c>
    </row>
    <row r="282" spans="6:7" x14ac:dyDescent="0.2">
      <c r="F282" s="591">
        <v>273</v>
      </c>
      <c r="G282" s="420">
        <f t="shared" ca="1" si="12"/>
        <v>2.643157030918572E-2</v>
      </c>
    </row>
    <row r="283" spans="6:7" x14ac:dyDescent="0.2">
      <c r="F283" s="591">
        <v>274</v>
      </c>
      <c r="G283" s="420">
        <f t="shared" ca="1" si="12"/>
        <v>4.3685036804431379E-2</v>
      </c>
    </row>
    <row r="284" spans="6:7" x14ac:dyDescent="0.2">
      <c r="F284" s="591">
        <v>275</v>
      </c>
      <c r="G284" s="420">
        <f t="shared" ca="1" si="12"/>
        <v>7.636327963187256E-2</v>
      </c>
    </row>
    <row r="285" spans="6:7" x14ac:dyDescent="0.2">
      <c r="F285" s="591">
        <v>276</v>
      </c>
      <c r="G285" s="420">
        <f t="shared" ca="1" si="12"/>
        <v>4.6957378072742084E-2</v>
      </c>
    </row>
    <row r="286" spans="6:7" x14ac:dyDescent="0.2">
      <c r="F286" s="591">
        <v>277</v>
      </c>
      <c r="G286" s="420">
        <f t="shared" ca="1" si="12"/>
        <v>1.181477980303321E-2</v>
      </c>
    </row>
    <row r="287" spans="6:7" x14ac:dyDescent="0.2">
      <c r="F287" s="591">
        <v>278</v>
      </c>
      <c r="G287" s="420">
        <f t="shared" ca="1" si="12"/>
        <v>-4.2198700187517868E-2</v>
      </c>
    </row>
    <row r="288" spans="6:7" x14ac:dyDescent="0.2">
      <c r="F288" s="591">
        <v>279</v>
      </c>
      <c r="G288" s="420">
        <f t="shared" ca="1" si="12"/>
        <v>-6.8089463053178423E-2</v>
      </c>
    </row>
    <row r="289" spans="6:7" x14ac:dyDescent="0.2">
      <c r="F289" s="591">
        <v>280</v>
      </c>
      <c r="G289" s="420">
        <f t="shared" ca="1" si="12"/>
        <v>-4.3918120044798906E-2</v>
      </c>
    </row>
    <row r="290" spans="6:7" x14ac:dyDescent="0.2">
      <c r="F290" s="591">
        <v>281</v>
      </c>
      <c r="G290" s="420">
        <f t="shared" ca="1" si="12"/>
        <v>-3.2115172593005309E-2</v>
      </c>
    </row>
    <row r="291" spans="6:7" x14ac:dyDescent="0.2">
      <c r="F291" s="591">
        <v>282</v>
      </c>
      <c r="G291" s="420">
        <f t="shared" ca="1" si="12"/>
        <v>6.2817255680595943E-2</v>
      </c>
    </row>
    <row r="292" spans="6:7" x14ac:dyDescent="0.2">
      <c r="F292" s="591">
        <v>283</v>
      </c>
      <c r="G292" s="420">
        <f t="shared" ca="1" si="12"/>
        <v>5.1114610271978722E-2</v>
      </c>
    </row>
    <row r="293" spans="6:7" x14ac:dyDescent="0.2">
      <c r="F293" s="591">
        <v>284</v>
      </c>
      <c r="G293" s="420">
        <f t="shared" ca="1" si="12"/>
        <v>4.5642951410645685E-2</v>
      </c>
    </row>
    <row r="294" spans="6:7" x14ac:dyDescent="0.2">
      <c r="F294" s="591">
        <v>285</v>
      </c>
      <c r="G294" s="420">
        <f t="shared" ca="1" si="12"/>
        <v>0.11945464176623186</v>
      </c>
    </row>
    <row r="295" spans="6:7" x14ac:dyDescent="0.2">
      <c r="F295" s="591">
        <v>286</v>
      </c>
      <c r="G295" s="420">
        <f t="shared" ca="1" si="12"/>
        <v>1.7468945703820075E-2</v>
      </c>
    </row>
    <row r="296" spans="6:7" x14ac:dyDescent="0.2">
      <c r="F296" s="591">
        <v>287</v>
      </c>
      <c r="G296" s="420">
        <f t="shared" ca="1" si="12"/>
        <v>-4.369853544068035E-2</v>
      </c>
    </row>
    <row r="297" spans="6:7" x14ac:dyDescent="0.2">
      <c r="F297" s="591">
        <v>288</v>
      </c>
      <c r="G297" s="420">
        <f t="shared" ca="1" si="12"/>
        <v>0.1460456377311638</v>
      </c>
    </row>
    <row r="298" spans="6:7" x14ac:dyDescent="0.2">
      <c r="F298" s="591">
        <v>289</v>
      </c>
      <c r="G298" s="420">
        <f t="shared" ca="1" si="12"/>
        <v>2.3650506590034738E-2</v>
      </c>
    </row>
    <row r="299" spans="6:7" x14ac:dyDescent="0.2">
      <c r="F299" s="591">
        <v>290</v>
      </c>
      <c r="G299" s="420">
        <f t="shared" ca="1" si="12"/>
        <v>-2.6380570503360009E-2</v>
      </c>
    </row>
    <row r="300" spans="6:7" x14ac:dyDescent="0.2">
      <c r="F300" s="591">
        <v>291</v>
      </c>
      <c r="G300" s="420">
        <f t="shared" ca="1" si="12"/>
        <v>-8.3237337712475296E-2</v>
      </c>
    </row>
    <row r="301" spans="6:7" x14ac:dyDescent="0.2">
      <c r="F301" s="591">
        <v>292</v>
      </c>
      <c r="G301" s="420">
        <f t="shared" ca="1" si="12"/>
        <v>8.4803498716854803E-2</v>
      </c>
    </row>
    <row r="302" spans="6:7" x14ac:dyDescent="0.2">
      <c r="F302" s="591">
        <v>293</v>
      </c>
      <c r="G302" s="420">
        <f t="shared" ca="1" si="12"/>
        <v>0.10401130501871791</v>
      </c>
    </row>
    <row r="303" spans="6:7" x14ac:dyDescent="0.2">
      <c r="F303" s="591">
        <v>294</v>
      </c>
      <c r="G303" s="420">
        <f t="shared" ca="1" si="12"/>
        <v>-5.225793472266739E-2</v>
      </c>
    </row>
    <row r="304" spans="6:7" x14ac:dyDescent="0.2">
      <c r="F304" s="591">
        <v>295</v>
      </c>
      <c r="G304" s="420">
        <f t="shared" ca="1" si="12"/>
        <v>-1.3283914923026205E-2</v>
      </c>
    </row>
    <row r="305" spans="6:7" x14ac:dyDescent="0.2">
      <c r="F305" s="591">
        <v>296</v>
      </c>
      <c r="G305" s="420">
        <f t="shared" ca="1" si="12"/>
        <v>3.5540582204946533E-2</v>
      </c>
    </row>
    <row r="306" spans="6:7" x14ac:dyDescent="0.2">
      <c r="F306" s="591">
        <v>297</v>
      </c>
      <c r="G306" s="420">
        <f t="shared" ca="1" si="12"/>
        <v>1.8549079152062109E-2</v>
      </c>
    </row>
    <row r="307" spans="6:7" x14ac:dyDescent="0.2">
      <c r="F307" s="591">
        <v>298</v>
      </c>
      <c r="G307" s="420">
        <f t="shared" ca="1" si="12"/>
        <v>0.10226058609209528</v>
      </c>
    </row>
    <row r="308" spans="6:7" x14ac:dyDescent="0.2">
      <c r="F308" s="591">
        <v>299</v>
      </c>
      <c r="G308" s="420">
        <f t="shared" ca="1" si="12"/>
        <v>-2.7137065913582396E-2</v>
      </c>
    </row>
    <row r="309" spans="6:7" x14ac:dyDescent="0.2">
      <c r="F309" s="591">
        <v>300</v>
      </c>
      <c r="G309" s="420">
        <f t="shared" ca="1" si="12"/>
        <v>-2.427151275515994E-2</v>
      </c>
    </row>
    <row r="310" spans="6:7" x14ac:dyDescent="0.2">
      <c r="F310" s="591">
        <v>301</v>
      </c>
      <c r="G310" s="420">
        <f t="shared" ca="1" si="12"/>
        <v>2.6980547495773499E-2</v>
      </c>
    </row>
    <row r="311" spans="6:7" x14ac:dyDescent="0.2">
      <c r="F311" s="591">
        <v>302</v>
      </c>
      <c r="G311" s="420">
        <f t="shared" ca="1" si="12"/>
        <v>6.1980281287275563E-2</v>
      </c>
    </row>
    <row r="312" spans="6:7" x14ac:dyDescent="0.2">
      <c r="F312" s="591">
        <v>303</v>
      </c>
      <c r="G312" s="420">
        <f t="shared" ca="1" si="12"/>
        <v>0.12664510472427257</v>
      </c>
    </row>
    <row r="313" spans="6:7" x14ac:dyDescent="0.2">
      <c r="F313" s="591">
        <v>304</v>
      </c>
      <c r="G313" s="420">
        <f t="shared" ca="1" si="12"/>
        <v>1.7522428871154763E-2</v>
      </c>
    </row>
    <row r="314" spans="6:7" x14ac:dyDescent="0.2">
      <c r="F314" s="591">
        <v>305</v>
      </c>
      <c r="G314" s="420">
        <f t="shared" ca="1" si="12"/>
        <v>5.5913801336770166E-2</v>
      </c>
    </row>
    <row r="315" spans="6:7" x14ac:dyDescent="0.2">
      <c r="F315" s="591">
        <v>306</v>
      </c>
      <c r="G315" s="420">
        <f t="shared" ca="1" si="12"/>
        <v>4.6632437938355142E-2</v>
      </c>
    </row>
    <row r="316" spans="6:7" x14ac:dyDescent="0.2">
      <c r="F316" s="591">
        <v>307</v>
      </c>
      <c r="G316" s="420">
        <f t="shared" ca="1" si="12"/>
        <v>-5.3273357163501206E-2</v>
      </c>
    </row>
    <row r="317" spans="6:7" x14ac:dyDescent="0.2">
      <c r="F317" s="591">
        <v>308</v>
      </c>
      <c r="G317" s="420">
        <f t="shared" ca="1" si="12"/>
        <v>0.13461825997459492</v>
      </c>
    </row>
    <row r="318" spans="6:7" x14ac:dyDescent="0.2">
      <c r="F318" s="591">
        <v>309</v>
      </c>
      <c r="G318" s="420">
        <f t="shared" ca="1" si="12"/>
        <v>-5.213591645996804E-2</v>
      </c>
    </row>
    <row r="319" spans="6:7" x14ac:dyDescent="0.2">
      <c r="F319" s="591">
        <v>310</v>
      </c>
      <c r="G319" s="420">
        <f t="shared" ca="1" si="12"/>
        <v>4.8777703968018851E-2</v>
      </c>
    </row>
    <row r="320" spans="6:7" x14ac:dyDescent="0.2">
      <c r="F320" s="591">
        <v>311</v>
      </c>
      <c r="G320" s="420">
        <f t="shared" ca="1" si="12"/>
        <v>-0.14856748854533619</v>
      </c>
    </row>
    <row r="321" spans="6:7" x14ac:dyDescent="0.2">
      <c r="F321" s="591">
        <v>312</v>
      </c>
      <c r="G321" s="420">
        <f t="shared" ca="1" si="12"/>
        <v>-2.8674198863393955E-2</v>
      </c>
    </row>
    <row r="322" spans="6:7" x14ac:dyDescent="0.2">
      <c r="F322" s="591">
        <v>313</v>
      </c>
      <c r="G322" s="420">
        <f t="shared" ca="1" si="12"/>
        <v>-4.46200595390389E-2</v>
      </c>
    </row>
    <row r="323" spans="6:7" x14ac:dyDescent="0.2">
      <c r="F323" s="591">
        <v>314</v>
      </c>
      <c r="G323" s="420">
        <f t="shared" ca="1" si="12"/>
        <v>5.0137542422578368E-2</v>
      </c>
    </row>
    <row r="324" spans="6:7" x14ac:dyDescent="0.2">
      <c r="F324" s="591">
        <v>315</v>
      </c>
      <c r="G324" s="420">
        <f t="shared" ca="1" si="12"/>
        <v>5.0779703506295487E-2</v>
      </c>
    </row>
    <row r="325" spans="6:7" x14ac:dyDescent="0.2">
      <c r="F325" s="591">
        <v>316</v>
      </c>
      <c r="G325" s="420">
        <f t="shared" ca="1" si="12"/>
        <v>1.2110979898177388E-2</v>
      </c>
    </row>
    <row r="326" spans="6:7" x14ac:dyDescent="0.2">
      <c r="F326" s="591">
        <v>317</v>
      </c>
      <c r="G326" s="420">
        <f t="shared" ca="1" si="12"/>
        <v>0.10676663312177918</v>
      </c>
    </row>
    <row r="327" spans="6:7" x14ac:dyDescent="0.2">
      <c r="F327" s="591">
        <v>318</v>
      </c>
      <c r="G327" s="420">
        <f t="shared" ca="1" si="12"/>
        <v>8.9055827206181923E-2</v>
      </c>
    </row>
    <row r="328" spans="6:7" x14ac:dyDescent="0.2">
      <c r="F328" s="591">
        <v>319</v>
      </c>
      <c r="G328" s="420">
        <f t="shared" ca="1" si="12"/>
        <v>8.4201637122763101E-2</v>
      </c>
    </row>
    <row r="329" spans="6:7" x14ac:dyDescent="0.2">
      <c r="F329" s="591">
        <v>320</v>
      </c>
      <c r="G329" s="420">
        <f t="shared" ca="1" si="12"/>
        <v>-0.1382457408164465</v>
      </c>
    </row>
    <row r="330" spans="6:7" x14ac:dyDescent="0.2">
      <c r="F330" s="591">
        <v>321</v>
      </c>
      <c r="G330" s="420">
        <f t="shared" ca="1" si="12"/>
        <v>1.2258262957074573E-2</v>
      </c>
    </row>
    <row r="331" spans="6:7" x14ac:dyDescent="0.2">
      <c r="F331" s="591">
        <v>322</v>
      </c>
      <c r="G331" s="420">
        <f t="shared" ref="G331:G394" ca="1" si="13">_xlfn.NORM.INV(RAND(), $M$11,$M$12)</f>
        <v>-3.929037532412176E-2</v>
      </c>
    </row>
    <row r="332" spans="6:7" x14ac:dyDescent="0.2">
      <c r="F332" s="591">
        <v>323</v>
      </c>
      <c r="G332" s="420">
        <f t="shared" ca="1" si="13"/>
        <v>4.7706749103694962E-2</v>
      </c>
    </row>
    <row r="333" spans="6:7" x14ac:dyDescent="0.2">
      <c r="F333" s="591">
        <v>324</v>
      </c>
      <c r="G333" s="420">
        <f t="shared" ca="1" si="13"/>
        <v>-4.2418524090165485E-2</v>
      </c>
    </row>
    <row r="334" spans="6:7" x14ac:dyDescent="0.2">
      <c r="F334" s="591">
        <v>325</v>
      </c>
      <c r="G334" s="420">
        <f t="shared" ca="1" si="13"/>
        <v>-1.6957976574985094E-2</v>
      </c>
    </row>
    <row r="335" spans="6:7" x14ac:dyDescent="0.2">
      <c r="F335" s="591">
        <v>326</v>
      </c>
      <c r="G335" s="420">
        <f t="shared" ca="1" si="13"/>
        <v>5.1357802295694852E-2</v>
      </c>
    </row>
    <row r="336" spans="6:7" x14ac:dyDescent="0.2">
      <c r="F336" s="591">
        <v>327</v>
      </c>
      <c r="G336" s="420">
        <f t="shared" ca="1" si="13"/>
        <v>-2.430096406062426E-2</v>
      </c>
    </row>
    <row r="337" spans="6:7" x14ac:dyDescent="0.2">
      <c r="F337" s="591">
        <v>328</v>
      </c>
      <c r="G337" s="420">
        <f t="shared" ca="1" si="13"/>
        <v>5.2290973226704923E-2</v>
      </c>
    </row>
    <row r="338" spans="6:7" x14ac:dyDescent="0.2">
      <c r="F338" s="591">
        <v>329</v>
      </c>
      <c r="G338" s="420">
        <f t="shared" ca="1" si="13"/>
        <v>-2.5088002600392668E-2</v>
      </c>
    </row>
    <row r="339" spans="6:7" x14ac:dyDescent="0.2">
      <c r="F339" s="591">
        <v>330</v>
      </c>
      <c r="G339" s="420">
        <f t="shared" ca="1" si="13"/>
        <v>-2.7528575997407625E-2</v>
      </c>
    </row>
    <row r="340" spans="6:7" x14ac:dyDescent="0.2">
      <c r="F340" s="591">
        <v>331</v>
      </c>
      <c r="G340" s="420">
        <f t="shared" ca="1" si="13"/>
        <v>-9.2620296720398843E-2</v>
      </c>
    </row>
    <row r="341" spans="6:7" x14ac:dyDescent="0.2">
      <c r="F341" s="591">
        <v>332</v>
      </c>
      <c r="G341" s="420">
        <f t="shared" ca="1" si="13"/>
        <v>9.5346695453906463E-2</v>
      </c>
    </row>
    <row r="342" spans="6:7" x14ac:dyDescent="0.2">
      <c r="F342" s="591">
        <v>333</v>
      </c>
      <c r="G342" s="420">
        <f t="shared" ca="1" si="13"/>
        <v>-3.4307545382905244E-2</v>
      </c>
    </row>
    <row r="343" spans="6:7" x14ac:dyDescent="0.2">
      <c r="F343" s="591">
        <v>334</v>
      </c>
      <c r="G343" s="420">
        <f t="shared" ca="1" si="13"/>
        <v>-1.1774235260337287E-2</v>
      </c>
    </row>
    <row r="344" spans="6:7" x14ac:dyDescent="0.2">
      <c r="F344" s="591">
        <v>335</v>
      </c>
      <c r="G344" s="420">
        <f t="shared" ca="1" si="13"/>
        <v>2.867514180659525E-2</v>
      </c>
    </row>
    <row r="345" spans="6:7" x14ac:dyDescent="0.2">
      <c r="F345" s="591">
        <v>336</v>
      </c>
      <c r="G345" s="420">
        <f t="shared" ca="1" si="13"/>
        <v>9.0528746854803041E-2</v>
      </c>
    </row>
    <row r="346" spans="6:7" x14ac:dyDescent="0.2">
      <c r="F346" s="591">
        <v>337</v>
      </c>
      <c r="G346" s="420">
        <f t="shared" ca="1" si="13"/>
        <v>5.1691134964788554E-2</v>
      </c>
    </row>
    <row r="347" spans="6:7" x14ac:dyDescent="0.2">
      <c r="F347" s="591">
        <v>338</v>
      </c>
      <c r="G347" s="420">
        <f t="shared" ca="1" si="13"/>
        <v>-8.8568749182395309E-2</v>
      </c>
    </row>
    <row r="348" spans="6:7" x14ac:dyDescent="0.2">
      <c r="F348" s="591">
        <v>339</v>
      </c>
      <c r="G348" s="420">
        <f t="shared" ca="1" si="13"/>
        <v>0.10579011125798009</v>
      </c>
    </row>
    <row r="349" spans="6:7" x14ac:dyDescent="0.2">
      <c r="F349" s="591">
        <v>340</v>
      </c>
      <c r="G349" s="420">
        <f t="shared" ca="1" si="13"/>
        <v>-5.9531979434938653E-2</v>
      </c>
    </row>
    <row r="350" spans="6:7" x14ac:dyDescent="0.2">
      <c r="F350" s="591">
        <v>341</v>
      </c>
      <c r="G350" s="420">
        <f t="shared" ca="1" si="13"/>
        <v>3.2003416894629447E-2</v>
      </c>
    </row>
    <row r="351" spans="6:7" x14ac:dyDescent="0.2">
      <c r="F351" s="591">
        <v>342</v>
      </c>
      <c r="G351" s="420">
        <f t="shared" ca="1" si="13"/>
        <v>1.1242776354729806E-2</v>
      </c>
    </row>
    <row r="352" spans="6:7" x14ac:dyDescent="0.2">
      <c r="F352" s="591">
        <v>343</v>
      </c>
      <c r="G352" s="420">
        <f t="shared" ca="1" si="13"/>
        <v>4.2829517106782608E-2</v>
      </c>
    </row>
    <row r="353" spans="6:7" x14ac:dyDescent="0.2">
      <c r="F353" s="591">
        <v>344</v>
      </c>
      <c r="G353" s="420">
        <f t="shared" ca="1" si="13"/>
        <v>-8.5155548707338588E-2</v>
      </c>
    </row>
    <row r="354" spans="6:7" x14ac:dyDescent="0.2">
      <c r="F354" s="591">
        <v>345</v>
      </c>
      <c r="G354" s="420">
        <f t="shared" ca="1" si="13"/>
        <v>3.5187225922678145E-2</v>
      </c>
    </row>
    <row r="355" spans="6:7" x14ac:dyDescent="0.2">
      <c r="F355" s="591">
        <v>346</v>
      </c>
      <c r="G355" s="420">
        <f t="shared" ca="1" si="13"/>
        <v>-2.4155871583682566E-2</v>
      </c>
    </row>
    <row r="356" spans="6:7" x14ac:dyDescent="0.2">
      <c r="F356" s="591">
        <v>347</v>
      </c>
      <c r="G356" s="420">
        <f t="shared" ca="1" si="13"/>
        <v>6.1291135614645409E-3</v>
      </c>
    </row>
    <row r="357" spans="6:7" x14ac:dyDescent="0.2">
      <c r="F357" s="591">
        <v>348</v>
      </c>
      <c r="G357" s="420">
        <f t="shared" ca="1" si="13"/>
        <v>6.8845192868442082E-2</v>
      </c>
    </row>
    <row r="358" spans="6:7" x14ac:dyDescent="0.2">
      <c r="F358" s="591">
        <v>349</v>
      </c>
      <c r="G358" s="420">
        <f t="shared" ca="1" si="13"/>
        <v>3.6413444391076841E-2</v>
      </c>
    </row>
    <row r="359" spans="6:7" x14ac:dyDescent="0.2">
      <c r="F359" s="591">
        <v>350</v>
      </c>
      <c r="G359" s="420">
        <f t="shared" ca="1" si="13"/>
        <v>0.12698433093223369</v>
      </c>
    </row>
    <row r="360" spans="6:7" x14ac:dyDescent="0.2">
      <c r="F360" s="591">
        <v>351</v>
      </c>
      <c r="G360" s="420">
        <f t="shared" ca="1" si="13"/>
        <v>-6.5917970298915288E-2</v>
      </c>
    </row>
    <row r="361" spans="6:7" x14ac:dyDescent="0.2">
      <c r="F361" s="591">
        <v>352</v>
      </c>
      <c r="G361" s="420">
        <f t="shared" ca="1" si="13"/>
        <v>2.8995788708378174E-2</v>
      </c>
    </row>
    <row r="362" spans="6:7" x14ac:dyDescent="0.2">
      <c r="F362" s="591">
        <v>353</v>
      </c>
      <c r="G362" s="420">
        <f t="shared" ca="1" si="13"/>
        <v>0.15804999954500981</v>
      </c>
    </row>
    <row r="363" spans="6:7" x14ac:dyDescent="0.2">
      <c r="F363" s="591">
        <v>354</v>
      </c>
      <c r="G363" s="420">
        <f t="shared" ca="1" si="13"/>
        <v>5.1757109284633576E-2</v>
      </c>
    </row>
    <row r="364" spans="6:7" x14ac:dyDescent="0.2">
      <c r="F364" s="591">
        <v>355</v>
      </c>
      <c r="G364" s="420">
        <f t="shared" ca="1" si="13"/>
        <v>5.6082802961486891E-2</v>
      </c>
    </row>
    <row r="365" spans="6:7" x14ac:dyDescent="0.2">
      <c r="F365" s="591">
        <v>356</v>
      </c>
      <c r="G365" s="420">
        <f t="shared" ca="1" si="13"/>
        <v>8.2793103650313268E-2</v>
      </c>
    </row>
    <row r="366" spans="6:7" x14ac:dyDescent="0.2">
      <c r="F366" s="591">
        <v>357</v>
      </c>
      <c r="G366" s="420">
        <f t="shared" ca="1" si="13"/>
        <v>-2.7040718922380778E-2</v>
      </c>
    </row>
    <row r="367" spans="6:7" x14ac:dyDescent="0.2">
      <c r="F367" s="591">
        <v>358</v>
      </c>
      <c r="G367" s="420">
        <f t="shared" ca="1" si="13"/>
        <v>-4.2211585054436257E-2</v>
      </c>
    </row>
    <row r="368" spans="6:7" x14ac:dyDescent="0.2">
      <c r="F368" s="591">
        <v>359</v>
      </c>
      <c r="G368" s="420">
        <f t="shared" ca="1" si="13"/>
        <v>9.2254752312052615E-2</v>
      </c>
    </row>
    <row r="369" spans="6:7" x14ac:dyDescent="0.2">
      <c r="F369" s="591">
        <v>360</v>
      </c>
      <c r="G369" s="420">
        <f t="shared" ca="1" si="13"/>
        <v>6.4119014244198705E-2</v>
      </c>
    </row>
    <row r="370" spans="6:7" x14ac:dyDescent="0.2">
      <c r="F370" s="591">
        <v>361</v>
      </c>
      <c r="G370" s="420">
        <f t="shared" ca="1" si="13"/>
        <v>6.3821464324856678E-2</v>
      </c>
    </row>
    <row r="371" spans="6:7" x14ac:dyDescent="0.2">
      <c r="F371" s="591">
        <v>362</v>
      </c>
      <c r="G371" s="420">
        <f t="shared" ca="1" si="13"/>
        <v>-9.9353467926908468E-2</v>
      </c>
    </row>
    <row r="372" spans="6:7" x14ac:dyDescent="0.2">
      <c r="F372" s="591">
        <v>363</v>
      </c>
      <c r="G372" s="420">
        <f t="shared" ca="1" si="13"/>
        <v>4.3173132651522214E-2</v>
      </c>
    </row>
    <row r="373" spans="6:7" x14ac:dyDescent="0.2">
      <c r="F373" s="591">
        <v>364</v>
      </c>
      <c r="G373" s="420">
        <f t="shared" ca="1" si="13"/>
        <v>-2.1002195757079168E-2</v>
      </c>
    </row>
    <row r="374" spans="6:7" x14ac:dyDescent="0.2">
      <c r="F374" s="591">
        <v>365</v>
      </c>
      <c r="G374" s="420">
        <f t="shared" ca="1" si="13"/>
        <v>5.6039298350618688E-2</v>
      </c>
    </row>
    <row r="375" spans="6:7" x14ac:dyDescent="0.2">
      <c r="F375" s="591">
        <v>366</v>
      </c>
      <c r="G375" s="420">
        <f t="shared" ca="1" si="13"/>
        <v>0.13067787740354406</v>
      </c>
    </row>
    <row r="376" spans="6:7" x14ac:dyDescent="0.2">
      <c r="F376" s="591">
        <v>367</v>
      </c>
      <c r="G376" s="420">
        <f t="shared" ca="1" si="13"/>
        <v>5.0320141355453443E-2</v>
      </c>
    </row>
    <row r="377" spans="6:7" x14ac:dyDescent="0.2">
      <c r="F377" s="591">
        <v>368</v>
      </c>
      <c r="G377" s="420">
        <f t="shared" ca="1" si="13"/>
        <v>1.9127165743929482E-2</v>
      </c>
    </row>
    <row r="378" spans="6:7" x14ac:dyDescent="0.2">
      <c r="F378" s="591">
        <v>369</v>
      </c>
      <c r="G378" s="420">
        <f t="shared" ca="1" si="13"/>
        <v>3.090255214481576E-2</v>
      </c>
    </row>
    <row r="379" spans="6:7" x14ac:dyDescent="0.2">
      <c r="F379" s="591">
        <v>370</v>
      </c>
      <c r="G379" s="420">
        <f t="shared" ca="1" si="13"/>
        <v>0.12193787180086305</v>
      </c>
    </row>
    <row r="380" spans="6:7" x14ac:dyDescent="0.2">
      <c r="F380" s="591">
        <v>371</v>
      </c>
      <c r="G380" s="420">
        <f t="shared" ca="1" si="13"/>
        <v>-2.8882482029415891E-2</v>
      </c>
    </row>
    <row r="381" spans="6:7" x14ac:dyDescent="0.2">
      <c r="F381" s="591">
        <v>372</v>
      </c>
      <c r="G381" s="420">
        <f t="shared" ca="1" si="13"/>
        <v>2.4587688282723223E-2</v>
      </c>
    </row>
    <row r="382" spans="6:7" x14ac:dyDescent="0.2">
      <c r="F382" s="591">
        <v>373</v>
      </c>
      <c r="G382" s="420">
        <f t="shared" ca="1" si="13"/>
        <v>6.5440488520016118E-3</v>
      </c>
    </row>
    <row r="383" spans="6:7" x14ac:dyDescent="0.2">
      <c r="F383" s="591">
        <v>374</v>
      </c>
      <c r="G383" s="420">
        <f t="shared" ca="1" si="13"/>
        <v>-7.2174704208193621E-2</v>
      </c>
    </row>
    <row r="384" spans="6:7" x14ac:dyDescent="0.2">
      <c r="F384" s="591">
        <v>375</v>
      </c>
      <c r="G384" s="420">
        <f t="shared" ca="1" si="13"/>
        <v>9.074006889524712E-2</v>
      </c>
    </row>
    <row r="385" spans="6:7" x14ac:dyDescent="0.2">
      <c r="F385" s="591">
        <v>376</v>
      </c>
      <c r="G385" s="420">
        <f t="shared" ca="1" si="13"/>
        <v>-3.2823054904700721E-2</v>
      </c>
    </row>
    <row r="386" spans="6:7" x14ac:dyDescent="0.2">
      <c r="F386" s="591">
        <v>377</v>
      </c>
      <c r="G386" s="420">
        <f t="shared" ca="1" si="13"/>
        <v>-1.7204585860179596E-2</v>
      </c>
    </row>
    <row r="387" spans="6:7" x14ac:dyDescent="0.2">
      <c r="F387" s="591">
        <v>378</v>
      </c>
      <c r="G387" s="420">
        <f t="shared" ca="1" si="13"/>
        <v>-3.3139068508228453E-2</v>
      </c>
    </row>
    <row r="388" spans="6:7" x14ac:dyDescent="0.2">
      <c r="F388" s="591">
        <v>379</v>
      </c>
      <c r="G388" s="420">
        <f t="shared" ca="1" si="13"/>
        <v>-4.575110610031051E-2</v>
      </c>
    </row>
    <row r="389" spans="6:7" x14ac:dyDescent="0.2">
      <c r="F389" s="591">
        <v>380</v>
      </c>
      <c r="G389" s="420">
        <f t="shared" ca="1" si="13"/>
        <v>6.7761621635102978E-4</v>
      </c>
    </row>
    <row r="390" spans="6:7" x14ac:dyDescent="0.2">
      <c r="F390" s="591">
        <v>381</v>
      </c>
      <c r="G390" s="420">
        <f t="shared" ca="1" si="13"/>
        <v>1.1221706678897466E-2</v>
      </c>
    </row>
    <row r="391" spans="6:7" x14ac:dyDescent="0.2">
      <c r="F391" s="591">
        <v>382</v>
      </c>
      <c r="G391" s="420">
        <f t="shared" ca="1" si="13"/>
        <v>7.4795314676896013E-2</v>
      </c>
    </row>
    <row r="392" spans="6:7" x14ac:dyDescent="0.2">
      <c r="F392" s="591">
        <v>383</v>
      </c>
      <c r="G392" s="420">
        <f t="shared" ca="1" si="13"/>
        <v>-4.3439501484755699E-2</v>
      </c>
    </row>
    <row r="393" spans="6:7" x14ac:dyDescent="0.2">
      <c r="F393" s="591">
        <v>384</v>
      </c>
      <c r="G393" s="420">
        <f t="shared" ca="1" si="13"/>
        <v>-7.3409826570348322E-2</v>
      </c>
    </row>
    <row r="394" spans="6:7" x14ac:dyDescent="0.2">
      <c r="F394" s="591">
        <v>385</v>
      </c>
      <c r="G394" s="420">
        <f t="shared" ca="1" si="13"/>
        <v>3.3647593511201009E-2</v>
      </c>
    </row>
    <row r="395" spans="6:7" x14ac:dyDescent="0.2">
      <c r="F395" s="591">
        <v>386</v>
      </c>
      <c r="G395" s="420">
        <f t="shared" ref="G395:G458" ca="1" si="14">_xlfn.NORM.INV(RAND(), $M$11,$M$12)</f>
        <v>-3.2706600466435407E-2</v>
      </c>
    </row>
    <row r="396" spans="6:7" x14ac:dyDescent="0.2">
      <c r="F396" s="591">
        <v>387</v>
      </c>
      <c r="G396" s="420">
        <f t="shared" ca="1" si="14"/>
        <v>1.95608857985127E-2</v>
      </c>
    </row>
    <row r="397" spans="6:7" x14ac:dyDescent="0.2">
      <c r="F397" s="591">
        <v>388</v>
      </c>
      <c r="G397" s="420">
        <f t="shared" ca="1" si="14"/>
        <v>1.7614475555595775E-2</v>
      </c>
    </row>
    <row r="398" spans="6:7" x14ac:dyDescent="0.2">
      <c r="F398" s="591">
        <v>389</v>
      </c>
      <c r="G398" s="420">
        <f t="shared" ca="1" si="14"/>
        <v>0.14436441398979322</v>
      </c>
    </row>
    <row r="399" spans="6:7" x14ac:dyDescent="0.2">
      <c r="F399" s="591">
        <v>390</v>
      </c>
      <c r="G399" s="420">
        <f t="shared" ca="1" si="14"/>
        <v>7.0530957215626966E-2</v>
      </c>
    </row>
    <row r="400" spans="6:7" x14ac:dyDescent="0.2">
      <c r="F400" s="591">
        <v>391</v>
      </c>
      <c r="G400" s="420">
        <f t="shared" ca="1" si="14"/>
        <v>-2.9562685293900475E-2</v>
      </c>
    </row>
    <row r="401" spans="6:7" x14ac:dyDescent="0.2">
      <c r="F401" s="591">
        <v>392</v>
      </c>
      <c r="G401" s="420">
        <f t="shared" ca="1" si="14"/>
        <v>-7.1722556891592723E-2</v>
      </c>
    </row>
    <row r="402" spans="6:7" x14ac:dyDescent="0.2">
      <c r="F402" s="591">
        <v>393</v>
      </c>
      <c r="G402" s="420">
        <f t="shared" ca="1" si="14"/>
        <v>0.12526604957149085</v>
      </c>
    </row>
    <row r="403" spans="6:7" x14ac:dyDescent="0.2">
      <c r="F403" s="591">
        <v>394</v>
      </c>
      <c r="G403" s="420">
        <f t="shared" ca="1" si="14"/>
        <v>-0.17347516745009597</v>
      </c>
    </row>
    <row r="404" spans="6:7" x14ac:dyDescent="0.2">
      <c r="F404" s="591">
        <v>395</v>
      </c>
      <c r="G404" s="420">
        <f t="shared" ca="1" si="14"/>
        <v>4.5510389990669337E-2</v>
      </c>
    </row>
    <row r="405" spans="6:7" x14ac:dyDescent="0.2">
      <c r="F405" s="591">
        <v>396</v>
      </c>
      <c r="G405" s="420">
        <f t="shared" ca="1" si="14"/>
        <v>2.5013419161086948E-2</v>
      </c>
    </row>
    <row r="406" spans="6:7" x14ac:dyDescent="0.2">
      <c r="F406" s="591">
        <v>397</v>
      </c>
      <c r="G406" s="420">
        <f t="shared" ca="1" si="14"/>
        <v>5.4799329122833723E-2</v>
      </c>
    </row>
    <row r="407" spans="6:7" x14ac:dyDescent="0.2">
      <c r="F407" s="591">
        <v>398</v>
      </c>
      <c r="G407" s="420">
        <f t="shared" ca="1" si="14"/>
        <v>-5.7993940711984535E-2</v>
      </c>
    </row>
    <row r="408" spans="6:7" x14ac:dyDescent="0.2">
      <c r="F408" s="591">
        <v>399</v>
      </c>
      <c r="G408" s="420">
        <f t="shared" ca="1" si="14"/>
        <v>-0.11206028498722001</v>
      </c>
    </row>
    <row r="409" spans="6:7" x14ac:dyDescent="0.2">
      <c r="F409" s="591">
        <v>400</v>
      </c>
      <c r="G409" s="420">
        <f t="shared" ca="1" si="14"/>
        <v>7.1156044726613188E-2</v>
      </c>
    </row>
    <row r="410" spans="6:7" x14ac:dyDescent="0.2">
      <c r="F410" s="591">
        <v>401</v>
      </c>
      <c r="G410" s="420">
        <f t="shared" ca="1" si="14"/>
        <v>-1.4851948307168069E-2</v>
      </c>
    </row>
    <row r="411" spans="6:7" x14ac:dyDescent="0.2">
      <c r="F411" s="591">
        <v>402</v>
      </c>
      <c r="G411" s="420">
        <f t="shared" ca="1" si="14"/>
        <v>0.10774729244624956</v>
      </c>
    </row>
    <row r="412" spans="6:7" x14ac:dyDescent="0.2">
      <c r="F412" s="591">
        <v>403</v>
      </c>
      <c r="G412" s="420">
        <f t="shared" ca="1" si="14"/>
        <v>0.14687576134092764</v>
      </c>
    </row>
    <row r="413" spans="6:7" x14ac:dyDescent="0.2">
      <c r="F413" s="591">
        <v>404</v>
      </c>
      <c r="G413" s="420">
        <f t="shared" ca="1" si="14"/>
        <v>4.310077421327338E-2</v>
      </c>
    </row>
    <row r="414" spans="6:7" x14ac:dyDescent="0.2">
      <c r="F414" s="591">
        <v>405</v>
      </c>
      <c r="G414" s="420">
        <f t="shared" ca="1" si="14"/>
        <v>7.9728279226165738E-2</v>
      </c>
    </row>
    <row r="415" spans="6:7" x14ac:dyDescent="0.2">
      <c r="F415" s="591">
        <v>406</v>
      </c>
      <c r="G415" s="420">
        <f t="shared" ca="1" si="14"/>
        <v>2.9941489984322313E-3</v>
      </c>
    </row>
    <row r="416" spans="6:7" x14ac:dyDescent="0.2">
      <c r="F416" s="591">
        <v>407</v>
      </c>
      <c r="G416" s="420">
        <f t="shared" ca="1" si="14"/>
        <v>-6.1962478340743907E-2</v>
      </c>
    </row>
    <row r="417" spans="6:7" x14ac:dyDescent="0.2">
      <c r="F417" s="591">
        <v>408</v>
      </c>
      <c r="G417" s="420">
        <f t="shared" ca="1" si="14"/>
        <v>2.8451323610960505E-2</v>
      </c>
    </row>
    <row r="418" spans="6:7" x14ac:dyDescent="0.2">
      <c r="F418" s="591">
        <v>409</v>
      </c>
      <c r="G418" s="420">
        <f t="shared" ca="1" si="14"/>
        <v>-5.673414114925418E-2</v>
      </c>
    </row>
    <row r="419" spans="6:7" x14ac:dyDescent="0.2">
      <c r="F419" s="591">
        <v>410</v>
      </c>
      <c r="G419" s="420">
        <f t="shared" ca="1" si="14"/>
        <v>-2.3563053973565614E-2</v>
      </c>
    </row>
    <row r="420" spans="6:7" x14ac:dyDescent="0.2">
      <c r="F420" s="591">
        <v>411</v>
      </c>
      <c r="G420" s="420">
        <f t="shared" ca="1" si="14"/>
        <v>5.7140695973725578E-2</v>
      </c>
    </row>
    <row r="421" spans="6:7" x14ac:dyDescent="0.2">
      <c r="F421" s="591">
        <v>412</v>
      </c>
      <c r="G421" s="420">
        <f t="shared" ca="1" si="14"/>
        <v>-7.5793054829097872E-2</v>
      </c>
    </row>
    <row r="422" spans="6:7" x14ac:dyDescent="0.2">
      <c r="F422" s="591">
        <v>413</v>
      </c>
      <c r="G422" s="420">
        <f t="shared" ca="1" si="14"/>
        <v>3.6542173397215189E-2</v>
      </c>
    </row>
    <row r="423" spans="6:7" x14ac:dyDescent="0.2">
      <c r="F423" s="591">
        <v>414</v>
      </c>
      <c r="G423" s="420">
        <f t="shared" ca="1" si="14"/>
        <v>4.9568035192692539E-2</v>
      </c>
    </row>
    <row r="424" spans="6:7" x14ac:dyDescent="0.2">
      <c r="F424" s="591">
        <v>415</v>
      </c>
      <c r="G424" s="420">
        <f t="shared" ca="1" si="14"/>
        <v>-3.9742291811988122E-3</v>
      </c>
    </row>
    <row r="425" spans="6:7" x14ac:dyDescent="0.2">
      <c r="F425" s="591">
        <v>416</v>
      </c>
      <c r="G425" s="420">
        <f t="shared" ca="1" si="14"/>
        <v>5.1303572592881083E-2</v>
      </c>
    </row>
    <row r="426" spans="6:7" x14ac:dyDescent="0.2">
      <c r="F426" s="591">
        <v>417</v>
      </c>
      <c r="G426" s="420">
        <f t="shared" ca="1" si="14"/>
        <v>4.1797078434256882E-3</v>
      </c>
    </row>
    <row r="427" spans="6:7" x14ac:dyDescent="0.2">
      <c r="F427" s="591">
        <v>418</v>
      </c>
      <c r="G427" s="420">
        <f t="shared" ca="1" si="14"/>
        <v>5.2695108082747355E-2</v>
      </c>
    </row>
    <row r="428" spans="6:7" x14ac:dyDescent="0.2">
      <c r="F428" s="591">
        <v>419</v>
      </c>
      <c r="G428" s="420">
        <f t="shared" ca="1" si="14"/>
        <v>2.3476772226496991E-2</v>
      </c>
    </row>
    <row r="429" spans="6:7" x14ac:dyDescent="0.2">
      <c r="F429" s="591">
        <v>420</v>
      </c>
      <c r="G429" s="420">
        <f t="shared" ca="1" si="14"/>
        <v>-0.11143772153109979</v>
      </c>
    </row>
    <row r="430" spans="6:7" x14ac:dyDescent="0.2">
      <c r="F430" s="591">
        <v>421</v>
      </c>
      <c r="G430" s="420">
        <f t="shared" ca="1" si="14"/>
        <v>5.0129774319853604E-2</v>
      </c>
    </row>
    <row r="431" spans="6:7" x14ac:dyDescent="0.2">
      <c r="F431" s="591">
        <v>422</v>
      </c>
      <c r="G431" s="420">
        <f t="shared" ca="1" si="14"/>
        <v>0.10083081024509616</v>
      </c>
    </row>
    <row r="432" spans="6:7" x14ac:dyDescent="0.2">
      <c r="F432" s="591">
        <v>423</v>
      </c>
      <c r="G432" s="420">
        <f t="shared" ca="1" si="14"/>
        <v>5.4456709979812251E-2</v>
      </c>
    </row>
    <row r="433" spans="6:7" x14ac:dyDescent="0.2">
      <c r="F433" s="591">
        <v>424</v>
      </c>
      <c r="G433" s="420">
        <f t="shared" ca="1" si="14"/>
        <v>-3.2669474700830661E-2</v>
      </c>
    </row>
    <row r="434" spans="6:7" x14ac:dyDescent="0.2">
      <c r="F434" s="591">
        <v>425</v>
      </c>
      <c r="G434" s="420">
        <f t="shared" ca="1" si="14"/>
        <v>7.7740718334483871E-2</v>
      </c>
    </row>
    <row r="435" spans="6:7" x14ac:dyDescent="0.2">
      <c r="F435" s="591">
        <v>426</v>
      </c>
      <c r="G435" s="420">
        <f t="shared" ca="1" si="14"/>
        <v>1.1558637973671808E-2</v>
      </c>
    </row>
    <row r="436" spans="6:7" x14ac:dyDescent="0.2">
      <c r="F436" s="591">
        <v>427</v>
      </c>
      <c r="G436" s="420">
        <f t="shared" ca="1" si="14"/>
        <v>-2.6090284167361862E-2</v>
      </c>
    </row>
    <row r="437" spans="6:7" x14ac:dyDescent="0.2">
      <c r="F437" s="591">
        <v>428</v>
      </c>
      <c r="G437" s="420">
        <f t="shared" ca="1" si="14"/>
        <v>2.5043252060858098E-2</v>
      </c>
    </row>
    <row r="438" spans="6:7" x14ac:dyDescent="0.2">
      <c r="F438" s="591">
        <v>429</v>
      </c>
      <c r="G438" s="420">
        <f t="shared" ca="1" si="14"/>
        <v>-2.6056216657276563E-2</v>
      </c>
    </row>
    <row r="439" spans="6:7" x14ac:dyDescent="0.2">
      <c r="F439" s="591">
        <v>430</v>
      </c>
      <c r="G439" s="420">
        <f t="shared" ca="1" si="14"/>
        <v>1.9234708200818382E-2</v>
      </c>
    </row>
    <row r="440" spans="6:7" x14ac:dyDescent="0.2">
      <c r="F440" s="591">
        <v>431</v>
      </c>
      <c r="G440" s="420">
        <f t="shared" ca="1" si="14"/>
        <v>-7.3533219183823176E-2</v>
      </c>
    </row>
    <row r="441" spans="6:7" x14ac:dyDescent="0.2">
      <c r="F441" s="591">
        <v>432</v>
      </c>
      <c r="G441" s="420">
        <f t="shared" ca="1" si="14"/>
        <v>0.11486199947668274</v>
      </c>
    </row>
    <row r="442" spans="6:7" x14ac:dyDescent="0.2">
      <c r="F442" s="591">
        <v>433</v>
      </c>
      <c r="G442" s="420">
        <f t="shared" ca="1" si="14"/>
        <v>2.0835904492259204E-2</v>
      </c>
    </row>
    <row r="443" spans="6:7" x14ac:dyDescent="0.2">
      <c r="F443" s="591">
        <v>434</v>
      </c>
      <c r="G443" s="420">
        <f t="shared" ca="1" si="14"/>
        <v>-3.5421632433343397E-2</v>
      </c>
    </row>
    <row r="444" spans="6:7" x14ac:dyDescent="0.2">
      <c r="F444" s="591">
        <v>435</v>
      </c>
      <c r="G444" s="420">
        <f t="shared" ca="1" si="14"/>
        <v>1.3566885906456936E-2</v>
      </c>
    </row>
    <row r="445" spans="6:7" x14ac:dyDescent="0.2">
      <c r="F445" s="591">
        <v>436</v>
      </c>
      <c r="G445" s="420">
        <f t="shared" ca="1" si="14"/>
        <v>-6.3250557019780163E-2</v>
      </c>
    </row>
    <row r="446" spans="6:7" x14ac:dyDescent="0.2">
      <c r="F446" s="591">
        <v>437</v>
      </c>
      <c r="G446" s="420">
        <f t="shared" ca="1" si="14"/>
        <v>-0.1379936691736946</v>
      </c>
    </row>
    <row r="447" spans="6:7" x14ac:dyDescent="0.2">
      <c r="F447" s="591">
        <v>438</v>
      </c>
      <c r="G447" s="420">
        <f t="shared" ca="1" si="14"/>
        <v>-1.0049017975641179E-2</v>
      </c>
    </row>
    <row r="448" spans="6:7" x14ac:dyDescent="0.2">
      <c r="F448" s="591">
        <v>439</v>
      </c>
      <c r="G448" s="420">
        <f t="shared" ca="1" si="14"/>
        <v>-3.9480901725161971E-2</v>
      </c>
    </row>
    <row r="449" spans="6:7" x14ac:dyDescent="0.2">
      <c r="F449" s="591">
        <v>440</v>
      </c>
      <c r="G449" s="420">
        <f t="shared" ca="1" si="14"/>
        <v>8.5039987019255206E-2</v>
      </c>
    </row>
    <row r="450" spans="6:7" x14ac:dyDescent="0.2">
      <c r="F450" s="591">
        <v>441</v>
      </c>
      <c r="G450" s="420">
        <f t="shared" ca="1" si="14"/>
        <v>2.0463368465628462E-2</v>
      </c>
    </row>
    <row r="451" spans="6:7" x14ac:dyDescent="0.2">
      <c r="F451" s="591">
        <v>442</v>
      </c>
      <c r="G451" s="420">
        <f t="shared" ca="1" si="14"/>
        <v>6.9283496679583313E-3</v>
      </c>
    </row>
    <row r="452" spans="6:7" x14ac:dyDescent="0.2">
      <c r="F452" s="591">
        <v>443</v>
      </c>
      <c r="G452" s="420">
        <f t="shared" ca="1" si="14"/>
        <v>9.1462557858231541E-2</v>
      </c>
    </row>
    <row r="453" spans="6:7" x14ac:dyDescent="0.2">
      <c r="F453" s="591">
        <v>444</v>
      </c>
      <c r="G453" s="420">
        <f t="shared" ca="1" si="14"/>
        <v>4.7785972785037018E-2</v>
      </c>
    </row>
    <row r="454" spans="6:7" x14ac:dyDescent="0.2">
      <c r="F454" s="591">
        <v>445</v>
      </c>
      <c r="G454" s="420">
        <f t="shared" ca="1" si="14"/>
        <v>4.9000758499353661E-2</v>
      </c>
    </row>
    <row r="455" spans="6:7" x14ac:dyDescent="0.2">
      <c r="F455" s="591">
        <v>446</v>
      </c>
      <c r="G455" s="420">
        <f t="shared" ca="1" si="14"/>
        <v>-3.9090312611952047E-3</v>
      </c>
    </row>
    <row r="456" spans="6:7" x14ac:dyDescent="0.2">
      <c r="F456" s="591">
        <v>447</v>
      </c>
      <c r="G456" s="420">
        <f t="shared" ca="1" si="14"/>
        <v>5.5851397405833073E-2</v>
      </c>
    </row>
    <row r="457" spans="6:7" x14ac:dyDescent="0.2">
      <c r="F457" s="591">
        <v>448</v>
      </c>
      <c r="G457" s="420">
        <f t="shared" ca="1" si="14"/>
        <v>-2.8501777701225271E-3</v>
      </c>
    </row>
    <row r="458" spans="6:7" x14ac:dyDescent="0.2">
      <c r="F458" s="591">
        <v>449</v>
      </c>
      <c r="G458" s="420">
        <f t="shared" ca="1" si="14"/>
        <v>0.10263407676820477</v>
      </c>
    </row>
    <row r="459" spans="6:7" x14ac:dyDescent="0.2">
      <c r="F459" s="591">
        <v>450</v>
      </c>
      <c r="G459" s="420">
        <f t="shared" ref="G459:G522" ca="1" si="15">_xlfn.NORM.INV(RAND(), $M$11,$M$12)</f>
        <v>-9.8773143022876791E-2</v>
      </c>
    </row>
    <row r="460" spans="6:7" x14ac:dyDescent="0.2">
      <c r="F460" s="591">
        <v>451</v>
      </c>
      <c r="G460" s="420">
        <f t="shared" ca="1" si="15"/>
        <v>2.3046889132046312E-2</v>
      </c>
    </row>
    <row r="461" spans="6:7" x14ac:dyDescent="0.2">
      <c r="F461" s="591">
        <v>452</v>
      </c>
      <c r="G461" s="420">
        <f t="shared" ca="1" si="15"/>
        <v>-8.006875905504475E-2</v>
      </c>
    </row>
    <row r="462" spans="6:7" x14ac:dyDescent="0.2">
      <c r="F462" s="591">
        <v>453</v>
      </c>
      <c r="G462" s="420">
        <f t="shared" ca="1" si="15"/>
        <v>-4.468075964053321E-2</v>
      </c>
    </row>
    <row r="463" spans="6:7" x14ac:dyDescent="0.2">
      <c r="F463" s="591">
        <v>454</v>
      </c>
      <c r="G463" s="420">
        <f t="shared" ca="1" si="15"/>
        <v>-2.5515535872848629E-3</v>
      </c>
    </row>
    <row r="464" spans="6:7" x14ac:dyDescent="0.2">
      <c r="F464" s="591">
        <v>455</v>
      </c>
      <c r="G464" s="420">
        <f t="shared" ca="1" si="15"/>
        <v>-1.4115510438543918E-2</v>
      </c>
    </row>
    <row r="465" spans="6:7" x14ac:dyDescent="0.2">
      <c r="F465" s="591">
        <v>456</v>
      </c>
      <c r="G465" s="420">
        <f t="shared" ca="1" si="15"/>
        <v>-6.1157813073642792E-2</v>
      </c>
    </row>
    <row r="466" spans="6:7" x14ac:dyDescent="0.2">
      <c r="F466" s="591">
        <v>457</v>
      </c>
      <c r="G466" s="420">
        <f t="shared" ca="1" si="15"/>
        <v>2.7509355293496549E-2</v>
      </c>
    </row>
    <row r="467" spans="6:7" x14ac:dyDescent="0.2">
      <c r="F467" s="591">
        <v>458</v>
      </c>
      <c r="G467" s="420">
        <f t="shared" ca="1" si="15"/>
        <v>-4.3399634609760616E-4</v>
      </c>
    </row>
    <row r="468" spans="6:7" x14ac:dyDescent="0.2">
      <c r="F468" s="591">
        <v>459</v>
      </c>
      <c r="G468" s="420">
        <f t="shared" ca="1" si="15"/>
        <v>1.0650714873642607E-2</v>
      </c>
    </row>
    <row r="469" spans="6:7" x14ac:dyDescent="0.2">
      <c r="F469" s="591">
        <v>460</v>
      </c>
      <c r="G469" s="420">
        <f t="shared" ca="1" si="15"/>
        <v>0.10195559888820223</v>
      </c>
    </row>
    <row r="470" spans="6:7" x14ac:dyDescent="0.2">
      <c r="F470" s="591">
        <v>461</v>
      </c>
      <c r="G470" s="420">
        <f t="shared" ca="1" si="15"/>
        <v>-1.5889410605103602E-2</v>
      </c>
    </row>
    <row r="471" spans="6:7" x14ac:dyDescent="0.2">
      <c r="F471" s="591">
        <v>462</v>
      </c>
      <c r="G471" s="420">
        <f t="shared" ca="1" si="15"/>
        <v>0.10447883757465125</v>
      </c>
    </row>
    <row r="472" spans="6:7" x14ac:dyDescent="0.2">
      <c r="F472" s="591">
        <v>463</v>
      </c>
      <c r="G472" s="420">
        <f t="shared" ca="1" si="15"/>
        <v>-5.3148036548098535E-2</v>
      </c>
    </row>
    <row r="473" spans="6:7" x14ac:dyDescent="0.2">
      <c r="F473" s="591">
        <v>464</v>
      </c>
      <c r="G473" s="420">
        <f t="shared" ca="1" si="15"/>
        <v>3.856954243967934E-2</v>
      </c>
    </row>
    <row r="474" spans="6:7" x14ac:dyDescent="0.2">
      <c r="F474" s="591">
        <v>465</v>
      </c>
      <c r="G474" s="420">
        <f t="shared" ca="1" si="15"/>
        <v>-6.216501088892025E-2</v>
      </c>
    </row>
    <row r="475" spans="6:7" x14ac:dyDescent="0.2">
      <c r="F475" s="591">
        <v>466</v>
      </c>
      <c r="G475" s="420">
        <f t="shared" ca="1" si="15"/>
        <v>7.9854501103006181E-2</v>
      </c>
    </row>
    <row r="476" spans="6:7" x14ac:dyDescent="0.2">
      <c r="F476" s="591">
        <v>467</v>
      </c>
      <c r="G476" s="420">
        <f t="shared" ca="1" si="15"/>
        <v>0.1401245139383088</v>
      </c>
    </row>
    <row r="477" spans="6:7" x14ac:dyDescent="0.2">
      <c r="F477" s="591">
        <v>468</v>
      </c>
      <c r="G477" s="420">
        <f t="shared" ca="1" si="15"/>
        <v>2.1546795430897568E-2</v>
      </c>
    </row>
    <row r="478" spans="6:7" x14ac:dyDescent="0.2">
      <c r="F478" s="591">
        <v>469</v>
      </c>
      <c r="G478" s="420">
        <f t="shared" ca="1" si="15"/>
        <v>-5.0206187286347057E-3</v>
      </c>
    </row>
    <row r="479" spans="6:7" x14ac:dyDescent="0.2">
      <c r="F479" s="591">
        <v>470</v>
      </c>
      <c r="G479" s="420">
        <f t="shared" ca="1" si="15"/>
        <v>-3.1037220456509692E-2</v>
      </c>
    </row>
    <row r="480" spans="6:7" x14ac:dyDescent="0.2">
      <c r="F480" s="591">
        <v>471</v>
      </c>
      <c r="G480" s="420">
        <f t="shared" ca="1" si="15"/>
        <v>0.15913635445509788</v>
      </c>
    </row>
    <row r="481" spans="6:7" x14ac:dyDescent="0.2">
      <c r="F481" s="591">
        <v>472</v>
      </c>
      <c r="G481" s="420">
        <f t="shared" ca="1" si="15"/>
        <v>-2.1519653479510629E-2</v>
      </c>
    </row>
    <row r="482" spans="6:7" x14ac:dyDescent="0.2">
      <c r="F482" s="591">
        <v>473</v>
      </c>
      <c r="G482" s="420">
        <f t="shared" ca="1" si="15"/>
        <v>8.2310230569505288E-2</v>
      </c>
    </row>
    <row r="483" spans="6:7" x14ac:dyDescent="0.2">
      <c r="F483" s="591">
        <v>474</v>
      </c>
      <c r="G483" s="420">
        <f t="shared" ca="1" si="15"/>
        <v>1.7115104161055571E-2</v>
      </c>
    </row>
    <row r="484" spans="6:7" x14ac:dyDescent="0.2">
      <c r="F484" s="591">
        <v>475</v>
      </c>
      <c r="G484" s="420">
        <f t="shared" ca="1" si="15"/>
        <v>5.5563595476129296E-2</v>
      </c>
    </row>
    <row r="485" spans="6:7" x14ac:dyDescent="0.2">
      <c r="F485" s="591">
        <v>476</v>
      </c>
      <c r="G485" s="420">
        <f t="shared" ca="1" si="15"/>
        <v>-8.805752777376305E-2</v>
      </c>
    </row>
    <row r="486" spans="6:7" x14ac:dyDescent="0.2">
      <c r="F486" s="591">
        <v>477</v>
      </c>
      <c r="G486" s="420">
        <f t="shared" ca="1" si="15"/>
        <v>-2.8938040642251871E-2</v>
      </c>
    </row>
    <row r="487" spans="6:7" x14ac:dyDescent="0.2">
      <c r="F487" s="591">
        <v>478</v>
      </c>
      <c r="G487" s="420">
        <f t="shared" ca="1" si="15"/>
        <v>-2.0731677784574975E-2</v>
      </c>
    </row>
    <row r="488" spans="6:7" x14ac:dyDescent="0.2">
      <c r="F488" s="591">
        <v>479</v>
      </c>
      <c r="G488" s="420">
        <f t="shared" ca="1" si="15"/>
        <v>8.2415327725037776E-2</v>
      </c>
    </row>
    <row r="489" spans="6:7" x14ac:dyDescent="0.2">
      <c r="F489" s="591">
        <v>480</v>
      </c>
      <c r="G489" s="420">
        <f t="shared" ca="1" si="15"/>
        <v>-2.7367280377616533E-2</v>
      </c>
    </row>
    <row r="490" spans="6:7" x14ac:dyDescent="0.2">
      <c r="F490" s="591">
        <v>481</v>
      </c>
      <c r="G490" s="420">
        <f t="shared" ca="1" si="15"/>
        <v>8.7524041504272052E-2</v>
      </c>
    </row>
    <row r="491" spans="6:7" x14ac:dyDescent="0.2">
      <c r="F491" s="591">
        <v>482</v>
      </c>
      <c r="G491" s="420">
        <f t="shared" ca="1" si="15"/>
        <v>2.0631632362673083E-2</v>
      </c>
    </row>
    <row r="492" spans="6:7" x14ac:dyDescent="0.2">
      <c r="F492" s="591">
        <v>483</v>
      </c>
      <c r="G492" s="420">
        <f t="shared" ca="1" si="15"/>
        <v>-4.2624095572812368E-2</v>
      </c>
    </row>
    <row r="493" spans="6:7" x14ac:dyDescent="0.2">
      <c r="F493" s="591">
        <v>484</v>
      </c>
      <c r="G493" s="420">
        <f t="shared" ca="1" si="15"/>
        <v>-9.3428520971816489E-2</v>
      </c>
    </row>
    <row r="494" spans="6:7" x14ac:dyDescent="0.2">
      <c r="F494" s="591">
        <v>485</v>
      </c>
      <c r="G494" s="420">
        <f t="shared" ca="1" si="15"/>
        <v>-9.9720017404728301E-3</v>
      </c>
    </row>
    <row r="495" spans="6:7" x14ac:dyDescent="0.2">
      <c r="F495" s="591">
        <v>486</v>
      </c>
      <c r="G495" s="420">
        <f t="shared" ca="1" si="15"/>
        <v>0.12146676807246923</v>
      </c>
    </row>
    <row r="496" spans="6:7" x14ac:dyDescent="0.2">
      <c r="F496" s="591">
        <v>487</v>
      </c>
      <c r="G496" s="420">
        <f t="shared" ca="1" si="15"/>
        <v>-5.4733194047782874E-2</v>
      </c>
    </row>
    <row r="497" spans="6:7" x14ac:dyDescent="0.2">
      <c r="F497" s="591">
        <v>488</v>
      </c>
      <c r="G497" s="420">
        <f t="shared" ca="1" si="15"/>
        <v>4.0074080117486491E-2</v>
      </c>
    </row>
    <row r="498" spans="6:7" x14ac:dyDescent="0.2">
      <c r="F498" s="591">
        <v>489</v>
      </c>
      <c r="G498" s="420">
        <f t="shared" ca="1" si="15"/>
        <v>7.8348747059028528E-2</v>
      </c>
    </row>
    <row r="499" spans="6:7" x14ac:dyDescent="0.2">
      <c r="F499" s="591">
        <v>490</v>
      </c>
      <c r="G499" s="420">
        <f t="shared" ca="1" si="15"/>
        <v>-7.0582267433720133E-2</v>
      </c>
    </row>
    <row r="500" spans="6:7" x14ac:dyDescent="0.2">
      <c r="F500" s="591">
        <v>491</v>
      </c>
      <c r="G500" s="420">
        <f t="shared" ca="1" si="15"/>
        <v>-8.3309402280274905E-2</v>
      </c>
    </row>
    <row r="501" spans="6:7" x14ac:dyDescent="0.2">
      <c r="F501" s="591">
        <v>492</v>
      </c>
      <c r="G501" s="420">
        <f t="shared" ca="1" si="15"/>
        <v>-3.3571839856845823E-2</v>
      </c>
    </row>
    <row r="502" spans="6:7" x14ac:dyDescent="0.2">
      <c r="F502" s="591">
        <v>493</v>
      </c>
      <c r="G502" s="420">
        <f t="shared" ca="1" si="15"/>
        <v>-3.3027947349828085E-2</v>
      </c>
    </row>
    <row r="503" spans="6:7" x14ac:dyDescent="0.2">
      <c r="F503" s="591">
        <v>494</v>
      </c>
      <c r="G503" s="420">
        <f t="shared" ca="1" si="15"/>
        <v>4.2933749316255043E-2</v>
      </c>
    </row>
    <row r="504" spans="6:7" x14ac:dyDescent="0.2">
      <c r="F504" s="591">
        <v>495</v>
      </c>
      <c r="G504" s="420">
        <f t="shared" ca="1" si="15"/>
        <v>0.12100217333361339</v>
      </c>
    </row>
    <row r="505" spans="6:7" x14ac:dyDescent="0.2">
      <c r="F505" s="591">
        <v>496</v>
      </c>
      <c r="G505" s="420">
        <f t="shared" ca="1" si="15"/>
        <v>3.0999117640118163E-2</v>
      </c>
    </row>
    <row r="506" spans="6:7" x14ac:dyDescent="0.2">
      <c r="F506" s="591">
        <v>497</v>
      </c>
      <c r="G506" s="420">
        <f t="shared" ca="1" si="15"/>
        <v>6.0947695110792649E-2</v>
      </c>
    </row>
    <row r="507" spans="6:7" x14ac:dyDescent="0.2">
      <c r="F507" s="591">
        <v>498</v>
      </c>
      <c r="G507" s="420">
        <f t="shared" ca="1" si="15"/>
        <v>3.0386314927537596E-3</v>
      </c>
    </row>
    <row r="508" spans="6:7" x14ac:dyDescent="0.2">
      <c r="F508" s="591">
        <v>499</v>
      </c>
      <c r="G508" s="420">
        <f t="shared" ca="1" si="15"/>
        <v>6.1964103765892002E-4</v>
      </c>
    </row>
    <row r="509" spans="6:7" x14ac:dyDescent="0.2">
      <c r="F509" s="591">
        <v>500</v>
      </c>
      <c r="G509" s="420">
        <f t="shared" ca="1" si="15"/>
        <v>2.4541724709969695E-2</v>
      </c>
    </row>
    <row r="510" spans="6:7" x14ac:dyDescent="0.2">
      <c r="F510" s="591">
        <v>501</v>
      </c>
      <c r="G510" s="420">
        <f t="shared" ca="1" si="15"/>
        <v>7.0067710835885852E-2</v>
      </c>
    </row>
    <row r="511" spans="6:7" x14ac:dyDescent="0.2">
      <c r="F511" s="591">
        <v>502</v>
      </c>
      <c r="G511" s="420">
        <f t="shared" ca="1" si="15"/>
        <v>5.0841270013169293E-2</v>
      </c>
    </row>
    <row r="512" spans="6:7" x14ac:dyDescent="0.2">
      <c r="F512" s="591">
        <v>503</v>
      </c>
      <c r="G512" s="420">
        <f t="shared" ca="1" si="15"/>
        <v>2.4274250791110157E-2</v>
      </c>
    </row>
    <row r="513" spans="6:7" x14ac:dyDescent="0.2">
      <c r="F513" s="591">
        <v>504</v>
      </c>
      <c r="G513" s="420">
        <f t="shared" ca="1" si="15"/>
        <v>2.970087203960867E-2</v>
      </c>
    </row>
    <row r="514" spans="6:7" x14ac:dyDescent="0.2">
      <c r="F514" s="591">
        <v>505</v>
      </c>
      <c r="G514" s="420">
        <f t="shared" ca="1" si="15"/>
        <v>-5.1259476464137449E-2</v>
      </c>
    </row>
    <row r="515" spans="6:7" x14ac:dyDescent="0.2">
      <c r="F515" s="591">
        <v>506</v>
      </c>
      <c r="G515" s="420">
        <f t="shared" ca="1" si="15"/>
        <v>7.6892942252886568E-3</v>
      </c>
    </row>
    <row r="516" spans="6:7" x14ac:dyDescent="0.2">
      <c r="F516" s="591">
        <v>507</v>
      </c>
      <c r="G516" s="420">
        <f t="shared" ca="1" si="15"/>
        <v>-6.2282614244188822E-2</v>
      </c>
    </row>
    <row r="517" spans="6:7" x14ac:dyDescent="0.2">
      <c r="F517" s="591">
        <v>508</v>
      </c>
      <c r="G517" s="420">
        <f t="shared" ca="1" si="15"/>
        <v>-7.4318391430199235E-2</v>
      </c>
    </row>
    <row r="518" spans="6:7" x14ac:dyDescent="0.2">
      <c r="F518" s="591">
        <v>509</v>
      </c>
      <c r="G518" s="420">
        <f t="shared" ca="1" si="15"/>
        <v>1.7994398739333249E-3</v>
      </c>
    </row>
    <row r="519" spans="6:7" x14ac:dyDescent="0.2">
      <c r="F519" s="591">
        <v>510</v>
      </c>
      <c r="G519" s="420">
        <f t="shared" ca="1" si="15"/>
        <v>1.9696130186469235E-2</v>
      </c>
    </row>
    <row r="520" spans="6:7" x14ac:dyDescent="0.2">
      <c r="F520" s="591">
        <v>511</v>
      </c>
      <c r="G520" s="420">
        <f t="shared" ca="1" si="15"/>
        <v>-3.170806739362593E-2</v>
      </c>
    </row>
    <row r="521" spans="6:7" x14ac:dyDescent="0.2">
      <c r="F521" s="591">
        <v>512</v>
      </c>
      <c r="G521" s="420">
        <f t="shared" ca="1" si="15"/>
        <v>8.9273337714497289E-2</v>
      </c>
    </row>
    <row r="522" spans="6:7" x14ac:dyDescent="0.2">
      <c r="F522" s="591">
        <v>513</v>
      </c>
      <c r="G522" s="420">
        <f t="shared" ca="1" si="15"/>
        <v>-3.8675053176570606E-2</v>
      </c>
    </row>
    <row r="523" spans="6:7" x14ac:dyDescent="0.2">
      <c r="F523" s="591">
        <v>514</v>
      </c>
      <c r="G523" s="420">
        <f t="shared" ref="G523:G586" ca="1" si="16">_xlfn.NORM.INV(RAND(), $M$11,$M$12)</f>
        <v>2.6878430452248914E-2</v>
      </c>
    </row>
    <row r="524" spans="6:7" x14ac:dyDescent="0.2">
      <c r="F524" s="591">
        <v>515</v>
      </c>
      <c r="G524" s="420">
        <f t="shared" ca="1" si="16"/>
        <v>2.5601072203285578E-2</v>
      </c>
    </row>
    <row r="525" spans="6:7" x14ac:dyDescent="0.2">
      <c r="F525" s="591">
        <v>516</v>
      </c>
      <c r="G525" s="420">
        <f t="shared" ca="1" si="16"/>
        <v>5.0200616690596361E-2</v>
      </c>
    </row>
    <row r="526" spans="6:7" x14ac:dyDescent="0.2">
      <c r="F526" s="591">
        <v>517</v>
      </c>
      <c r="G526" s="420">
        <f t="shared" ca="1" si="16"/>
        <v>2.1726868170676442E-2</v>
      </c>
    </row>
    <row r="527" spans="6:7" x14ac:dyDescent="0.2">
      <c r="F527" s="591">
        <v>518</v>
      </c>
      <c r="G527" s="420">
        <f t="shared" ca="1" si="16"/>
        <v>-2.7050359034258207E-2</v>
      </c>
    </row>
    <row r="528" spans="6:7" x14ac:dyDescent="0.2">
      <c r="F528" s="591">
        <v>519</v>
      </c>
      <c r="G528" s="420">
        <f t="shared" ca="1" si="16"/>
        <v>-1.9624580822837266E-2</v>
      </c>
    </row>
    <row r="529" spans="6:7" x14ac:dyDescent="0.2">
      <c r="F529" s="591">
        <v>520</v>
      </c>
      <c r="G529" s="420">
        <f t="shared" ca="1" si="16"/>
        <v>4.5769296726957148E-2</v>
      </c>
    </row>
    <row r="530" spans="6:7" x14ac:dyDescent="0.2">
      <c r="F530" s="591">
        <v>521</v>
      </c>
      <c r="G530" s="420">
        <f t="shared" ca="1" si="16"/>
        <v>3.3887099806900588E-3</v>
      </c>
    </row>
    <row r="531" spans="6:7" x14ac:dyDescent="0.2">
      <c r="F531" s="591">
        <v>522</v>
      </c>
      <c r="G531" s="420">
        <f t="shared" ca="1" si="16"/>
        <v>7.4614265218610795E-2</v>
      </c>
    </row>
    <row r="532" spans="6:7" x14ac:dyDescent="0.2">
      <c r="F532" s="591">
        <v>523</v>
      </c>
      <c r="G532" s="420">
        <f t="shared" ca="1" si="16"/>
        <v>-7.9230417748258133E-3</v>
      </c>
    </row>
    <row r="533" spans="6:7" x14ac:dyDescent="0.2">
      <c r="F533" s="591">
        <v>524</v>
      </c>
      <c r="G533" s="420">
        <f t="shared" ca="1" si="16"/>
        <v>1.5355201548287336E-2</v>
      </c>
    </row>
    <row r="534" spans="6:7" x14ac:dyDescent="0.2">
      <c r="F534" s="591">
        <v>525</v>
      </c>
      <c r="G534" s="420">
        <f t="shared" ca="1" si="16"/>
        <v>0.10483861829024926</v>
      </c>
    </row>
    <row r="535" spans="6:7" x14ac:dyDescent="0.2">
      <c r="F535" s="591">
        <v>526</v>
      </c>
      <c r="G535" s="420">
        <f t="shared" ca="1" si="16"/>
        <v>2.0045432586591069E-2</v>
      </c>
    </row>
    <row r="536" spans="6:7" x14ac:dyDescent="0.2">
      <c r="F536" s="591">
        <v>527</v>
      </c>
      <c r="G536" s="420">
        <f t="shared" ca="1" si="16"/>
        <v>2.275937542385436E-2</v>
      </c>
    </row>
    <row r="537" spans="6:7" x14ac:dyDescent="0.2">
      <c r="F537" s="591">
        <v>528</v>
      </c>
      <c r="G537" s="420">
        <f t="shared" ca="1" si="16"/>
        <v>-1.9204933639076379E-2</v>
      </c>
    </row>
    <row r="538" spans="6:7" x14ac:dyDescent="0.2">
      <c r="F538" s="591">
        <v>529</v>
      </c>
      <c r="G538" s="420">
        <f t="shared" ca="1" si="16"/>
        <v>5.6247111165360117E-2</v>
      </c>
    </row>
    <row r="539" spans="6:7" x14ac:dyDescent="0.2">
      <c r="F539" s="591">
        <v>530</v>
      </c>
      <c r="G539" s="420">
        <f t="shared" ca="1" si="16"/>
        <v>7.3886306394791773E-3</v>
      </c>
    </row>
    <row r="540" spans="6:7" x14ac:dyDescent="0.2">
      <c r="F540" s="591">
        <v>531</v>
      </c>
      <c r="G540" s="420">
        <f t="shared" ca="1" si="16"/>
        <v>8.7285868835172767E-2</v>
      </c>
    </row>
    <row r="541" spans="6:7" x14ac:dyDescent="0.2">
      <c r="F541" s="591">
        <v>532</v>
      </c>
      <c r="G541" s="420">
        <f t="shared" ca="1" si="16"/>
        <v>2.85061641643998E-2</v>
      </c>
    </row>
    <row r="542" spans="6:7" x14ac:dyDescent="0.2">
      <c r="F542" s="591">
        <v>533</v>
      </c>
      <c r="G542" s="420">
        <f t="shared" ca="1" si="16"/>
        <v>4.1942098122988651E-2</v>
      </c>
    </row>
    <row r="543" spans="6:7" x14ac:dyDescent="0.2">
      <c r="F543" s="591">
        <v>534</v>
      </c>
      <c r="G543" s="420">
        <f t="shared" ca="1" si="16"/>
        <v>2.526799764517659E-3</v>
      </c>
    </row>
    <row r="544" spans="6:7" x14ac:dyDescent="0.2">
      <c r="F544" s="591">
        <v>535</v>
      </c>
      <c r="G544" s="420">
        <f t="shared" ca="1" si="16"/>
        <v>7.1310133577708004E-2</v>
      </c>
    </row>
    <row r="545" spans="6:7" x14ac:dyDescent="0.2">
      <c r="F545" s="591">
        <v>536</v>
      </c>
      <c r="G545" s="420">
        <f t="shared" ca="1" si="16"/>
        <v>2.6259892961421824E-2</v>
      </c>
    </row>
    <row r="546" spans="6:7" x14ac:dyDescent="0.2">
      <c r="F546" s="591">
        <v>537</v>
      </c>
      <c r="G546" s="420">
        <f t="shared" ca="1" si="16"/>
        <v>-0.13585983424875833</v>
      </c>
    </row>
    <row r="547" spans="6:7" x14ac:dyDescent="0.2">
      <c r="F547" s="591">
        <v>538</v>
      </c>
      <c r="G547" s="420">
        <f t="shared" ca="1" si="16"/>
        <v>7.3050325480227369E-3</v>
      </c>
    </row>
    <row r="548" spans="6:7" x14ac:dyDescent="0.2">
      <c r="F548" s="591">
        <v>539</v>
      </c>
      <c r="G548" s="420">
        <f t="shared" ca="1" si="16"/>
        <v>-0.23604955105122019</v>
      </c>
    </row>
    <row r="549" spans="6:7" x14ac:dyDescent="0.2">
      <c r="F549" s="591">
        <v>540</v>
      </c>
      <c r="G549" s="420">
        <f t="shared" ca="1" si="16"/>
        <v>3.234347654172666E-2</v>
      </c>
    </row>
    <row r="550" spans="6:7" x14ac:dyDescent="0.2">
      <c r="F550" s="591">
        <v>541</v>
      </c>
      <c r="G550" s="420">
        <f t="shared" ca="1" si="16"/>
        <v>8.6753110093576002E-2</v>
      </c>
    </row>
    <row r="551" spans="6:7" x14ac:dyDescent="0.2">
      <c r="F551" s="591">
        <v>542</v>
      </c>
      <c r="G551" s="420">
        <f t="shared" ca="1" si="16"/>
        <v>4.7867191054083533E-2</v>
      </c>
    </row>
    <row r="552" spans="6:7" x14ac:dyDescent="0.2">
      <c r="F552" s="591">
        <v>543</v>
      </c>
      <c r="G552" s="420">
        <f t="shared" ca="1" si="16"/>
        <v>0.15048882273392919</v>
      </c>
    </row>
    <row r="553" spans="6:7" x14ac:dyDescent="0.2">
      <c r="F553" s="591">
        <v>544</v>
      </c>
      <c r="G553" s="420">
        <f t="shared" ca="1" si="16"/>
        <v>0.124323425405994</v>
      </c>
    </row>
    <row r="554" spans="6:7" x14ac:dyDescent="0.2">
      <c r="F554" s="591">
        <v>545</v>
      </c>
      <c r="G554" s="420">
        <f t="shared" ca="1" si="16"/>
        <v>-3.6207617133656722E-3</v>
      </c>
    </row>
    <row r="555" spans="6:7" x14ac:dyDescent="0.2">
      <c r="F555" s="591">
        <v>546</v>
      </c>
      <c r="G555" s="420">
        <f t="shared" ca="1" si="16"/>
        <v>5.7219205165276376E-3</v>
      </c>
    </row>
    <row r="556" spans="6:7" x14ac:dyDescent="0.2">
      <c r="F556" s="591">
        <v>547</v>
      </c>
      <c r="G556" s="420">
        <f t="shared" ca="1" si="16"/>
        <v>-6.8013601192375463E-3</v>
      </c>
    </row>
    <row r="557" spans="6:7" x14ac:dyDescent="0.2">
      <c r="F557" s="591">
        <v>548</v>
      </c>
      <c r="G557" s="420">
        <f t="shared" ca="1" si="16"/>
        <v>-2.9357467356864533E-2</v>
      </c>
    </row>
    <row r="558" spans="6:7" x14ac:dyDescent="0.2">
      <c r="F558" s="591">
        <v>549</v>
      </c>
      <c r="G558" s="420">
        <f t="shared" ca="1" si="16"/>
        <v>-0.1073728008681302</v>
      </c>
    </row>
    <row r="559" spans="6:7" x14ac:dyDescent="0.2">
      <c r="F559" s="591">
        <v>550</v>
      </c>
      <c r="G559" s="420">
        <f t="shared" ca="1" si="16"/>
        <v>-9.420232607628673E-2</v>
      </c>
    </row>
    <row r="560" spans="6:7" x14ac:dyDescent="0.2">
      <c r="F560" s="591">
        <v>551</v>
      </c>
      <c r="G560" s="420">
        <f t="shared" ca="1" si="16"/>
        <v>5.3836428649976675E-2</v>
      </c>
    </row>
    <row r="561" spans="6:7" x14ac:dyDescent="0.2">
      <c r="F561" s="591">
        <v>552</v>
      </c>
      <c r="G561" s="420">
        <f t="shared" ca="1" si="16"/>
        <v>6.9626112322135433E-2</v>
      </c>
    </row>
    <row r="562" spans="6:7" x14ac:dyDescent="0.2">
      <c r="F562" s="591">
        <v>553</v>
      </c>
      <c r="G562" s="420">
        <f t="shared" ca="1" si="16"/>
        <v>-5.795376810531698E-2</v>
      </c>
    </row>
    <row r="563" spans="6:7" x14ac:dyDescent="0.2">
      <c r="F563" s="591">
        <v>554</v>
      </c>
      <c r="G563" s="420">
        <f t="shared" ca="1" si="16"/>
        <v>-3.1267291861230409E-2</v>
      </c>
    </row>
    <row r="564" spans="6:7" x14ac:dyDescent="0.2">
      <c r="F564" s="591">
        <v>555</v>
      </c>
      <c r="G564" s="420">
        <f t="shared" ca="1" si="16"/>
        <v>-8.5628277209818006E-3</v>
      </c>
    </row>
    <row r="565" spans="6:7" x14ac:dyDescent="0.2">
      <c r="F565" s="591">
        <v>556</v>
      </c>
      <c r="G565" s="420">
        <f t="shared" ca="1" si="16"/>
        <v>9.6792265632806379E-2</v>
      </c>
    </row>
    <row r="566" spans="6:7" x14ac:dyDescent="0.2">
      <c r="F566" s="591">
        <v>557</v>
      </c>
      <c r="G566" s="420">
        <f t="shared" ca="1" si="16"/>
        <v>-4.8616455282008558E-3</v>
      </c>
    </row>
    <row r="567" spans="6:7" x14ac:dyDescent="0.2">
      <c r="F567" s="591">
        <v>558</v>
      </c>
      <c r="G567" s="420">
        <f t="shared" ca="1" si="16"/>
        <v>-3.4042837538246593E-2</v>
      </c>
    </row>
    <row r="568" spans="6:7" x14ac:dyDescent="0.2">
      <c r="F568" s="591">
        <v>559</v>
      </c>
      <c r="G568" s="420">
        <f t="shared" ca="1" si="16"/>
        <v>-9.7554414604816217E-3</v>
      </c>
    </row>
    <row r="569" spans="6:7" x14ac:dyDescent="0.2">
      <c r="F569" s="591">
        <v>560</v>
      </c>
      <c r="G569" s="420">
        <f t="shared" ca="1" si="16"/>
        <v>0.11023999826075465</v>
      </c>
    </row>
    <row r="570" spans="6:7" x14ac:dyDescent="0.2">
      <c r="F570" s="591">
        <v>561</v>
      </c>
      <c r="G570" s="420">
        <f t="shared" ca="1" si="16"/>
        <v>-6.0565617548498499E-2</v>
      </c>
    </row>
    <row r="571" spans="6:7" x14ac:dyDescent="0.2">
      <c r="F571" s="591">
        <v>562</v>
      </c>
      <c r="G571" s="420">
        <f t="shared" ca="1" si="16"/>
        <v>-2.8982015174330366E-2</v>
      </c>
    </row>
    <row r="572" spans="6:7" x14ac:dyDescent="0.2">
      <c r="F572" s="591">
        <v>563</v>
      </c>
      <c r="G572" s="420">
        <f t="shared" ca="1" si="16"/>
        <v>6.3086376185757645E-2</v>
      </c>
    </row>
    <row r="573" spans="6:7" x14ac:dyDescent="0.2">
      <c r="F573" s="591">
        <v>564</v>
      </c>
      <c r="G573" s="420">
        <f t="shared" ca="1" si="16"/>
        <v>-2.8189230871157479E-2</v>
      </c>
    </row>
    <row r="574" spans="6:7" x14ac:dyDescent="0.2">
      <c r="F574" s="591">
        <v>565</v>
      </c>
      <c r="G574" s="420">
        <f t="shared" ca="1" si="16"/>
        <v>5.0135389302698216E-2</v>
      </c>
    </row>
    <row r="575" spans="6:7" x14ac:dyDescent="0.2">
      <c r="F575" s="591">
        <v>566</v>
      </c>
      <c r="G575" s="420">
        <f t="shared" ca="1" si="16"/>
        <v>7.8144080545976283E-2</v>
      </c>
    </row>
    <row r="576" spans="6:7" x14ac:dyDescent="0.2">
      <c r="F576" s="591">
        <v>567</v>
      </c>
      <c r="G576" s="420">
        <f t="shared" ca="1" si="16"/>
        <v>-1.1968298035414906E-2</v>
      </c>
    </row>
    <row r="577" spans="6:7" x14ac:dyDescent="0.2">
      <c r="F577" s="591">
        <v>568</v>
      </c>
      <c r="G577" s="420">
        <f t="shared" ca="1" si="16"/>
        <v>-2.3983618415281543E-3</v>
      </c>
    </row>
    <row r="578" spans="6:7" x14ac:dyDescent="0.2">
      <c r="F578" s="591">
        <v>569</v>
      </c>
      <c r="G578" s="420">
        <f t="shared" ca="1" si="16"/>
        <v>9.7348512783967292E-2</v>
      </c>
    </row>
    <row r="579" spans="6:7" x14ac:dyDescent="0.2">
      <c r="F579" s="591">
        <v>570</v>
      </c>
      <c r="G579" s="420">
        <f t="shared" ca="1" si="16"/>
        <v>7.5786126569851842E-2</v>
      </c>
    </row>
    <row r="580" spans="6:7" x14ac:dyDescent="0.2">
      <c r="F580" s="591">
        <v>571</v>
      </c>
      <c r="G580" s="420">
        <f t="shared" ca="1" si="16"/>
        <v>-9.9059660268365157E-2</v>
      </c>
    </row>
    <row r="581" spans="6:7" x14ac:dyDescent="0.2">
      <c r="F581" s="591">
        <v>572</v>
      </c>
      <c r="G581" s="420">
        <f t="shared" ca="1" si="16"/>
        <v>0.11395189179593364</v>
      </c>
    </row>
    <row r="582" spans="6:7" x14ac:dyDescent="0.2">
      <c r="F582" s="591">
        <v>573</v>
      </c>
      <c r="G582" s="420">
        <f t="shared" ca="1" si="16"/>
        <v>-4.9963363425706633E-2</v>
      </c>
    </row>
    <row r="583" spans="6:7" x14ac:dyDescent="0.2">
      <c r="F583" s="591">
        <v>574</v>
      </c>
      <c r="G583" s="420">
        <f t="shared" ca="1" si="16"/>
        <v>1.8226520502511306E-3</v>
      </c>
    </row>
    <row r="584" spans="6:7" x14ac:dyDescent="0.2">
      <c r="F584" s="591">
        <v>575</v>
      </c>
      <c r="G584" s="420">
        <f t="shared" ca="1" si="16"/>
        <v>-1.8498421686264893E-2</v>
      </c>
    </row>
    <row r="585" spans="6:7" x14ac:dyDescent="0.2">
      <c r="F585" s="591">
        <v>576</v>
      </c>
      <c r="G585" s="420">
        <f t="shared" ca="1" si="16"/>
        <v>-1.4911605334078166E-2</v>
      </c>
    </row>
    <row r="586" spans="6:7" x14ac:dyDescent="0.2">
      <c r="F586" s="591">
        <v>577</v>
      </c>
      <c r="G586" s="420">
        <f t="shared" ca="1" si="16"/>
        <v>-1.7733171026361825E-2</v>
      </c>
    </row>
    <row r="587" spans="6:7" x14ac:dyDescent="0.2">
      <c r="F587" s="591">
        <v>578</v>
      </c>
      <c r="G587" s="420">
        <f t="shared" ref="G587:G650" ca="1" si="17">_xlfn.NORM.INV(RAND(), $M$11,$M$12)</f>
        <v>-9.6869896628891214E-2</v>
      </c>
    </row>
    <row r="588" spans="6:7" x14ac:dyDescent="0.2">
      <c r="F588" s="591">
        <v>579</v>
      </c>
      <c r="G588" s="420">
        <f t="shared" ca="1" si="17"/>
        <v>0.13625891100461907</v>
      </c>
    </row>
    <row r="589" spans="6:7" x14ac:dyDescent="0.2">
      <c r="F589" s="591">
        <v>580</v>
      </c>
      <c r="G589" s="420">
        <f t="shared" ca="1" si="17"/>
        <v>-5.3294334504302168E-2</v>
      </c>
    </row>
    <row r="590" spans="6:7" x14ac:dyDescent="0.2">
      <c r="F590" s="591">
        <v>581</v>
      </c>
      <c r="G590" s="420">
        <f t="shared" ca="1" si="17"/>
        <v>4.6787101124499339E-2</v>
      </c>
    </row>
    <row r="591" spans="6:7" x14ac:dyDescent="0.2">
      <c r="F591" s="591">
        <v>582</v>
      </c>
      <c r="G591" s="420">
        <f t="shared" ca="1" si="17"/>
        <v>-7.8068359801730977E-2</v>
      </c>
    </row>
    <row r="592" spans="6:7" x14ac:dyDescent="0.2">
      <c r="F592" s="591">
        <v>583</v>
      </c>
      <c r="G592" s="420">
        <f t="shared" ca="1" si="17"/>
        <v>-4.0303719247752695E-2</v>
      </c>
    </row>
    <row r="593" spans="6:7" x14ac:dyDescent="0.2">
      <c r="F593" s="591">
        <v>584</v>
      </c>
      <c r="G593" s="420">
        <f t="shared" ca="1" si="17"/>
        <v>2.5136241646467779E-3</v>
      </c>
    </row>
    <row r="594" spans="6:7" x14ac:dyDescent="0.2">
      <c r="F594" s="591">
        <v>585</v>
      </c>
      <c r="G594" s="420">
        <f t="shared" ca="1" si="17"/>
        <v>-1.464367945147545E-2</v>
      </c>
    </row>
    <row r="595" spans="6:7" x14ac:dyDescent="0.2">
      <c r="F595" s="591">
        <v>586</v>
      </c>
      <c r="G595" s="420">
        <f t="shared" ca="1" si="17"/>
        <v>-4.8089184023096185E-4</v>
      </c>
    </row>
    <row r="596" spans="6:7" x14ac:dyDescent="0.2">
      <c r="F596" s="591">
        <v>587</v>
      </c>
      <c r="G596" s="420">
        <f t="shared" ca="1" si="17"/>
        <v>-6.7996924150554749E-2</v>
      </c>
    </row>
    <row r="597" spans="6:7" x14ac:dyDescent="0.2">
      <c r="F597" s="591">
        <v>588</v>
      </c>
      <c r="G597" s="420">
        <f t="shared" ca="1" si="17"/>
        <v>-2.2251292531015186E-2</v>
      </c>
    </row>
    <row r="598" spans="6:7" x14ac:dyDescent="0.2">
      <c r="F598" s="591">
        <v>589</v>
      </c>
      <c r="G598" s="420">
        <f t="shared" ca="1" si="17"/>
        <v>5.3452919767237123E-2</v>
      </c>
    </row>
    <row r="599" spans="6:7" x14ac:dyDescent="0.2">
      <c r="F599" s="591">
        <v>590</v>
      </c>
      <c r="G599" s="420">
        <f t="shared" ca="1" si="17"/>
        <v>9.8256300240549585E-2</v>
      </c>
    </row>
    <row r="600" spans="6:7" x14ac:dyDescent="0.2">
      <c r="F600" s="591">
        <v>591</v>
      </c>
      <c r="G600" s="420">
        <f t="shared" ca="1" si="17"/>
        <v>-1.6363193546681708E-2</v>
      </c>
    </row>
    <row r="601" spans="6:7" x14ac:dyDescent="0.2">
      <c r="F601" s="591">
        <v>592</v>
      </c>
      <c r="G601" s="420">
        <f t="shared" ca="1" si="17"/>
        <v>1.4913117445119336E-2</v>
      </c>
    </row>
    <row r="602" spans="6:7" x14ac:dyDescent="0.2">
      <c r="F602" s="591">
        <v>593</v>
      </c>
      <c r="G602" s="420">
        <f t="shared" ca="1" si="17"/>
        <v>8.1837225384684534E-2</v>
      </c>
    </row>
    <row r="603" spans="6:7" x14ac:dyDescent="0.2">
      <c r="F603" s="591">
        <v>594</v>
      </c>
      <c r="G603" s="420">
        <f t="shared" ca="1" si="17"/>
        <v>-2.5232141996203831E-2</v>
      </c>
    </row>
    <row r="604" spans="6:7" x14ac:dyDescent="0.2">
      <c r="F604" s="591">
        <v>595</v>
      </c>
      <c r="G604" s="420">
        <f t="shared" ca="1" si="17"/>
        <v>0.10580106579162045</v>
      </c>
    </row>
    <row r="605" spans="6:7" x14ac:dyDescent="0.2">
      <c r="F605" s="591">
        <v>596</v>
      </c>
      <c r="G605" s="420">
        <f t="shared" ca="1" si="17"/>
        <v>6.5596136134357413E-2</v>
      </c>
    </row>
    <row r="606" spans="6:7" x14ac:dyDescent="0.2">
      <c r="F606" s="591">
        <v>597</v>
      </c>
      <c r="G606" s="420">
        <f t="shared" ca="1" si="17"/>
        <v>7.2166849505291994E-2</v>
      </c>
    </row>
    <row r="607" spans="6:7" x14ac:dyDescent="0.2">
      <c r="F607" s="591">
        <v>598</v>
      </c>
      <c r="G607" s="420">
        <f t="shared" ca="1" si="17"/>
        <v>-8.1378466599700966E-3</v>
      </c>
    </row>
    <row r="608" spans="6:7" x14ac:dyDescent="0.2">
      <c r="F608" s="591">
        <v>599</v>
      </c>
      <c r="G608" s="420">
        <f t="shared" ca="1" si="17"/>
        <v>3.6164534906146177E-2</v>
      </c>
    </row>
    <row r="609" spans="6:7" x14ac:dyDescent="0.2">
      <c r="F609" s="591">
        <v>600</v>
      </c>
      <c r="G609" s="420">
        <f t="shared" ca="1" si="17"/>
        <v>-4.2980113941490275E-2</v>
      </c>
    </row>
    <row r="610" spans="6:7" x14ac:dyDescent="0.2">
      <c r="F610" s="591">
        <v>601</v>
      </c>
      <c r="G610" s="420">
        <f t="shared" ca="1" si="17"/>
        <v>7.1428828052558504E-3</v>
      </c>
    </row>
    <row r="611" spans="6:7" x14ac:dyDescent="0.2">
      <c r="F611" s="591">
        <v>602</v>
      </c>
      <c r="G611" s="420">
        <f t="shared" ca="1" si="17"/>
        <v>-5.4930061747943348E-2</v>
      </c>
    </row>
    <row r="612" spans="6:7" x14ac:dyDescent="0.2">
      <c r="F612" s="591">
        <v>603</v>
      </c>
      <c r="G612" s="420">
        <f t="shared" ca="1" si="17"/>
        <v>-2.6058307072264839E-2</v>
      </c>
    </row>
    <row r="613" spans="6:7" x14ac:dyDescent="0.2">
      <c r="F613" s="591">
        <v>604</v>
      </c>
      <c r="G613" s="420">
        <f t="shared" ca="1" si="17"/>
        <v>-5.51132371681263E-2</v>
      </c>
    </row>
    <row r="614" spans="6:7" x14ac:dyDescent="0.2">
      <c r="F614" s="591">
        <v>605</v>
      </c>
      <c r="G614" s="420">
        <f t="shared" ca="1" si="17"/>
        <v>-7.809350023397435E-2</v>
      </c>
    </row>
    <row r="615" spans="6:7" x14ac:dyDescent="0.2">
      <c r="F615" s="591">
        <v>606</v>
      </c>
      <c r="G615" s="420">
        <f t="shared" ca="1" si="17"/>
        <v>2.2483706286865513E-2</v>
      </c>
    </row>
    <row r="616" spans="6:7" x14ac:dyDescent="0.2">
      <c r="F616" s="591">
        <v>607</v>
      </c>
      <c r="G616" s="420">
        <f t="shared" ca="1" si="17"/>
        <v>-4.9111131180258685E-3</v>
      </c>
    </row>
    <row r="617" spans="6:7" x14ac:dyDescent="0.2">
      <c r="F617" s="591">
        <v>608</v>
      </c>
      <c r="G617" s="420">
        <f t="shared" ca="1" si="17"/>
        <v>-3.3185006099352626E-2</v>
      </c>
    </row>
    <row r="618" spans="6:7" x14ac:dyDescent="0.2">
      <c r="F618" s="591">
        <v>609</v>
      </c>
      <c r="G618" s="420">
        <f t="shared" ca="1" si="17"/>
        <v>-3.7666677765323731E-2</v>
      </c>
    </row>
    <row r="619" spans="6:7" x14ac:dyDescent="0.2">
      <c r="F619" s="591">
        <v>610</v>
      </c>
      <c r="G619" s="420">
        <f t="shared" ca="1" si="17"/>
        <v>-1.5607336351076643E-2</v>
      </c>
    </row>
    <row r="620" spans="6:7" x14ac:dyDescent="0.2">
      <c r="F620" s="591">
        <v>611</v>
      </c>
      <c r="G620" s="420">
        <f t="shared" ca="1" si="17"/>
        <v>5.9817624478035403E-2</v>
      </c>
    </row>
    <row r="621" spans="6:7" x14ac:dyDescent="0.2">
      <c r="F621" s="591">
        <v>612</v>
      </c>
      <c r="G621" s="420">
        <f t="shared" ca="1" si="17"/>
        <v>8.7651273906670293E-3</v>
      </c>
    </row>
    <row r="622" spans="6:7" x14ac:dyDescent="0.2">
      <c r="F622" s="591">
        <v>613</v>
      </c>
      <c r="G622" s="420">
        <f t="shared" ca="1" si="17"/>
        <v>1.6468395160705515E-2</v>
      </c>
    </row>
    <row r="623" spans="6:7" x14ac:dyDescent="0.2">
      <c r="F623" s="591">
        <v>614</v>
      </c>
      <c r="G623" s="420">
        <f t="shared" ca="1" si="17"/>
        <v>-5.2449902905208193E-2</v>
      </c>
    </row>
    <row r="624" spans="6:7" x14ac:dyDescent="0.2">
      <c r="F624" s="591">
        <v>615</v>
      </c>
      <c r="G624" s="420">
        <f t="shared" ca="1" si="17"/>
        <v>-6.1265552338432894E-2</v>
      </c>
    </row>
    <row r="625" spans="6:7" x14ac:dyDescent="0.2">
      <c r="F625" s="591">
        <v>616</v>
      </c>
      <c r="G625" s="420">
        <f t="shared" ca="1" si="17"/>
        <v>-0.19303047729741685</v>
      </c>
    </row>
    <row r="626" spans="6:7" x14ac:dyDescent="0.2">
      <c r="F626" s="591">
        <v>617</v>
      </c>
      <c r="G626" s="420">
        <f t="shared" ca="1" si="17"/>
        <v>4.1506759378346553E-2</v>
      </c>
    </row>
    <row r="627" spans="6:7" x14ac:dyDescent="0.2">
      <c r="F627" s="591">
        <v>618</v>
      </c>
      <c r="G627" s="420">
        <f t="shared" ca="1" si="17"/>
        <v>6.3694067323851494E-2</v>
      </c>
    </row>
    <row r="628" spans="6:7" x14ac:dyDescent="0.2">
      <c r="F628" s="591">
        <v>619</v>
      </c>
      <c r="G628" s="420">
        <f t="shared" ca="1" si="17"/>
        <v>9.780304903921358E-2</v>
      </c>
    </row>
    <row r="629" spans="6:7" x14ac:dyDescent="0.2">
      <c r="F629" s="591">
        <v>620</v>
      </c>
      <c r="G629" s="420">
        <f t="shared" ca="1" si="17"/>
        <v>-4.8146909194920567E-2</v>
      </c>
    </row>
    <row r="630" spans="6:7" x14ac:dyDescent="0.2">
      <c r="F630" s="591">
        <v>621</v>
      </c>
      <c r="G630" s="420">
        <f t="shared" ca="1" si="17"/>
        <v>-7.9886873713149606E-2</v>
      </c>
    </row>
    <row r="631" spans="6:7" x14ac:dyDescent="0.2">
      <c r="F631" s="591">
        <v>622</v>
      </c>
      <c r="G631" s="420">
        <f t="shared" ca="1" si="17"/>
        <v>-3.5800945838115494E-2</v>
      </c>
    </row>
    <row r="632" spans="6:7" x14ac:dyDescent="0.2">
      <c r="F632" s="591">
        <v>623</v>
      </c>
      <c r="G632" s="420">
        <f t="shared" ca="1" si="17"/>
        <v>3.8844104128180235E-2</v>
      </c>
    </row>
    <row r="633" spans="6:7" x14ac:dyDescent="0.2">
      <c r="F633" s="591">
        <v>624</v>
      </c>
      <c r="G633" s="420">
        <f t="shared" ca="1" si="17"/>
        <v>-3.7069453655893439E-2</v>
      </c>
    </row>
    <row r="634" spans="6:7" x14ac:dyDescent="0.2">
      <c r="F634" s="591">
        <v>625</v>
      </c>
      <c r="G634" s="420">
        <f t="shared" ca="1" si="17"/>
        <v>-5.1082782786522306E-3</v>
      </c>
    </row>
    <row r="635" spans="6:7" x14ac:dyDescent="0.2">
      <c r="F635" s="591">
        <v>626</v>
      </c>
      <c r="G635" s="420">
        <f t="shared" ca="1" si="17"/>
        <v>-7.1048079611864268E-4</v>
      </c>
    </row>
    <row r="636" spans="6:7" x14ac:dyDescent="0.2">
      <c r="F636" s="591">
        <v>627</v>
      </c>
      <c r="G636" s="420">
        <f t="shared" ca="1" si="17"/>
        <v>-0.10608290625316706</v>
      </c>
    </row>
    <row r="637" spans="6:7" x14ac:dyDescent="0.2">
      <c r="F637" s="591">
        <v>628</v>
      </c>
      <c r="G637" s="420">
        <f t="shared" ca="1" si="17"/>
        <v>0.10908583811152629</v>
      </c>
    </row>
    <row r="638" spans="6:7" x14ac:dyDescent="0.2">
      <c r="F638" s="591">
        <v>629</v>
      </c>
      <c r="G638" s="420">
        <f t="shared" ca="1" si="17"/>
        <v>0.13976540178544655</v>
      </c>
    </row>
    <row r="639" spans="6:7" x14ac:dyDescent="0.2">
      <c r="F639" s="591">
        <v>630</v>
      </c>
      <c r="G639" s="420">
        <f t="shared" ca="1" si="17"/>
        <v>-7.6516041538660623E-2</v>
      </c>
    </row>
    <row r="640" spans="6:7" x14ac:dyDescent="0.2">
      <c r="F640" s="591">
        <v>631</v>
      </c>
      <c r="G640" s="420">
        <f t="shared" ca="1" si="17"/>
        <v>-0.10382548915071875</v>
      </c>
    </row>
    <row r="641" spans="6:7" x14ac:dyDescent="0.2">
      <c r="F641" s="591">
        <v>632</v>
      </c>
      <c r="G641" s="420">
        <f t="shared" ca="1" si="17"/>
        <v>0.10593611780473365</v>
      </c>
    </row>
    <row r="642" spans="6:7" x14ac:dyDescent="0.2">
      <c r="F642" s="591">
        <v>633</v>
      </c>
      <c r="G642" s="420">
        <f t="shared" ca="1" si="17"/>
        <v>6.1872551683567886E-3</v>
      </c>
    </row>
    <row r="643" spans="6:7" x14ac:dyDescent="0.2">
      <c r="F643" s="591">
        <v>634</v>
      </c>
      <c r="G643" s="420">
        <f t="shared" ca="1" si="17"/>
        <v>-3.8201241088294313E-2</v>
      </c>
    </row>
    <row r="644" spans="6:7" x14ac:dyDescent="0.2">
      <c r="F644" s="591">
        <v>635</v>
      </c>
      <c r="G644" s="420">
        <f t="shared" ca="1" si="17"/>
        <v>7.1348238848716891E-3</v>
      </c>
    </row>
    <row r="645" spans="6:7" x14ac:dyDescent="0.2">
      <c r="F645" s="591">
        <v>636</v>
      </c>
      <c r="G645" s="420">
        <f t="shared" ca="1" si="17"/>
        <v>3.1743083488909335E-2</v>
      </c>
    </row>
    <row r="646" spans="6:7" x14ac:dyDescent="0.2">
      <c r="F646" s="591">
        <v>637</v>
      </c>
      <c r="G646" s="420">
        <f t="shared" ca="1" si="17"/>
        <v>7.6180753813318139E-2</v>
      </c>
    </row>
    <row r="647" spans="6:7" x14ac:dyDescent="0.2">
      <c r="F647" s="591">
        <v>638</v>
      </c>
      <c r="G647" s="420">
        <f t="shared" ca="1" si="17"/>
        <v>0.18406870453487353</v>
      </c>
    </row>
    <row r="648" spans="6:7" x14ac:dyDescent="0.2">
      <c r="F648" s="591">
        <v>639</v>
      </c>
      <c r="G648" s="420">
        <f t="shared" ca="1" si="17"/>
        <v>-5.4941146003807562E-2</v>
      </c>
    </row>
    <row r="649" spans="6:7" x14ac:dyDescent="0.2">
      <c r="F649" s="591">
        <v>640</v>
      </c>
      <c r="G649" s="420">
        <f t="shared" ca="1" si="17"/>
        <v>-4.8003248957367087E-3</v>
      </c>
    </row>
    <row r="650" spans="6:7" x14ac:dyDescent="0.2">
      <c r="F650" s="591">
        <v>641</v>
      </c>
      <c r="G650" s="420">
        <f t="shared" ca="1" si="17"/>
        <v>-0.10460442529580741</v>
      </c>
    </row>
    <row r="651" spans="6:7" x14ac:dyDescent="0.2">
      <c r="F651" s="591">
        <v>642</v>
      </c>
      <c r="G651" s="420">
        <f t="shared" ref="G651:G714" ca="1" si="18">_xlfn.NORM.INV(RAND(), $M$11,$M$12)</f>
        <v>-6.5277379741886729E-3</v>
      </c>
    </row>
    <row r="652" spans="6:7" x14ac:dyDescent="0.2">
      <c r="F652" s="591">
        <v>643</v>
      </c>
      <c r="G652" s="420">
        <f t="shared" ca="1" si="18"/>
        <v>-1.9158495924358351E-2</v>
      </c>
    </row>
    <row r="653" spans="6:7" x14ac:dyDescent="0.2">
      <c r="F653" s="591">
        <v>644</v>
      </c>
      <c r="G653" s="420">
        <f t="shared" ca="1" si="18"/>
        <v>-7.5185735059494566E-2</v>
      </c>
    </row>
    <row r="654" spans="6:7" x14ac:dyDescent="0.2">
      <c r="F654" s="591">
        <v>645</v>
      </c>
      <c r="G654" s="420">
        <f t="shared" ca="1" si="18"/>
        <v>-5.0388640859927392E-2</v>
      </c>
    </row>
    <row r="655" spans="6:7" x14ac:dyDescent="0.2">
      <c r="F655" s="591">
        <v>646</v>
      </c>
      <c r="G655" s="420">
        <f t="shared" ca="1" si="18"/>
        <v>8.044839187253075E-2</v>
      </c>
    </row>
    <row r="656" spans="6:7" x14ac:dyDescent="0.2">
      <c r="F656" s="591">
        <v>647</v>
      </c>
      <c r="G656" s="420">
        <f t="shared" ca="1" si="18"/>
        <v>6.1964800650985447E-2</v>
      </c>
    </row>
    <row r="657" spans="6:7" x14ac:dyDescent="0.2">
      <c r="F657" s="591">
        <v>648</v>
      </c>
      <c r="G657" s="420">
        <f t="shared" ca="1" si="18"/>
        <v>-4.5842190976920952E-2</v>
      </c>
    </row>
    <row r="658" spans="6:7" x14ac:dyDescent="0.2">
      <c r="F658" s="591">
        <v>649</v>
      </c>
      <c r="G658" s="420">
        <f t="shared" ca="1" si="18"/>
        <v>-9.6302356584754625E-4</v>
      </c>
    </row>
    <row r="659" spans="6:7" x14ac:dyDescent="0.2">
      <c r="F659" s="591">
        <v>650</v>
      </c>
      <c r="G659" s="420">
        <f t="shared" ca="1" si="18"/>
        <v>-2.1987741644316505E-2</v>
      </c>
    </row>
    <row r="660" spans="6:7" x14ac:dyDescent="0.2">
      <c r="F660" s="591">
        <v>651</v>
      </c>
      <c r="G660" s="420">
        <f t="shared" ca="1" si="18"/>
        <v>-2.7535631141987451E-2</v>
      </c>
    </row>
    <row r="661" spans="6:7" x14ac:dyDescent="0.2">
      <c r="F661" s="591">
        <v>652</v>
      </c>
      <c r="G661" s="420">
        <f t="shared" ca="1" si="18"/>
        <v>2.209266036321221E-2</v>
      </c>
    </row>
    <row r="662" spans="6:7" x14ac:dyDescent="0.2">
      <c r="F662" s="591">
        <v>653</v>
      </c>
      <c r="G662" s="420">
        <f t="shared" ca="1" si="18"/>
        <v>4.4507549897153206E-2</v>
      </c>
    </row>
    <row r="663" spans="6:7" x14ac:dyDescent="0.2">
      <c r="F663" s="591">
        <v>654</v>
      </c>
      <c r="G663" s="420">
        <f t="shared" ca="1" si="18"/>
        <v>-2.9809316686707082E-3</v>
      </c>
    </row>
    <row r="664" spans="6:7" x14ac:dyDescent="0.2">
      <c r="F664" s="591">
        <v>655</v>
      </c>
      <c r="G664" s="420">
        <f t="shared" ca="1" si="18"/>
        <v>-0.13733964025945178</v>
      </c>
    </row>
    <row r="665" spans="6:7" x14ac:dyDescent="0.2">
      <c r="F665" s="591">
        <v>656</v>
      </c>
      <c r="G665" s="420">
        <f t="shared" ca="1" si="18"/>
        <v>-4.8450968911433773E-2</v>
      </c>
    </row>
    <row r="666" spans="6:7" x14ac:dyDescent="0.2">
      <c r="F666" s="591">
        <v>657</v>
      </c>
      <c r="G666" s="420">
        <f t="shared" ca="1" si="18"/>
        <v>7.0080755563582828E-2</v>
      </c>
    </row>
    <row r="667" spans="6:7" x14ac:dyDescent="0.2">
      <c r="F667" s="591">
        <v>658</v>
      </c>
      <c r="G667" s="420">
        <f t="shared" ca="1" si="18"/>
        <v>-1.5284109970752406E-2</v>
      </c>
    </row>
    <row r="668" spans="6:7" x14ac:dyDescent="0.2">
      <c r="F668" s="591">
        <v>659</v>
      </c>
      <c r="G668" s="420">
        <f t="shared" ca="1" si="18"/>
        <v>3.6446565373207493E-2</v>
      </c>
    </row>
    <row r="669" spans="6:7" x14ac:dyDescent="0.2">
      <c r="F669" s="591">
        <v>660</v>
      </c>
      <c r="G669" s="420">
        <f t="shared" ca="1" si="18"/>
        <v>1.1875127480021584E-2</v>
      </c>
    </row>
    <row r="670" spans="6:7" x14ac:dyDescent="0.2">
      <c r="F670" s="591">
        <v>661</v>
      </c>
      <c r="G670" s="420">
        <f t="shared" ca="1" si="18"/>
        <v>1.4520345984754882E-2</v>
      </c>
    </row>
    <row r="671" spans="6:7" x14ac:dyDescent="0.2">
      <c r="F671" s="591">
        <v>662</v>
      </c>
      <c r="G671" s="420">
        <f t="shared" ca="1" si="18"/>
        <v>3.7757194343541314E-2</v>
      </c>
    </row>
    <row r="672" spans="6:7" x14ac:dyDescent="0.2">
      <c r="F672" s="591">
        <v>663</v>
      </c>
      <c r="G672" s="420">
        <f t="shared" ca="1" si="18"/>
        <v>1.2590792110909424E-2</v>
      </c>
    </row>
    <row r="673" spans="6:7" x14ac:dyDescent="0.2">
      <c r="F673" s="591">
        <v>664</v>
      </c>
      <c r="G673" s="420">
        <f t="shared" ca="1" si="18"/>
        <v>-9.2517730488027278E-2</v>
      </c>
    </row>
    <row r="674" spans="6:7" x14ac:dyDescent="0.2">
      <c r="F674" s="591">
        <v>665</v>
      </c>
      <c r="G674" s="420">
        <f t="shared" ca="1" si="18"/>
        <v>0.17977045028983188</v>
      </c>
    </row>
    <row r="675" spans="6:7" x14ac:dyDescent="0.2">
      <c r="F675" s="591">
        <v>666</v>
      </c>
      <c r="G675" s="420">
        <f t="shared" ca="1" si="18"/>
        <v>4.5143643417460813E-2</v>
      </c>
    </row>
    <row r="676" spans="6:7" x14ac:dyDescent="0.2">
      <c r="F676" s="591">
        <v>667</v>
      </c>
      <c r="G676" s="420">
        <f t="shared" ca="1" si="18"/>
        <v>2.1079053497973496E-2</v>
      </c>
    </row>
    <row r="677" spans="6:7" x14ac:dyDescent="0.2">
      <c r="F677" s="591">
        <v>668</v>
      </c>
      <c r="G677" s="420">
        <f t="shared" ca="1" si="18"/>
        <v>-2.5924990635968179E-2</v>
      </c>
    </row>
    <row r="678" spans="6:7" x14ac:dyDescent="0.2">
      <c r="F678" s="591">
        <v>669</v>
      </c>
      <c r="G678" s="420">
        <f t="shared" ca="1" si="18"/>
        <v>3.4297346147724429E-2</v>
      </c>
    </row>
    <row r="679" spans="6:7" x14ac:dyDescent="0.2">
      <c r="F679" s="591">
        <v>670</v>
      </c>
      <c r="G679" s="420">
        <f t="shared" ca="1" si="18"/>
        <v>0.12199471438215893</v>
      </c>
    </row>
    <row r="680" spans="6:7" x14ac:dyDescent="0.2">
      <c r="F680" s="591">
        <v>671</v>
      </c>
      <c r="G680" s="420">
        <f t="shared" ca="1" si="18"/>
        <v>-6.1792669318018294E-3</v>
      </c>
    </row>
    <row r="681" spans="6:7" x14ac:dyDescent="0.2">
      <c r="F681" s="591">
        <v>672</v>
      </c>
      <c r="G681" s="420">
        <f t="shared" ca="1" si="18"/>
        <v>3.888309263976375E-2</v>
      </c>
    </row>
    <row r="682" spans="6:7" x14ac:dyDescent="0.2">
      <c r="F682" s="591">
        <v>673</v>
      </c>
      <c r="G682" s="420">
        <f t="shared" ca="1" si="18"/>
        <v>-5.7602547771696447E-2</v>
      </c>
    </row>
    <row r="683" spans="6:7" x14ac:dyDescent="0.2">
      <c r="F683" s="591">
        <v>674</v>
      </c>
      <c r="G683" s="420">
        <f t="shared" ca="1" si="18"/>
        <v>9.4594755093927743E-2</v>
      </c>
    </row>
    <row r="684" spans="6:7" x14ac:dyDescent="0.2">
      <c r="F684" s="591">
        <v>675</v>
      </c>
      <c r="G684" s="420">
        <f t="shared" ca="1" si="18"/>
        <v>3.590670543169365E-2</v>
      </c>
    </row>
    <row r="685" spans="6:7" x14ac:dyDescent="0.2">
      <c r="F685" s="591">
        <v>676</v>
      </c>
      <c r="G685" s="420">
        <f t="shared" ca="1" si="18"/>
        <v>-7.9205700081326103E-2</v>
      </c>
    </row>
    <row r="686" spans="6:7" x14ac:dyDescent="0.2">
      <c r="F686" s="591">
        <v>677</v>
      </c>
      <c r="G686" s="420">
        <f t="shared" ca="1" si="18"/>
        <v>7.4279794672059453E-3</v>
      </c>
    </row>
    <row r="687" spans="6:7" x14ac:dyDescent="0.2">
      <c r="F687" s="591">
        <v>678</v>
      </c>
      <c r="G687" s="420">
        <f t="shared" ca="1" si="18"/>
        <v>2.0464790976913554E-2</v>
      </c>
    </row>
    <row r="688" spans="6:7" x14ac:dyDescent="0.2">
      <c r="F688" s="591">
        <v>679</v>
      </c>
      <c r="G688" s="420">
        <f t="shared" ca="1" si="18"/>
        <v>2.8488746333256054E-2</v>
      </c>
    </row>
    <row r="689" spans="6:7" x14ac:dyDescent="0.2">
      <c r="F689" s="591">
        <v>680</v>
      </c>
      <c r="G689" s="420">
        <f t="shared" ca="1" si="18"/>
        <v>7.9062880295400761E-2</v>
      </c>
    </row>
    <row r="690" spans="6:7" x14ac:dyDescent="0.2">
      <c r="F690" s="591">
        <v>681</v>
      </c>
      <c r="G690" s="420">
        <f t="shared" ca="1" si="18"/>
        <v>-4.007006539492336E-2</v>
      </c>
    </row>
    <row r="691" spans="6:7" x14ac:dyDescent="0.2">
      <c r="F691" s="591">
        <v>682</v>
      </c>
      <c r="G691" s="420">
        <f t="shared" ca="1" si="18"/>
        <v>-1.8074003830324373E-2</v>
      </c>
    </row>
    <row r="692" spans="6:7" x14ac:dyDescent="0.2">
      <c r="F692" s="591">
        <v>683</v>
      </c>
      <c r="G692" s="420">
        <f t="shared" ca="1" si="18"/>
        <v>7.7364253168518485E-2</v>
      </c>
    </row>
    <row r="693" spans="6:7" x14ac:dyDescent="0.2">
      <c r="F693" s="591">
        <v>684</v>
      </c>
      <c r="G693" s="420">
        <f t="shared" ca="1" si="18"/>
        <v>-6.8636348052297402E-2</v>
      </c>
    </row>
    <row r="694" spans="6:7" x14ac:dyDescent="0.2">
      <c r="F694" s="591">
        <v>685</v>
      </c>
      <c r="G694" s="420">
        <f t="shared" ca="1" si="18"/>
        <v>6.1762054745076941E-2</v>
      </c>
    </row>
    <row r="695" spans="6:7" x14ac:dyDescent="0.2">
      <c r="F695" s="591">
        <v>686</v>
      </c>
      <c r="G695" s="420">
        <f t="shared" ca="1" si="18"/>
        <v>0.10274454451679545</v>
      </c>
    </row>
    <row r="696" spans="6:7" x14ac:dyDescent="0.2">
      <c r="F696" s="591">
        <v>687</v>
      </c>
      <c r="G696" s="420">
        <f t="shared" ca="1" si="18"/>
        <v>7.1326352260657797E-2</v>
      </c>
    </row>
    <row r="697" spans="6:7" x14ac:dyDescent="0.2">
      <c r="F697" s="591">
        <v>688</v>
      </c>
      <c r="G697" s="420">
        <f t="shared" ca="1" si="18"/>
        <v>7.3598440395425905E-3</v>
      </c>
    </row>
    <row r="698" spans="6:7" x14ac:dyDescent="0.2">
      <c r="F698" s="591">
        <v>689</v>
      </c>
      <c r="G698" s="420">
        <f t="shared" ca="1" si="18"/>
        <v>4.4247760175601433E-2</v>
      </c>
    </row>
    <row r="699" spans="6:7" x14ac:dyDescent="0.2">
      <c r="F699" s="591">
        <v>690</v>
      </c>
      <c r="G699" s="420">
        <f t="shared" ca="1" si="18"/>
        <v>6.5013336386735718E-2</v>
      </c>
    </row>
    <row r="700" spans="6:7" x14ac:dyDescent="0.2">
      <c r="F700" s="591">
        <v>691</v>
      </c>
      <c r="G700" s="420">
        <f t="shared" ca="1" si="18"/>
        <v>7.0480511011888528E-2</v>
      </c>
    </row>
    <row r="701" spans="6:7" x14ac:dyDescent="0.2">
      <c r="F701" s="591">
        <v>692</v>
      </c>
      <c r="G701" s="420">
        <f t="shared" ca="1" si="18"/>
        <v>0.11743359850382228</v>
      </c>
    </row>
    <row r="702" spans="6:7" x14ac:dyDescent="0.2">
      <c r="F702" s="591">
        <v>693</v>
      </c>
      <c r="G702" s="420">
        <f t="shared" ca="1" si="18"/>
        <v>0.11760047572619409</v>
      </c>
    </row>
    <row r="703" spans="6:7" x14ac:dyDescent="0.2">
      <c r="F703" s="591">
        <v>694</v>
      </c>
      <c r="G703" s="420">
        <f t="shared" ca="1" si="18"/>
        <v>1.9869324108751672E-2</v>
      </c>
    </row>
    <row r="704" spans="6:7" x14ac:dyDescent="0.2">
      <c r="F704" s="591">
        <v>695</v>
      </c>
      <c r="G704" s="420">
        <f t="shared" ca="1" si="18"/>
        <v>-7.6088384412615992E-2</v>
      </c>
    </row>
    <row r="705" spans="6:7" x14ac:dyDescent="0.2">
      <c r="F705" s="591">
        <v>696</v>
      </c>
      <c r="G705" s="420">
        <f t="shared" ca="1" si="18"/>
        <v>7.5359891357228322E-4</v>
      </c>
    </row>
    <row r="706" spans="6:7" x14ac:dyDescent="0.2">
      <c r="F706" s="591">
        <v>697</v>
      </c>
      <c r="G706" s="420">
        <f t="shared" ca="1" si="18"/>
        <v>-0.13510130811541377</v>
      </c>
    </row>
    <row r="707" spans="6:7" x14ac:dyDescent="0.2">
      <c r="F707" s="591">
        <v>698</v>
      </c>
      <c r="G707" s="420">
        <f t="shared" ca="1" si="18"/>
        <v>-6.2934544582281204E-2</v>
      </c>
    </row>
    <row r="708" spans="6:7" x14ac:dyDescent="0.2">
      <c r="F708" s="591">
        <v>699</v>
      </c>
      <c r="G708" s="420">
        <f t="shared" ca="1" si="18"/>
        <v>-8.0243866228473543E-2</v>
      </c>
    </row>
    <row r="709" spans="6:7" x14ac:dyDescent="0.2">
      <c r="F709" s="591">
        <v>700</v>
      </c>
      <c r="G709" s="420">
        <f t="shared" ca="1" si="18"/>
        <v>-0.11972947365471674</v>
      </c>
    </row>
    <row r="710" spans="6:7" x14ac:dyDescent="0.2">
      <c r="F710" s="591">
        <v>701</v>
      </c>
      <c r="G710" s="420">
        <f t="shared" ca="1" si="18"/>
        <v>3.8537408419068921E-2</v>
      </c>
    </row>
    <row r="711" spans="6:7" x14ac:dyDescent="0.2">
      <c r="F711" s="591">
        <v>702</v>
      </c>
      <c r="G711" s="420">
        <f t="shared" ca="1" si="18"/>
        <v>-8.6282736155152868E-3</v>
      </c>
    </row>
    <row r="712" spans="6:7" x14ac:dyDescent="0.2">
      <c r="F712" s="591">
        <v>703</v>
      </c>
      <c r="G712" s="420">
        <f t="shared" ca="1" si="18"/>
        <v>-0.10080068212238451</v>
      </c>
    </row>
    <row r="713" spans="6:7" x14ac:dyDescent="0.2">
      <c r="F713" s="591">
        <v>704</v>
      </c>
      <c r="G713" s="420">
        <f t="shared" ca="1" si="18"/>
        <v>5.8646659340483728E-2</v>
      </c>
    </row>
    <row r="714" spans="6:7" x14ac:dyDescent="0.2">
      <c r="F714" s="591">
        <v>705</v>
      </c>
      <c r="G714" s="420">
        <f t="shared" ca="1" si="18"/>
        <v>-4.5267803292337358E-2</v>
      </c>
    </row>
    <row r="715" spans="6:7" x14ac:dyDescent="0.2">
      <c r="F715" s="591">
        <v>706</v>
      </c>
      <c r="G715" s="420">
        <f t="shared" ref="G715:G778" ca="1" si="19">_xlfn.NORM.INV(RAND(), $M$11,$M$12)</f>
        <v>1.2869838553618042E-2</v>
      </c>
    </row>
    <row r="716" spans="6:7" x14ac:dyDescent="0.2">
      <c r="F716" s="591">
        <v>707</v>
      </c>
      <c r="G716" s="420">
        <f t="shared" ca="1" si="19"/>
        <v>-2.0792044885082541E-2</v>
      </c>
    </row>
    <row r="717" spans="6:7" x14ac:dyDescent="0.2">
      <c r="F717" s="591">
        <v>708</v>
      </c>
      <c r="G717" s="420">
        <f t="shared" ca="1" si="19"/>
        <v>3.2270440969185687E-2</v>
      </c>
    </row>
    <row r="718" spans="6:7" x14ac:dyDescent="0.2">
      <c r="F718" s="591">
        <v>709</v>
      </c>
      <c r="G718" s="420">
        <f t="shared" ca="1" si="19"/>
        <v>-5.7657256898678816E-2</v>
      </c>
    </row>
    <row r="719" spans="6:7" x14ac:dyDescent="0.2">
      <c r="F719" s="591">
        <v>710</v>
      </c>
      <c r="G719" s="420">
        <f t="shared" ca="1" si="19"/>
        <v>-9.070474546876918E-2</v>
      </c>
    </row>
    <row r="720" spans="6:7" x14ac:dyDescent="0.2">
      <c r="F720" s="591">
        <v>711</v>
      </c>
      <c r="G720" s="420">
        <f t="shared" ca="1" si="19"/>
        <v>6.4772976206190214E-2</v>
      </c>
    </row>
    <row r="721" spans="6:7" x14ac:dyDescent="0.2">
      <c r="F721" s="591">
        <v>712</v>
      </c>
      <c r="G721" s="420">
        <f t="shared" ca="1" si="19"/>
        <v>4.7812633478877473E-2</v>
      </c>
    </row>
    <row r="722" spans="6:7" x14ac:dyDescent="0.2">
      <c r="F722" s="591">
        <v>713</v>
      </c>
      <c r="G722" s="420">
        <f t="shared" ca="1" si="19"/>
        <v>-4.9141280864511347E-3</v>
      </c>
    </row>
    <row r="723" spans="6:7" x14ac:dyDescent="0.2">
      <c r="F723" s="591">
        <v>714</v>
      </c>
      <c r="G723" s="420">
        <f t="shared" ca="1" si="19"/>
        <v>-2.8035396809582423E-2</v>
      </c>
    </row>
    <row r="724" spans="6:7" x14ac:dyDescent="0.2">
      <c r="F724" s="591">
        <v>715</v>
      </c>
      <c r="G724" s="420">
        <f t="shared" ca="1" si="19"/>
        <v>2.5655674227411437E-2</v>
      </c>
    </row>
    <row r="725" spans="6:7" x14ac:dyDescent="0.2">
      <c r="F725" s="591">
        <v>716</v>
      </c>
      <c r="G725" s="420">
        <f t="shared" ca="1" si="19"/>
        <v>2.9363496755255708E-2</v>
      </c>
    </row>
    <row r="726" spans="6:7" x14ac:dyDescent="0.2">
      <c r="F726" s="591">
        <v>717</v>
      </c>
      <c r="G726" s="420">
        <f t="shared" ca="1" si="19"/>
        <v>4.3196492323197113E-3</v>
      </c>
    </row>
    <row r="727" spans="6:7" x14ac:dyDescent="0.2">
      <c r="F727" s="591">
        <v>718</v>
      </c>
      <c r="G727" s="420">
        <f t="shared" ca="1" si="19"/>
        <v>3.4371624282346826E-3</v>
      </c>
    </row>
    <row r="728" spans="6:7" x14ac:dyDescent="0.2">
      <c r="F728" s="591">
        <v>719</v>
      </c>
      <c r="G728" s="420">
        <f t="shared" ca="1" si="19"/>
        <v>-5.4945393757046268E-2</v>
      </c>
    </row>
    <row r="729" spans="6:7" x14ac:dyDescent="0.2">
      <c r="F729" s="591">
        <v>720</v>
      </c>
      <c r="G729" s="420">
        <f t="shared" ca="1" si="19"/>
        <v>2.9685379028708572E-2</v>
      </c>
    </row>
    <row r="730" spans="6:7" x14ac:dyDescent="0.2">
      <c r="F730" s="591">
        <v>721</v>
      </c>
      <c r="G730" s="420">
        <f t="shared" ca="1" si="19"/>
        <v>5.1761900436964065E-3</v>
      </c>
    </row>
    <row r="731" spans="6:7" x14ac:dyDescent="0.2">
      <c r="F731" s="591">
        <v>722</v>
      </c>
      <c r="G731" s="420">
        <f t="shared" ca="1" si="19"/>
        <v>-4.6943063354074846E-2</v>
      </c>
    </row>
    <row r="732" spans="6:7" x14ac:dyDescent="0.2">
      <c r="F732" s="591">
        <v>723</v>
      </c>
      <c r="G732" s="420">
        <f t="shared" ca="1" si="19"/>
        <v>-5.3170572244910508E-2</v>
      </c>
    </row>
    <row r="733" spans="6:7" x14ac:dyDescent="0.2">
      <c r="F733" s="591">
        <v>724</v>
      </c>
      <c r="G733" s="420">
        <f t="shared" ca="1" si="19"/>
        <v>-2.9069824743830432E-2</v>
      </c>
    </row>
    <row r="734" spans="6:7" x14ac:dyDescent="0.2">
      <c r="F734" s="591">
        <v>725</v>
      </c>
      <c r="G734" s="420">
        <f t="shared" ca="1" si="19"/>
        <v>2.6699434379319917E-2</v>
      </c>
    </row>
    <row r="735" spans="6:7" x14ac:dyDescent="0.2">
      <c r="F735" s="591">
        <v>726</v>
      </c>
      <c r="G735" s="420">
        <f t="shared" ca="1" si="19"/>
        <v>-6.202821822321232E-2</v>
      </c>
    </row>
    <row r="736" spans="6:7" x14ac:dyDescent="0.2">
      <c r="F736" s="591">
        <v>727</v>
      </c>
      <c r="G736" s="420">
        <f t="shared" ca="1" si="19"/>
        <v>8.9811309585487234E-2</v>
      </c>
    </row>
    <row r="737" spans="6:7" x14ac:dyDescent="0.2">
      <c r="F737" s="591">
        <v>728</v>
      </c>
      <c r="G737" s="420">
        <f t="shared" ca="1" si="19"/>
        <v>4.2036475170567952E-2</v>
      </c>
    </row>
    <row r="738" spans="6:7" x14ac:dyDescent="0.2">
      <c r="F738" s="591">
        <v>729</v>
      </c>
      <c r="G738" s="420">
        <f t="shared" ca="1" si="19"/>
        <v>8.5942062204377431E-2</v>
      </c>
    </row>
    <row r="739" spans="6:7" x14ac:dyDescent="0.2">
      <c r="F739" s="591">
        <v>730</v>
      </c>
      <c r="G739" s="420">
        <f t="shared" ca="1" si="19"/>
        <v>-9.4462495838371893E-2</v>
      </c>
    </row>
    <row r="740" spans="6:7" x14ac:dyDescent="0.2">
      <c r="F740" s="591">
        <v>731</v>
      </c>
      <c r="G740" s="420">
        <f t="shared" ca="1" si="19"/>
        <v>-0.11781450086587252</v>
      </c>
    </row>
    <row r="741" spans="6:7" x14ac:dyDescent="0.2">
      <c r="F741" s="591">
        <v>732</v>
      </c>
      <c r="G741" s="420">
        <f t="shared" ca="1" si="19"/>
        <v>1.0873493439514645E-2</v>
      </c>
    </row>
    <row r="742" spans="6:7" x14ac:dyDescent="0.2">
      <c r="F742" s="591">
        <v>733</v>
      </c>
      <c r="G742" s="420">
        <f t="shared" ca="1" si="19"/>
        <v>5.9404099924123656E-3</v>
      </c>
    </row>
    <row r="743" spans="6:7" x14ac:dyDescent="0.2">
      <c r="F743" s="591">
        <v>734</v>
      </c>
      <c r="G743" s="420">
        <f t="shared" ca="1" si="19"/>
        <v>-9.7770096194643399E-2</v>
      </c>
    </row>
    <row r="744" spans="6:7" x14ac:dyDescent="0.2">
      <c r="F744" s="591">
        <v>735</v>
      </c>
      <c r="G744" s="420">
        <f t="shared" ca="1" si="19"/>
        <v>-6.1760589035940672E-2</v>
      </c>
    </row>
    <row r="745" spans="6:7" x14ac:dyDescent="0.2">
      <c r="F745" s="591">
        <v>736</v>
      </c>
      <c r="G745" s="420">
        <f t="shared" ca="1" si="19"/>
        <v>3.5661726994346055E-2</v>
      </c>
    </row>
    <row r="746" spans="6:7" x14ac:dyDescent="0.2">
      <c r="F746" s="591">
        <v>737</v>
      </c>
      <c r="G746" s="420">
        <f t="shared" ca="1" si="19"/>
        <v>-6.2989272462991852E-2</v>
      </c>
    </row>
    <row r="747" spans="6:7" x14ac:dyDescent="0.2">
      <c r="F747" s="591">
        <v>738</v>
      </c>
      <c r="G747" s="420">
        <f t="shared" ca="1" si="19"/>
        <v>-8.0176562954946837E-2</v>
      </c>
    </row>
    <row r="748" spans="6:7" x14ac:dyDescent="0.2">
      <c r="F748" s="591">
        <v>739</v>
      </c>
      <c r="G748" s="420">
        <f t="shared" ca="1" si="19"/>
        <v>0.11834861385669308</v>
      </c>
    </row>
    <row r="749" spans="6:7" x14ac:dyDescent="0.2">
      <c r="F749" s="591">
        <v>740</v>
      </c>
      <c r="G749" s="420">
        <f t="shared" ca="1" si="19"/>
        <v>3.0788564152073046E-2</v>
      </c>
    </row>
    <row r="750" spans="6:7" x14ac:dyDescent="0.2">
      <c r="F750" s="591">
        <v>741</v>
      </c>
      <c r="G750" s="420">
        <f t="shared" ca="1" si="19"/>
        <v>-2.1871304443327678E-2</v>
      </c>
    </row>
    <row r="751" spans="6:7" x14ac:dyDescent="0.2">
      <c r="F751" s="591">
        <v>742</v>
      </c>
      <c r="G751" s="420">
        <f t="shared" ca="1" si="19"/>
        <v>8.0922059064804236E-2</v>
      </c>
    </row>
    <row r="752" spans="6:7" x14ac:dyDescent="0.2">
      <c r="F752" s="591">
        <v>743</v>
      </c>
      <c r="G752" s="420">
        <f t="shared" ca="1" si="19"/>
        <v>-7.841247364858063E-3</v>
      </c>
    </row>
    <row r="753" spans="6:7" x14ac:dyDescent="0.2">
      <c r="F753" s="591">
        <v>744</v>
      </c>
      <c r="G753" s="420">
        <f t="shared" ca="1" si="19"/>
        <v>2.2190852217655911E-2</v>
      </c>
    </row>
    <row r="754" spans="6:7" x14ac:dyDescent="0.2">
      <c r="F754" s="591">
        <v>745</v>
      </c>
      <c r="G754" s="420">
        <f t="shared" ca="1" si="19"/>
        <v>-6.7215513674878005E-2</v>
      </c>
    </row>
    <row r="755" spans="6:7" x14ac:dyDescent="0.2">
      <c r="F755" s="591">
        <v>746</v>
      </c>
      <c r="G755" s="420">
        <f t="shared" ca="1" si="19"/>
        <v>0.11888631057893018</v>
      </c>
    </row>
    <row r="756" spans="6:7" x14ac:dyDescent="0.2">
      <c r="F756" s="591">
        <v>747</v>
      </c>
      <c r="G756" s="420">
        <f t="shared" ca="1" si="19"/>
        <v>-7.4017679010772816E-2</v>
      </c>
    </row>
    <row r="757" spans="6:7" x14ac:dyDescent="0.2">
      <c r="F757" s="591">
        <v>748</v>
      </c>
      <c r="G757" s="420">
        <f t="shared" ca="1" si="19"/>
        <v>3.6155159107938387E-2</v>
      </c>
    </row>
    <row r="758" spans="6:7" x14ac:dyDescent="0.2">
      <c r="F758" s="591">
        <v>749</v>
      </c>
      <c r="G758" s="420">
        <f t="shared" ca="1" si="19"/>
        <v>1.5620347267606577E-2</v>
      </c>
    </row>
    <row r="759" spans="6:7" x14ac:dyDescent="0.2">
      <c r="F759" s="591">
        <v>750</v>
      </c>
      <c r="G759" s="420">
        <f t="shared" ca="1" si="19"/>
        <v>-1.2180078455320844E-2</v>
      </c>
    </row>
    <row r="760" spans="6:7" x14ac:dyDescent="0.2">
      <c r="F760" s="591">
        <v>751</v>
      </c>
      <c r="G760" s="420">
        <f t="shared" ca="1" si="19"/>
        <v>-5.0486850156789179E-2</v>
      </c>
    </row>
    <row r="761" spans="6:7" x14ac:dyDescent="0.2">
      <c r="F761" s="591">
        <v>752</v>
      </c>
      <c r="G761" s="420">
        <f t="shared" ca="1" si="19"/>
        <v>-9.781117883650936E-3</v>
      </c>
    </row>
    <row r="762" spans="6:7" x14ac:dyDescent="0.2">
      <c r="F762" s="591">
        <v>753</v>
      </c>
      <c r="G762" s="420">
        <f t="shared" ca="1" si="19"/>
        <v>-7.1703365862745921E-2</v>
      </c>
    </row>
    <row r="763" spans="6:7" x14ac:dyDescent="0.2">
      <c r="F763" s="591">
        <v>754</v>
      </c>
      <c r="G763" s="420">
        <f t="shared" ca="1" si="19"/>
        <v>7.2117427839514525E-2</v>
      </c>
    </row>
    <row r="764" spans="6:7" x14ac:dyDescent="0.2">
      <c r="F764" s="591">
        <v>755</v>
      </c>
      <c r="G764" s="420">
        <f t="shared" ca="1" si="19"/>
        <v>-4.8381244149863015E-2</v>
      </c>
    </row>
    <row r="765" spans="6:7" x14ac:dyDescent="0.2">
      <c r="F765" s="591">
        <v>756</v>
      </c>
      <c r="G765" s="420">
        <f t="shared" ca="1" si="19"/>
        <v>3.9670351251279545E-2</v>
      </c>
    </row>
    <row r="766" spans="6:7" x14ac:dyDescent="0.2">
      <c r="F766" s="591">
        <v>757</v>
      </c>
      <c r="G766" s="420">
        <f t="shared" ca="1" si="19"/>
        <v>9.305474054059118E-2</v>
      </c>
    </row>
    <row r="767" spans="6:7" x14ac:dyDescent="0.2">
      <c r="F767" s="591">
        <v>758</v>
      </c>
      <c r="G767" s="420">
        <f t="shared" ca="1" si="19"/>
        <v>-7.128140855505552E-2</v>
      </c>
    </row>
    <row r="768" spans="6:7" x14ac:dyDescent="0.2">
      <c r="F768" s="591">
        <v>759</v>
      </c>
      <c r="G768" s="420">
        <f t="shared" ca="1" si="19"/>
        <v>1.6153748392884269E-2</v>
      </c>
    </row>
    <row r="769" spans="6:7" x14ac:dyDescent="0.2">
      <c r="F769" s="591">
        <v>760</v>
      </c>
      <c r="G769" s="420">
        <f t="shared" ca="1" si="19"/>
        <v>7.3911457422890681E-2</v>
      </c>
    </row>
    <row r="770" spans="6:7" x14ac:dyDescent="0.2">
      <c r="F770" s="591">
        <v>761</v>
      </c>
      <c r="G770" s="420">
        <f t="shared" ca="1" si="19"/>
        <v>-3.8033029734755308E-2</v>
      </c>
    </row>
    <row r="771" spans="6:7" x14ac:dyDescent="0.2">
      <c r="F771" s="591">
        <v>762</v>
      </c>
      <c r="G771" s="420">
        <f t="shared" ca="1" si="19"/>
        <v>-6.738763175465845E-2</v>
      </c>
    </row>
    <row r="772" spans="6:7" x14ac:dyDescent="0.2">
      <c r="F772" s="591">
        <v>763</v>
      </c>
      <c r="G772" s="420">
        <f t="shared" ca="1" si="19"/>
        <v>8.4858577630432072E-2</v>
      </c>
    </row>
    <row r="773" spans="6:7" x14ac:dyDescent="0.2">
      <c r="F773" s="591">
        <v>764</v>
      </c>
      <c r="G773" s="420">
        <f t="shared" ca="1" si="19"/>
        <v>-7.7271230214474962E-2</v>
      </c>
    </row>
    <row r="774" spans="6:7" x14ac:dyDescent="0.2">
      <c r="F774" s="591">
        <v>765</v>
      </c>
      <c r="G774" s="420">
        <f t="shared" ca="1" si="19"/>
        <v>-4.0946744507165816E-2</v>
      </c>
    </row>
    <row r="775" spans="6:7" x14ac:dyDescent="0.2">
      <c r="F775" s="591">
        <v>766</v>
      </c>
      <c r="G775" s="420">
        <f t="shared" ca="1" si="19"/>
        <v>-4.6739408478977659E-2</v>
      </c>
    </row>
    <row r="776" spans="6:7" x14ac:dyDescent="0.2">
      <c r="F776" s="591">
        <v>767</v>
      </c>
      <c r="G776" s="420">
        <f t="shared" ca="1" si="19"/>
        <v>7.5152334510971197E-2</v>
      </c>
    </row>
    <row r="777" spans="6:7" x14ac:dyDescent="0.2">
      <c r="F777" s="591">
        <v>768</v>
      </c>
      <c r="G777" s="420">
        <f t="shared" ca="1" si="19"/>
        <v>-9.3416504814585646E-2</v>
      </c>
    </row>
    <row r="778" spans="6:7" x14ac:dyDescent="0.2">
      <c r="F778" s="591">
        <v>769</v>
      </c>
      <c r="G778" s="420">
        <f t="shared" ca="1" si="19"/>
        <v>3.4127025745491708E-2</v>
      </c>
    </row>
    <row r="779" spans="6:7" x14ac:dyDescent="0.2">
      <c r="F779" s="591">
        <v>770</v>
      </c>
      <c r="G779" s="420">
        <f t="shared" ref="G779:G842" ca="1" si="20">_xlfn.NORM.INV(RAND(), $M$11,$M$12)</f>
        <v>8.9833802389838679E-2</v>
      </c>
    </row>
    <row r="780" spans="6:7" x14ac:dyDescent="0.2">
      <c r="F780" s="591">
        <v>771</v>
      </c>
      <c r="G780" s="420">
        <f t="shared" ca="1" si="20"/>
        <v>1.834595799457335E-3</v>
      </c>
    </row>
    <row r="781" spans="6:7" x14ac:dyDescent="0.2">
      <c r="F781" s="591">
        <v>772</v>
      </c>
      <c r="G781" s="420">
        <f t="shared" ca="1" si="20"/>
        <v>-8.0069208936767458E-2</v>
      </c>
    </row>
    <row r="782" spans="6:7" x14ac:dyDescent="0.2">
      <c r="F782" s="591">
        <v>773</v>
      </c>
      <c r="G782" s="420">
        <f t="shared" ca="1" si="20"/>
        <v>-1.2742271491970034E-2</v>
      </c>
    </row>
    <row r="783" spans="6:7" x14ac:dyDescent="0.2">
      <c r="F783" s="591">
        <v>774</v>
      </c>
      <c r="G783" s="420">
        <f t="shared" ca="1" si="20"/>
        <v>1.8090845915683239E-2</v>
      </c>
    </row>
    <row r="784" spans="6:7" x14ac:dyDescent="0.2">
      <c r="F784" s="591">
        <v>775</v>
      </c>
      <c r="G784" s="420">
        <f t="shared" ca="1" si="20"/>
        <v>4.6591782693287939E-2</v>
      </c>
    </row>
    <row r="785" spans="6:7" x14ac:dyDescent="0.2">
      <c r="F785" s="591">
        <v>776</v>
      </c>
      <c r="G785" s="420">
        <f t="shared" ca="1" si="20"/>
        <v>-8.2936916667105134E-2</v>
      </c>
    </row>
    <row r="786" spans="6:7" x14ac:dyDescent="0.2">
      <c r="F786" s="591">
        <v>777</v>
      </c>
      <c r="G786" s="420">
        <f t="shared" ca="1" si="20"/>
        <v>2.7165310676692533E-2</v>
      </c>
    </row>
    <row r="787" spans="6:7" x14ac:dyDescent="0.2">
      <c r="F787" s="591">
        <v>778</v>
      </c>
      <c r="G787" s="420">
        <f t="shared" ca="1" si="20"/>
        <v>-0.12279736838779602</v>
      </c>
    </row>
    <row r="788" spans="6:7" x14ac:dyDescent="0.2">
      <c r="F788" s="591">
        <v>779</v>
      </c>
      <c r="G788" s="420">
        <f t="shared" ca="1" si="20"/>
        <v>1.5062934543367951E-2</v>
      </c>
    </row>
    <row r="789" spans="6:7" x14ac:dyDescent="0.2">
      <c r="F789" s="591">
        <v>780</v>
      </c>
      <c r="G789" s="420">
        <f t="shared" ca="1" si="20"/>
        <v>-4.6254106357348362E-3</v>
      </c>
    </row>
    <row r="790" spans="6:7" x14ac:dyDescent="0.2">
      <c r="F790" s="591">
        <v>781</v>
      </c>
      <c r="G790" s="420">
        <f t="shared" ca="1" si="20"/>
        <v>6.6162725106968093E-2</v>
      </c>
    </row>
    <row r="791" spans="6:7" x14ac:dyDescent="0.2">
      <c r="F791" s="591">
        <v>782</v>
      </c>
      <c r="G791" s="420">
        <f t="shared" ca="1" si="20"/>
        <v>-2.638409207143742E-2</v>
      </c>
    </row>
    <row r="792" spans="6:7" x14ac:dyDescent="0.2">
      <c r="F792" s="591">
        <v>783</v>
      </c>
      <c r="G792" s="420">
        <f t="shared" ca="1" si="20"/>
        <v>-3.7493036573141066E-3</v>
      </c>
    </row>
    <row r="793" spans="6:7" x14ac:dyDescent="0.2">
      <c r="F793" s="591">
        <v>784</v>
      </c>
      <c r="G793" s="420">
        <f t="shared" ca="1" si="20"/>
        <v>-3.4895082893434015E-2</v>
      </c>
    </row>
    <row r="794" spans="6:7" x14ac:dyDescent="0.2">
      <c r="F794" s="591">
        <v>785</v>
      </c>
      <c r="G794" s="420">
        <f t="shared" ca="1" si="20"/>
        <v>8.8158533805858294E-2</v>
      </c>
    </row>
    <row r="795" spans="6:7" x14ac:dyDescent="0.2">
      <c r="F795" s="591">
        <v>786</v>
      </c>
      <c r="G795" s="420">
        <f t="shared" ca="1" si="20"/>
        <v>5.6913805593318698E-2</v>
      </c>
    </row>
    <row r="796" spans="6:7" x14ac:dyDescent="0.2">
      <c r="F796" s="591">
        <v>787</v>
      </c>
      <c r="G796" s="420">
        <f t="shared" ca="1" si="20"/>
        <v>9.2678388106495244E-2</v>
      </c>
    </row>
    <row r="797" spans="6:7" x14ac:dyDescent="0.2">
      <c r="F797" s="591">
        <v>788</v>
      </c>
      <c r="G797" s="420">
        <f t="shared" ca="1" si="20"/>
        <v>1.6738321243202649E-2</v>
      </c>
    </row>
    <row r="798" spans="6:7" x14ac:dyDescent="0.2">
      <c r="F798" s="591">
        <v>789</v>
      </c>
      <c r="G798" s="420">
        <f t="shared" ca="1" si="20"/>
        <v>2.5975171144048251E-2</v>
      </c>
    </row>
    <row r="799" spans="6:7" x14ac:dyDescent="0.2">
      <c r="F799" s="591">
        <v>790</v>
      </c>
      <c r="G799" s="420">
        <f t="shared" ca="1" si="20"/>
        <v>7.9285740708994287E-2</v>
      </c>
    </row>
    <row r="800" spans="6:7" x14ac:dyDescent="0.2">
      <c r="F800" s="591">
        <v>791</v>
      </c>
      <c r="G800" s="420">
        <f t="shared" ca="1" si="20"/>
        <v>-5.4993565694951521E-2</v>
      </c>
    </row>
    <row r="801" spans="6:7" x14ac:dyDescent="0.2">
      <c r="F801" s="591">
        <v>792</v>
      </c>
      <c r="G801" s="420">
        <f t="shared" ca="1" si="20"/>
        <v>-9.5076073504039155E-4</v>
      </c>
    </row>
    <row r="802" spans="6:7" x14ac:dyDescent="0.2">
      <c r="F802" s="591">
        <v>793</v>
      </c>
      <c r="G802" s="420">
        <f t="shared" ca="1" si="20"/>
        <v>-7.0082439788152373E-2</v>
      </c>
    </row>
    <row r="803" spans="6:7" x14ac:dyDescent="0.2">
      <c r="F803" s="591">
        <v>794</v>
      </c>
      <c r="G803" s="420">
        <f t="shared" ca="1" si="20"/>
        <v>2.1706148511186348E-2</v>
      </c>
    </row>
    <row r="804" spans="6:7" x14ac:dyDescent="0.2">
      <c r="F804" s="591">
        <v>795</v>
      </c>
      <c r="G804" s="420">
        <f t="shared" ca="1" si="20"/>
        <v>-2.9150271064778358E-2</v>
      </c>
    </row>
    <row r="805" spans="6:7" x14ac:dyDescent="0.2">
      <c r="F805" s="591">
        <v>796</v>
      </c>
      <c r="G805" s="420">
        <f t="shared" ca="1" si="20"/>
        <v>3.3354925185742443E-2</v>
      </c>
    </row>
    <row r="806" spans="6:7" x14ac:dyDescent="0.2">
      <c r="F806" s="591">
        <v>797</v>
      </c>
      <c r="G806" s="420">
        <f t="shared" ca="1" si="20"/>
        <v>0.12786542943997212</v>
      </c>
    </row>
    <row r="807" spans="6:7" x14ac:dyDescent="0.2">
      <c r="F807" s="591">
        <v>798</v>
      </c>
      <c r="G807" s="420">
        <f t="shared" ca="1" si="20"/>
        <v>0.15496437787741618</v>
      </c>
    </row>
    <row r="808" spans="6:7" x14ac:dyDescent="0.2">
      <c r="F808" s="591">
        <v>799</v>
      </c>
      <c r="G808" s="420">
        <f t="shared" ca="1" si="20"/>
        <v>-8.695965102505894E-2</v>
      </c>
    </row>
    <row r="809" spans="6:7" x14ac:dyDescent="0.2">
      <c r="F809" s="591">
        <v>800</v>
      </c>
      <c r="G809" s="420">
        <f t="shared" ca="1" si="20"/>
        <v>-6.946622319385639E-3</v>
      </c>
    </row>
    <row r="810" spans="6:7" x14ac:dyDescent="0.2">
      <c r="F810" s="591">
        <v>801</v>
      </c>
      <c r="G810" s="420">
        <f t="shared" ca="1" si="20"/>
        <v>6.5734534898274069E-3</v>
      </c>
    </row>
    <row r="811" spans="6:7" x14ac:dyDescent="0.2">
      <c r="F811" s="591">
        <v>802</v>
      </c>
      <c r="G811" s="420">
        <f t="shared" ca="1" si="20"/>
        <v>3.7254821366319614E-3</v>
      </c>
    </row>
    <row r="812" spans="6:7" x14ac:dyDescent="0.2">
      <c r="F812" s="591">
        <v>803</v>
      </c>
      <c r="G812" s="420">
        <f t="shared" ca="1" si="20"/>
        <v>3.2654269169547945E-2</v>
      </c>
    </row>
    <row r="813" spans="6:7" x14ac:dyDescent="0.2">
      <c r="F813" s="591">
        <v>804</v>
      </c>
      <c r="G813" s="420">
        <f t="shared" ca="1" si="20"/>
        <v>7.6777344403520575E-2</v>
      </c>
    </row>
    <row r="814" spans="6:7" x14ac:dyDescent="0.2">
      <c r="F814" s="591">
        <v>805</v>
      </c>
      <c r="G814" s="420">
        <f t="shared" ca="1" si="20"/>
        <v>1.6056509289436555E-2</v>
      </c>
    </row>
    <row r="815" spans="6:7" x14ac:dyDescent="0.2">
      <c r="F815" s="591">
        <v>806</v>
      </c>
      <c r="G815" s="420">
        <f t="shared" ca="1" si="20"/>
        <v>6.2654947487264939E-2</v>
      </c>
    </row>
    <row r="816" spans="6:7" x14ac:dyDescent="0.2">
      <c r="F816" s="591">
        <v>807</v>
      </c>
      <c r="G816" s="420">
        <f t="shared" ca="1" si="20"/>
        <v>-9.6929892355605896E-2</v>
      </c>
    </row>
    <row r="817" spans="6:7" x14ac:dyDescent="0.2">
      <c r="F817" s="591">
        <v>808</v>
      </c>
      <c r="G817" s="420">
        <f t="shared" ca="1" si="20"/>
        <v>-2.5405231306264837E-2</v>
      </c>
    </row>
    <row r="818" spans="6:7" x14ac:dyDescent="0.2">
      <c r="F818" s="591">
        <v>809</v>
      </c>
      <c r="G818" s="420">
        <f t="shared" ca="1" si="20"/>
        <v>6.5837961795267685E-2</v>
      </c>
    </row>
    <row r="819" spans="6:7" x14ac:dyDescent="0.2">
      <c r="F819" s="591">
        <v>810</v>
      </c>
      <c r="G819" s="420">
        <f t="shared" ca="1" si="20"/>
        <v>5.6327235509522941E-2</v>
      </c>
    </row>
    <row r="820" spans="6:7" x14ac:dyDescent="0.2">
      <c r="F820" s="591">
        <v>811</v>
      </c>
      <c r="G820" s="420">
        <f t="shared" ca="1" si="20"/>
        <v>-0.15540292064186784</v>
      </c>
    </row>
    <row r="821" spans="6:7" x14ac:dyDescent="0.2">
      <c r="F821" s="591">
        <v>812</v>
      </c>
      <c r="G821" s="420">
        <f t="shared" ca="1" si="20"/>
        <v>3.8065612396901156E-2</v>
      </c>
    </row>
    <row r="822" spans="6:7" x14ac:dyDescent="0.2">
      <c r="F822" s="591">
        <v>813</v>
      </c>
      <c r="G822" s="420">
        <f t="shared" ca="1" si="20"/>
        <v>-0.10020360718664009</v>
      </c>
    </row>
    <row r="823" spans="6:7" x14ac:dyDescent="0.2">
      <c r="F823" s="591">
        <v>814</v>
      </c>
      <c r="G823" s="420">
        <f t="shared" ca="1" si="20"/>
        <v>-0.13118727905381539</v>
      </c>
    </row>
    <row r="824" spans="6:7" x14ac:dyDescent="0.2">
      <c r="F824" s="591">
        <v>815</v>
      </c>
      <c r="G824" s="420">
        <f t="shared" ca="1" si="20"/>
        <v>7.0405440709568362E-2</v>
      </c>
    </row>
    <row r="825" spans="6:7" x14ac:dyDescent="0.2">
      <c r="F825" s="591">
        <v>816</v>
      </c>
      <c r="G825" s="420">
        <f t="shared" ca="1" si="20"/>
        <v>3.3896403427347427E-2</v>
      </c>
    </row>
    <row r="826" spans="6:7" x14ac:dyDescent="0.2">
      <c r="F826" s="591">
        <v>817</v>
      </c>
      <c r="G826" s="420">
        <f t="shared" ca="1" si="20"/>
        <v>-1.5056666488265334E-2</v>
      </c>
    </row>
    <row r="827" spans="6:7" x14ac:dyDescent="0.2">
      <c r="F827" s="591">
        <v>818</v>
      </c>
      <c r="G827" s="420">
        <f t="shared" ca="1" si="20"/>
        <v>0.10207716936235232</v>
      </c>
    </row>
    <row r="828" spans="6:7" x14ac:dyDescent="0.2">
      <c r="F828" s="591">
        <v>819</v>
      </c>
      <c r="G828" s="420">
        <f t="shared" ca="1" si="20"/>
        <v>7.0156756290522246E-2</v>
      </c>
    </row>
    <row r="829" spans="6:7" x14ac:dyDescent="0.2">
      <c r="F829" s="591">
        <v>820</v>
      </c>
      <c r="G829" s="420">
        <f t="shared" ca="1" si="20"/>
        <v>-4.6775094353354127E-2</v>
      </c>
    </row>
    <row r="830" spans="6:7" x14ac:dyDescent="0.2">
      <c r="F830" s="591">
        <v>821</v>
      </c>
      <c r="G830" s="420">
        <f t="shared" ca="1" si="20"/>
        <v>2.1741455421408373E-2</v>
      </c>
    </row>
    <row r="831" spans="6:7" x14ac:dyDescent="0.2">
      <c r="F831" s="591">
        <v>822</v>
      </c>
      <c r="G831" s="420">
        <f t="shared" ca="1" si="20"/>
        <v>-7.9180709689470399E-2</v>
      </c>
    </row>
    <row r="832" spans="6:7" x14ac:dyDescent="0.2">
      <c r="F832" s="591">
        <v>823</v>
      </c>
      <c r="G832" s="420">
        <f t="shared" ca="1" si="20"/>
        <v>-5.2671040343268555E-2</v>
      </c>
    </row>
    <row r="833" spans="6:7" x14ac:dyDescent="0.2">
      <c r="F833" s="591">
        <v>824</v>
      </c>
      <c r="G833" s="420">
        <f t="shared" ca="1" si="20"/>
        <v>-7.0177646251856976E-3</v>
      </c>
    </row>
    <row r="834" spans="6:7" x14ac:dyDescent="0.2">
      <c r="F834" s="591">
        <v>825</v>
      </c>
      <c r="G834" s="420">
        <f t="shared" ca="1" si="20"/>
        <v>0.18212040501639293</v>
      </c>
    </row>
    <row r="835" spans="6:7" x14ac:dyDescent="0.2">
      <c r="F835" s="591">
        <v>826</v>
      </c>
      <c r="G835" s="420">
        <f t="shared" ca="1" si="20"/>
        <v>5.6580350394521681E-2</v>
      </c>
    </row>
    <row r="836" spans="6:7" x14ac:dyDescent="0.2">
      <c r="F836" s="591">
        <v>827</v>
      </c>
      <c r="G836" s="420">
        <f t="shared" ca="1" si="20"/>
        <v>0.1352659001613962</v>
      </c>
    </row>
    <row r="837" spans="6:7" x14ac:dyDescent="0.2">
      <c r="F837" s="591">
        <v>828</v>
      </c>
      <c r="G837" s="420">
        <f t="shared" ca="1" si="20"/>
        <v>-1.960850185868597E-2</v>
      </c>
    </row>
    <row r="838" spans="6:7" x14ac:dyDescent="0.2">
      <c r="F838" s="591">
        <v>829</v>
      </c>
      <c r="G838" s="420">
        <f t="shared" ca="1" si="20"/>
        <v>9.500008268891888E-2</v>
      </c>
    </row>
    <row r="839" spans="6:7" x14ac:dyDescent="0.2">
      <c r="F839" s="591">
        <v>830</v>
      </c>
      <c r="G839" s="420">
        <f t="shared" ca="1" si="20"/>
        <v>-9.3385383955073009E-2</v>
      </c>
    </row>
    <row r="840" spans="6:7" x14ac:dyDescent="0.2">
      <c r="F840" s="591">
        <v>831</v>
      </c>
      <c r="G840" s="420">
        <f t="shared" ca="1" si="20"/>
        <v>4.6645335453031567E-2</v>
      </c>
    </row>
    <row r="841" spans="6:7" x14ac:dyDescent="0.2">
      <c r="F841" s="591">
        <v>832</v>
      </c>
      <c r="G841" s="420">
        <f t="shared" ca="1" si="20"/>
        <v>-2.2285928889742856E-2</v>
      </c>
    </row>
    <row r="842" spans="6:7" x14ac:dyDescent="0.2">
      <c r="F842" s="591">
        <v>833</v>
      </c>
      <c r="G842" s="420">
        <f t="shared" ca="1" si="20"/>
        <v>5.4408716261694759E-2</v>
      </c>
    </row>
    <row r="843" spans="6:7" x14ac:dyDescent="0.2">
      <c r="F843" s="591">
        <v>834</v>
      </c>
      <c r="G843" s="420">
        <f t="shared" ref="G843:G906" ca="1" si="21">_xlfn.NORM.INV(RAND(), $M$11,$M$12)</f>
        <v>-3.6422760479205119E-2</v>
      </c>
    </row>
    <row r="844" spans="6:7" x14ac:dyDescent="0.2">
      <c r="F844" s="591">
        <v>835</v>
      </c>
      <c r="G844" s="420">
        <f t="shared" ca="1" si="21"/>
        <v>-2.3309521563183732E-2</v>
      </c>
    </row>
    <row r="845" spans="6:7" x14ac:dyDescent="0.2">
      <c r="F845" s="591">
        <v>836</v>
      </c>
      <c r="G845" s="420">
        <f t="shared" ca="1" si="21"/>
        <v>-6.4143169831322538E-2</v>
      </c>
    </row>
    <row r="846" spans="6:7" x14ac:dyDescent="0.2">
      <c r="F846" s="591">
        <v>837</v>
      </c>
      <c r="G846" s="420">
        <f t="shared" ca="1" si="21"/>
        <v>3.1608376755098429E-2</v>
      </c>
    </row>
    <row r="847" spans="6:7" x14ac:dyDescent="0.2">
      <c r="F847" s="591">
        <v>838</v>
      </c>
      <c r="G847" s="420">
        <f t="shared" ca="1" si="21"/>
        <v>-0.10303059308087273</v>
      </c>
    </row>
    <row r="848" spans="6:7" x14ac:dyDescent="0.2">
      <c r="F848" s="591">
        <v>839</v>
      </c>
      <c r="G848" s="420">
        <f t="shared" ca="1" si="21"/>
        <v>-4.2554989266218243E-3</v>
      </c>
    </row>
    <row r="849" spans="6:7" x14ac:dyDescent="0.2">
      <c r="F849" s="591">
        <v>840</v>
      </c>
      <c r="G849" s="420">
        <f t="shared" ca="1" si="21"/>
        <v>-7.2865172256443914E-3</v>
      </c>
    </row>
    <row r="850" spans="6:7" x14ac:dyDescent="0.2">
      <c r="F850" s="591">
        <v>841</v>
      </c>
      <c r="G850" s="420">
        <f t="shared" ca="1" si="21"/>
        <v>1.2482402121167156E-2</v>
      </c>
    </row>
    <row r="851" spans="6:7" x14ac:dyDescent="0.2">
      <c r="F851" s="591">
        <v>842</v>
      </c>
      <c r="G851" s="420">
        <f t="shared" ca="1" si="21"/>
        <v>-6.7605286128151337E-2</v>
      </c>
    </row>
    <row r="852" spans="6:7" x14ac:dyDescent="0.2">
      <c r="F852" s="591">
        <v>843</v>
      </c>
      <c r="G852" s="420">
        <f t="shared" ca="1" si="21"/>
        <v>-6.8630607762963078E-2</v>
      </c>
    </row>
    <row r="853" spans="6:7" x14ac:dyDescent="0.2">
      <c r="F853" s="591">
        <v>844</v>
      </c>
      <c r="G853" s="420">
        <f t="shared" ca="1" si="21"/>
        <v>0.1576585593883344</v>
      </c>
    </row>
    <row r="854" spans="6:7" x14ac:dyDescent="0.2">
      <c r="F854" s="591">
        <v>845</v>
      </c>
      <c r="G854" s="420">
        <f t="shared" ca="1" si="21"/>
        <v>-6.006668231844782E-2</v>
      </c>
    </row>
    <row r="855" spans="6:7" x14ac:dyDescent="0.2">
      <c r="F855" s="591">
        <v>846</v>
      </c>
      <c r="G855" s="420">
        <f t="shared" ca="1" si="21"/>
        <v>4.7980056896679932E-2</v>
      </c>
    </row>
    <row r="856" spans="6:7" x14ac:dyDescent="0.2">
      <c r="F856" s="591">
        <v>847</v>
      </c>
      <c r="G856" s="420">
        <f t="shared" ca="1" si="21"/>
        <v>2.7877871671536113E-2</v>
      </c>
    </row>
    <row r="857" spans="6:7" x14ac:dyDescent="0.2">
      <c r="F857" s="591">
        <v>848</v>
      </c>
      <c r="G857" s="420">
        <f t="shared" ca="1" si="21"/>
        <v>-6.7457290963523361E-2</v>
      </c>
    </row>
    <row r="858" spans="6:7" x14ac:dyDescent="0.2">
      <c r="F858" s="591">
        <v>849</v>
      </c>
      <c r="G858" s="420">
        <f t="shared" ca="1" si="21"/>
        <v>-0.15599200868921584</v>
      </c>
    </row>
    <row r="859" spans="6:7" x14ac:dyDescent="0.2">
      <c r="F859" s="591">
        <v>850</v>
      </c>
      <c r="G859" s="420">
        <f t="shared" ca="1" si="21"/>
        <v>5.7854853830742098E-2</v>
      </c>
    </row>
    <row r="860" spans="6:7" x14ac:dyDescent="0.2">
      <c r="F860" s="591">
        <v>851</v>
      </c>
      <c r="G860" s="420">
        <f t="shared" ca="1" si="21"/>
        <v>-8.9514058897245466E-2</v>
      </c>
    </row>
    <row r="861" spans="6:7" x14ac:dyDescent="0.2">
      <c r="F861" s="591">
        <v>852</v>
      </c>
      <c r="G861" s="420">
        <f t="shared" ca="1" si="21"/>
        <v>0.18220795527920583</v>
      </c>
    </row>
    <row r="862" spans="6:7" x14ac:dyDescent="0.2">
      <c r="F862" s="591">
        <v>853</v>
      </c>
      <c r="G862" s="420">
        <f t="shared" ca="1" si="21"/>
        <v>0.10241718479801228</v>
      </c>
    </row>
    <row r="863" spans="6:7" x14ac:dyDescent="0.2">
      <c r="F863" s="591">
        <v>854</v>
      </c>
      <c r="G863" s="420">
        <f t="shared" ca="1" si="21"/>
        <v>-2.9214746636468631E-2</v>
      </c>
    </row>
    <row r="864" spans="6:7" x14ac:dyDescent="0.2">
      <c r="F864" s="591">
        <v>855</v>
      </c>
      <c r="G864" s="420">
        <f t="shared" ca="1" si="21"/>
        <v>1.5120894313465444E-2</v>
      </c>
    </row>
    <row r="865" spans="6:7" x14ac:dyDescent="0.2">
      <c r="F865" s="591">
        <v>856</v>
      </c>
      <c r="G865" s="420">
        <f t="shared" ca="1" si="21"/>
        <v>0.12130738486827891</v>
      </c>
    </row>
    <row r="866" spans="6:7" x14ac:dyDescent="0.2">
      <c r="F866" s="591">
        <v>857</v>
      </c>
      <c r="G866" s="420">
        <f t="shared" ca="1" si="21"/>
        <v>-5.1954449626142055E-2</v>
      </c>
    </row>
    <row r="867" spans="6:7" x14ac:dyDescent="0.2">
      <c r="F867" s="591">
        <v>858</v>
      </c>
      <c r="G867" s="420">
        <f t="shared" ca="1" si="21"/>
        <v>5.6706063438220294E-2</v>
      </c>
    </row>
    <row r="868" spans="6:7" x14ac:dyDescent="0.2">
      <c r="F868" s="591">
        <v>859</v>
      </c>
      <c r="G868" s="420">
        <f t="shared" ca="1" si="21"/>
        <v>2.7495324870549818E-2</v>
      </c>
    </row>
    <row r="869" spans="6:7" x14ac:dyDescent="0.2">
      <c r="F869" s="591">
        <v>860</v>
      </c>
      <c r="G869" s="420">
        <f t="shared" ca="1" si="21"/>
        <v>-5.1705065627479889E-3</v>
      </c>
    </row>
    <row r="870" spans="6:7" x14ac:dyDescent="0.2">
      <c r="F870" s="591">
        <v>861</v>
      </c>
      <c r="G870" s="420">
        <f t="shared" ca="1" si="21"/>
        <v>3.5963178873068921E-2</v>
      </c>
    </row>
    <row r="871" spans="6:7" x14ac:dyDescent="0.2">
      <c r="F871" s="591">
        <v>862</v>
      </c>
      <c r="G871" s="420">
        <f t="shared" ca="1" si="21"/>
        <v>0.11654901326687493</v>
      </c>
    </row>
    <row r="872" spans="6:7" x14ac:dyDescent="0.2">
      <c r="F872" s="591">
        <v>863</v>
      </c>
      <c r="G872" s="420">
        <f t="shared" ca="1" si="21"/>
        <v>4.5533673467119617E-2</v>
      </c>
    </row>
    <row r="873" spans="6:7" x14ac:dyDescent="0.2">
      <c r="F873" s="591">
        <v>864</v>
      </c>
      <c r="G873" s="420">
        <f t="shared" ca="1" si="21"/>
        <v>3.7573671385302404E-2</v>
      </c>
    </row>
    <row r="874" spans="6:7" x14ac:dyDescent="0.2">
      <c r="F874" s="591">
        <v>865</v>
      </c>
      <c r="G874" s="420">
        <f t="shared" ca="1" si="21"/>
        <v>2.1297460622843441E-2</v>
      </c>
    </row>
    <row r="875" spans="6:7" x14ac:dyDescent="0.2">
      <c r="F875" s="591">
        <v>866</v>
      </c>
      <c r="G875" s="420">
        <f t="shared" ca="1" si="21"/>
        <v>0.10055780581151055</v>
      </c>
    </row>
    <row r="876" spans="6:7" x14ac:dyDescent="0.2">
      <c r="F876" s="591">
        <v>867</v>
      </c>
      <c r="G876" s="420">
        <f t="shared" ca="1" si="21"/>
        <v>-6.4246777062222912E-2</v>
      </c>
    </row>
    <row r="877" spans="6:7" x14ac:dyDescent="0.2">
      <c r="F877" s="591">
        <v>868</v>
      </c>
      <c r="G877" s="420">
        <f t="shared" ca="1" si="21"/>
        <v>2.9965963321501993E-2</v>
      </c>
    </row>
    <row r="878" spans="6:7" x14ac:dyDescent="0.2">
      <c r="F878" s="591">
        <v>869</v>
      </c>
      <c r="G878" s="420">
        <f t="shared" ca="1" si="21"/>
        <v>7.1778391432349542E-2</v>
      </c>
    </row>
    <row r="879" spans="6:7" x14ac:dyDescent="0.2">
      <c r="F879" s="591">
        <v>870</v>
      </c>
      <c r="G879" s="420">
        <f t="shared" ca="1" si="21"/>
        <v>-5.4806585312150435E-4</v>
      </c>
    </row>
    <row r="880" spans="6:7" x14ac:dyDescent="0.2">
      <c r="F880" s="591">
        <v>871</v>
      </c>
      <c r="G880" s="420">
        <f t="shared" ca="1" si="21"/>
        <v>9.9294668372183828E-3</v>
      </c>
    </row>
    <row r="881" spans="6:7" x14ac:dyDescent="0.2">
      <c r="F881" s="591">
        <v>872</v>
      </c>
      <c r="G881" s="420">
        <f t="shared" ca="1" si="21"/>
        <v>2.1158535665689975E-3</v>
      </c>
    </row>
    <row r="882" spans="6:7" x14ac:dyDescent="0.2">
      <c r="F882" s="591">
        <v>873</v>
      </c>
      <c r="G882" s="420">
        <f t="shared" ca="1" si="21"/>
        <v>1.4051785256692326E-2</v>
      </c>
    </row>
    <row r="883" spans="6:7" x14ac:dyDescent="0.2">
      <c r="F883" s="591">
        <v>874</v>
      </c>
      <c r="G883" s="420">
        <f t="shared" ca="1" si="21"/>
        <v>1.285658220914895E-2</v>
      </c>
    </row>
    <row r="884" spans="6:7" x14ac:dyDescent="0.2">
      <c r="F884" s="591">
        <v>875</v>
      </c>
      <c r="G884" s="420">
        <f t="shared" ca="1" si="21"/>
        <v>-5.3601038951649679E-2</v>
      </c>
    </row>
    <row r="885" spans="6:7" x14ac:dyDescent="0.2">
      <c r="F885" s="591">
        <v>876</v>
      </c>
      <c r="G885" s="420">
        <f t="shared" ca="1" si="21"/>
        <v>-4.5961341375891709E-3</v>
      </c>
    </row>
    <row r="886" spans="6:7" x14ac:dyDescent="0.2">
      <c r="F886" s="591">
        <v>877</v>
      </c>
      <c r="G886" s="420">
        <f t="shared" ca="1" si="21"/>
        <v>7.8929862481175811E-2</v>
      </c>
    </row>
    <row r="887" spans="6:7" x14ac:dyDescent="0.2">
      <c r="F887" s="591">
        <v>878</v>
      </c>
      <c r="G887" s="420">
        <f t="shared" ca="1" si="21"/>
        <v>3.3011160789269113E-2</v>
      </c>
    </row>
    <row r="888" spans="6:7" x14ac:dyDescent="0.2">
      <c r="F888" s="591">
        <v>879</v>
      </c>
      <c r="G888" s="420">
        <f t="shared" ca="1" si="21"/>
        <v>-4.8824632811634655E-2</v>
      </c>
    </row>
    <row r="889" spans="6:7" x14ac:dyDescent="0.2">
      <c r="F889" s="591">
        <v>880</v>
      </c>
      <c r="G889" s="420">
        <f t="shared" ca="1" si="21"/>
        <v>0.11151529939365341</v>
      </c>
    </row>
    <row r="890" spans="6:7" x14ac:dyDescent="0.2">
      <c r="F890" s="591">
        <v>881</v>
      </c>
      <c r="G890" s="420">
        <f t="shared" ca="1" si="21"/>
        <v>3.6440666111574732E-2</v>
      </c>
    </row>
    <row r="891" spans="6:7" x14ac:dyDescent="0.2">
      <c r="F891" s="591">
        <v>882</v>
      </c>
      <c r="G891" s="420">
        <f t="shared" ca="1" si="21"/>
        <v>-1.5974950783708287E-2</v>
      </c>
    </row>
    <row r="892" spans="6:7" x14ac:dyDescent="0.2">
      <c r="F892" s="591">
        <v>883</v>
      </c>
      <c r="G892" s="420">
        <f t="shared" ca="1" si="21"/>
        <v>0.1389680120783357</v>
      </c>
    </row>
    <row r="893" spans="6:7" x14ac:dyDescent="0.2">
      <c r="F893" s="591">
        <v>884</v>
      </c>
      <c r="G893" s="420">
        <f t="shared" ca="1" si="21"/>
        <v>-0.14661728779302541</v>
      </c>
    </row>
    <row r="894" spans="6:7" x14ac:dyDescent="0.2">
      <c r="F894" s="591">
        <v>885</v>
      </c>
      <c r="G894" s="420">
        <f t="shared" ca="1" si="21"/>
        <v>3.0918392940086501E-2</v>
      </c>
    </row>
    <row r="895" spans="6:7" x14ac:dyDescent="0.2">
      <c r="F895" s="591">
        <v>886</v>
      </c>
      <c r="G895" s="420">
        <f t="shared" ca="1" si="21"/>
        <v>0.14256464781199291</v>
      </c>
    </row>
    <row r="896" spans="6:7" x14ac:dyDescent="0.2">
      <c r="F896" s="591">
        <v>887</v>
      </c>
      <c r="G896" s="420">
        <f t="shared" ca="1" si="21"/>
        <v>0.1564173817136579</v>
      </c>
    </row>
    <row r="897" spans="6:7" x14ac:dyDescent="0.2">
      <c r="F897" s="591">
        <v>888</v>
      </c>
      <c r="G897" s="420">
        <f t="shared" ca="1" si="21"/>
        <v>0.12733219625945558</v>
      </c>
    </row>
    <row r="898" spans="6:7" x14ac:dyDescent="0.2">
      <c r="F898" s="591">
        <v>889</v>
      </c>
      <c r="G898" s="420">
        <f t="shared" ca="1" si="21"/>
        <v>4.5537077166449696E-2</v>
      </c>
    </row>
    <row r="899" spans="6:7" x14ac:dyDescent="0.2">
      <c r="F899" s="591">
        <v>890</v>
      </c>
      <c r="G899" s="420">
        <f t="shared" ca="1" si="21"/>
        <v>9.7709522866108511E-2</v>
      </c>
    </row>
    <row r="900" spans="6:7" x14ac:dyDescent="0.2">
      <c r="F900" s="591">
        <v>891</v>
      </c>
      <c r="G900" s="420">
        <f t="shared" ca="1" si="21"/>
        <v>5.5100255983470028E-2</v>
      </c>
    </row>
    <row r="901" spans="6:7" x14ac:dyDescent="0.2">
      <c r="F901" s="591">
        <v>892</v>
      </c>
      <c r="G901" s="420">
        <f t="shared" ca="1" si="21"/>
        <v>3.547082477791938E-3</v>
      </c>
    </row>
    <row r="902" spans="6:7" x14ac:dyDescent="0.2">
      <c r="F902" s="591">
        <v>893</v>
      </c>
      <c r="G902" s="420">
        <f t="shared" ca="1" si="21"/>
        <v>3.0020309994847224E-2</v>
      </c>
    </row>
    <row r="903" spans="6:7" x14ac:dyDescent="0.2">
      <c r="F903" s="591">
        <v>894</v>
      </c>
      <c r="G903" s="420">
        <f t="shared" ca="1" si="21"/>
        <v>-5.2555429901621556E-3</v>
      </c>
    </row>
    <row r="904" spans="6:7" x14ac:dyDescent="0.2">
      <c r="F904" s="591">
        <v>895</v>
      </c>
      <c r="G904" s="420">
        <f t="shared" ca="1" si="21"/>
        <v>-8.5735829007393793E-2</v>
      </c>
    </row>
    <row r="905" spans="6:7" x14ac:dyDescent="0.2">
      <c r="F905" s="591">
        <v>896</v>
      </c>
      <c r="G905" s="420">
        <f t="shared" ca="1" si="21"/>
        <v>3.183208308149546E-2</v>
      </c>
    </row>
    <row r="906" spans="6:7" x14ac:dyDescent="0.2">
      <c r="F906" s="591">
        <v>897</v>
      </c>
      <c r="G906" s="420">
        <f t="shared" ca="1" si="21"/>
        <v>8.2959624744325416E-2</v>
      </c>
    </row>
    <row r="907" spans="6:7" x14ac:dyDescent="0.2">
      <c r="F907" s="591">
        <v>898</v>
      </c>
      <c r="G907" s="420">
        <f t="shared" ref="G907:G970" ca="1" si="22">_xlfn.NORM.INV(RAND(), $M$11,$M$12)</f>
        <v>-3.091420844996828E-2</v>
      </c>
    </row>
    <row r="908" spans="6:7" x14ac:dyDescent="0.2">
      <c r="F908" s="591">
        <v>899</v>
      </c>
      <c r="G908" s="420">
        <f t="shared" ca="1" si="22"/>
        <v>4.1045980319437306E-2</v>
      </c>
    </row>
    <row r="909" spans="6:7" x14ac:dyDescent="0.2">
      <c r="F909" s="591">
        <v>900</v>
      </c>
      <c r="G909" s="420">
        <f t="shared" ca="1" si="22"/>
        <v>-1.5221353699742587E-2</v>
      </c>
    </row>
    <row r="910" spans="6:7" x14ac:dyDescent="0.2">
      <c r="F910" s="591">
        <v>901</v>
      </c>
      <c r="G910" s="420">
        <f t="shared" ca="1" si="22"/>
        <v>4.7364546751746353E-2</v>
      </c>
    </row>
    <row r="911" spans="6:7" x14ac:dyDescent="0.2">
      <c r="F911" s="591">
        <v>902</v>
      </c>
      <c r="G911" s="420">
        <f t="shared" ca="1" si="22"/>
        <v>-0.13378243887028762</v>
      </c>
    </row>
    <row r="912" spans="6:7" x14ac:dyDescent="0.2">
      <c r="F912" s="591">
        <v>903</v>
      </c>
      <c r="G912" s="420">
        <f t="shared" ca="1" si="22"/>
        <v>-3.2766851889531462E-2</v>
      </c>
    </row>
    <row r="913" spans="6:7" x14ac:dyDescent="0.2">
      <c r="F913" s="591">
        <v>904</v>
      </c>
      <c r="G913" s="420">
        <f t="shared" ca="1" si="22"/>
        <v>-7.2978518084534025E-2</v>
      </c>
    </row>
    <row r="914" spans="6:7" x14ac:dyDescent="0.2">
      <c r="F914" s="591">
        <v>905</v>
      </c>
      <c r="G914" s="420">
        <f t="shared" ca="1" si="22"/>
        <v>0.15948572406973538</v>
      </c>
    </row>
    <row r="915" spans="6:7" x14ac:dyDescent="0.2">
      <c r="F915" s="591">
        <v>906</v>
      </c>
      <c r="G915" s="420">
        <f t="shared" ca="1" si="22"/>
        <v>1.349502585793691E-2</v>
      </c>
    </row>
    <row r="916" spans="6:7" x14ac:dyDescent="0.2">
      <c r="F916" s="591">
        <v>907</v>
      </c>
      <c r="G916" s="420">
        <f t="shared" ca="1" si="22"/>
        <v>-7.3664993966621309E-2</v>
      </c>
    </row>
    <row r="917" spans="6:7" x14ac:dyDescent="0.2">
      <c r="F917" s="591">
        <v>908</v>
      </c>
      <c r="G917" s="420">
        <f t="shared" ca="1" si="22"/>
        <v>-9.3464364880926062E-2</v>
      </c>
    </row>
    <row r="918" spans="6:7" x14ac:dyDescent="0.2">
      <c r="F918" s="591">
        <v>909</v>
      </c>
      <c r="G918" s="420">
        <f t="shared" ca="1" si="22"/>
        <v>0.11668501166067943</v>
      </c>
    </row>
    <row r="919" spans="6:7" x14ac:dyDescent="0.2">
      <c r="F919" s="591">
        <v>910</v>
      </c>
      <c r="G919" s="420">
        <f t="shared" ca="1" si="22"/>
        <v>0.13051024604362646</v>
      </c>
    </row>
    <row r="920" spans="6:7" x14ac:dyDescent="0.2">
      <c r="F920" s="591">
        <v>911</v>
      </c>
      <c r="G920" s="420">
        <f t="shared" ca="1" si="22"/>
        <v>-5.3449371085070183E-2</v>
      </c>
    </row>
    <row r="921" spans="6:7" x14ac:dyDescent="0.2">
      <c r="F921" s="591">
        <v>912</v>
      </c>
      <c r="G921" s="420">
        <f t="shared" ca="1" si="22"/>
        <v>0.13356934923122912</v>
      </c>
    </row>
    <row r="922" spans="6:7" x14ac:dyDescent="0.2">
      <c r="F922" s="591">
        <v>913</v>
      </c>
      <c r="G922" s="420">
        <f t="shared" ca="1" si="22"/>
        <v>5.4035397196579321E-2</v>
      </c>
    </row>
    <row r="923" spans="6:7" x14ac:dyDescent="0.2">
      <c r="F923" s="591">
        <v>914</v>
      </c>
      <c r="G923" s="420">
        <f t="shared" ca="1" si="22"/>
        <v>9.3813117176191375E-3</v>
      </c>
    </row>
    <row r="924" spans="6:7" x14ac:dyDescent="0.2">
      <c r="F924" s="591">
        <v>915</v>
      </c>
      <c r="G924" s="420">
        <f t="shared" ca="1" si="22"/>
        <v>3.4464668558093978E-5</v>
      </c>
    </row>
    <row r="925" spans="6:7" x14ac:dyDescent="0.2">
      <c r="F925" s="591">
        <v>916</v>
      </c>
      <c r="G925" s="420">
        <f t="shared" ca="1" si="22"/>
        <v>-3.2075535597451396E-2</v>
      </c>
    </row>
    <row r="926" spans="6:7" x14ac:dyDescent="0.2">
      <c r="F926" s="591">
        <v>917</v>
      </c>
      <c r="G926" s="420">
        <f t="shared" ca="1" si="22"/>
        <v>0.10121660838659909</v>
      </c>
    </row>
    <row r="927" spans="6:7" x14ac:dyDescent="0.2">
      <c r="F927" s="591">
        <v>918</v>
      </c>
      <c r="G927" s="420">
        <f t="shared" ca="1" si="22"/>
        <v>-8.3387628616033993E-3</v>
      </c>
    </row>
    <row r="928" spans="6:7" x14ac:dyDescent="0.2">
      <c r="F928" s="591">
        <v>919</v>
      </c>
      <c r="G928" s="420">
        <f t="shared" ca="1" si="22"/>
        <v>-1.9421214578288624E-2</v>
      </c>
    </row>
    <row r="929" spans="6:7" x14ac:dyDescent="0.2">
      <c r="F929" s="591">
        <v>920</v>
      </c>
      <c r="G929" s="420">
        <f t="shared" ca="1" si="22"/>
        <v>4.854600515457724E-3</v>
      </c>
    </row>
    <row r="930" spans="6:7" x14ac:dyDescent="0.2">
      <c r="F930" s="591">
        <v>921</v>
      </c>
      <c r="G930" s="420">
        <f t="shared" ca="1" si="22"/>
        <v>9.211076990071472E-2</v>
      </c>
    </row>
    <row r="931" spans="6:7" x14ac:dyDescent="0.2">
      <c r="F931" s="591">
        <v>922</v>
      </c>
      <c r="G931" s="420">
        <f t="shared" ca="1" si="22"/>
        <v>0.12377671031126961</v>
      </c>
    </row>
    <row r="932" spans="6:7" x14ac:dyDescent="0.2">
      <c r="F932" s="591">
        <v>923</v>
      </c>
      <c r="G932" s="420">
        <f t="shared" ca="1" si="22"/>
        <v>-4.975526835224521E-2</v>
      </c>
    </row>
    <row r="933" spans="6:7" x14ac:dyDescent="0.2">
      <c r="F933" s="591">
        <v>924</v>
      </c>
      <c r="G933" s="420">
        <f t="shared" ca="1" si="22"/>
        <v>5.161140227087245E-2</v>
      </c>
    </row>
    <row r="934" spans="6:7" x14ac:dyDescent="0.2">
      <c r="F934" s="591">
        <v>925</v>
      </c>
      <c r="G934" s="420">
        <f t="shared" ca="1" si="22"/>
        <v>7.9248129387871361E-2</v>
      </c>
    </row>
    <row r="935" spans="6:7" x14ac:dyDescent="0.2">
      <c r="F935" s="591">
        <v>926</v>
      </c>
      <c r="G935" s="420">
        <f t="shared" ca="1" si="22"/>
        <v>7.5139806296688996E-2</v>
      </c>
    </row>
    <row r="936" spans="6:7" x14ac:dyDescent="0.2">
      <c r="F936" s="591">
        <v>927</v>
      </c>
      <c r="G936" s="420">
        <f t="shared" ca="1" si="22"/>
        <v>0.13133721469344856</v>
      </c>
    </row>
    <row r="937" spans="6:7" x14ac:dyDescent="0.2">
      <c r="F937" s="591">
        <v>928</v>
      </c>
      <c r="G937" s="420">
        <f t="shared" ca="1" si="22"/>
        <v>-5.3357763111432366E-2</v>
      </c>
    </row>
    <row r="938" spans="6:7" x14ac:dyDescent="0.2">
      <c r="F938" s="591">
        <v>929</v>
      </c>
      <c r="G938" s="420">
        <f t="shared" ca="1" si="22"/>
        <v>1.5830880088695799E-2</v>
      </c>
    </row>
    <row r="939" spans="6:7" x14ac:dyDescent="0.2">
      <c r="F939" s="591">
        <v>930</v>
      </c>
      <c r="G939" s="420">
        <f t="shared" ca="1" si="22"/>
        <v>1.4869926249467169E-2</v>
      </c>
    </row>
    <row r="940" spans="6:7" x14ac:dyDescent="0.2">
      <c r="F940" s="591">
        <v>931</v>
      </c>
      <c r="G940" s="420">
        <f t="shared" ca="1" si="22"/>
        <v>8.7695157647279767E-2</v>
      </c>
    </row>
    <row r="941" spans="6:7" x14ac:dyDescent="0.2">
      <c r="F941" s="591">
        <v>932</v>
      </c>
      <c r="G941" s="420">
        <f t="shared" ca="1" si="22"/>
        <v>-0.10204435374976292</v>
      </c>
    </row>
    <row r="942" spans="6:7" x14ac:dyDescent="0.2">
      <c r="F942" s="591">
        <v>933</v>
      </c>
      <c r="G942" s="420">
        <f t="shared" ca="1" si="22"/>
        <v>2.5211239086234186E-2</v>
      </c>
    </row>
    <row r="943" spans="6:7" x14ac:dyDescent="0.2">
      <c r="F943" s="591">
        <v>934</v>
      </c>
      <c r="G943" s="420">
        <f t="shared" ca="1" si="22"/>
        <v>7.6119592630777985E-2</v>
      </c>
    </row>
    <row r="944" spans="6:7" x14ac:dyDescent="0.2">
      <c r="F944" s="591">
        <v>935</v>
      </c>
      <c r="G944" s="420">
        <f t="shared" ca="1" si="22"/>
        <v>3.1087868567451823E-2</v>
      </c>
    </row>
    <row r="945" spans="6:7" x14ac:dyDescent="0.2">
      <c r="F945" s="591">
        <v>936</v>
      </c>
      <c r="G945" s="420">
        <f t="shared" ca="1" si="22"/>
        <v>6.8638691316246239E-2</v>
      </c>
    </row>
    <row r="946" spans="6:7" x14ac:dyDescent="0.2">
      <c r="F946" s="591">
        <v>937</v>
      </c>
      <c r="G946" s="420">
        <f t="shared" ca="1" si="22"/>
        <v>-5.4620571025912473E-2</v>
      </c>
    </row>
    <row r="947" spans="6:7" x14ac:dyDescent="0.2">
      <c r="F947" s="591">
        <v>938</v>
      </c>
      <c r="G947" s="420">
        <f t="shared" ca="1" si="22"/>
        <v>-0.10604813875379421</v>
      </c>
    </row>
    <row r="948" spans="6:7" x14ac:dyDescent="0.2">
      <c r="F948" s="591">
        <v>939</v>
      </c>
      <c r="G948" s="420">
        <f t="shared" ca="1" si="22"/>
        <v>-5.2666289866775379E-2</v>
      </c>
    </row>
    <row r="949" spans="6:7" x14ac:dyDescent="0.2">
      <c r="F949" s="591">
        <v>940</v>
      </c>
      <c r="G949" s="420">
        <f t="shared" ca="1" si="22"/>
        <v>2.328564117872331E-2</v>
      </c>
    </row>
    <row r="950" spans="6:7" x14ac:dyDescent="0.2">
      <c r="F950" s="591">
        <v>941</v>
      </c>
      <c r="G950" s="420">
        <f t="shared" ca="1" si="22"/>
        <v>-7.0406858794084565E-2</v>
      </c>
    </row>
    <row r="951" spans="6:7" x14ac:dyDescent="0.2">
      <c r="F951" s="591">
        <v>942</v>
      </c>
      <c r="G951" s="420">
        <f t="shared" ca="1" si="22"/>
        <v>3.5353382010493654E-3</v>
      </c>
    </row>
    <row r="952" spans="6:7" x14ac:dyDescent="0.2">
      <c r="F952" s="591">
        <v>943</v>
      </c>
      <c r="G952" s="420">
        <f t="shared" ca="1" si="22"/>
        <v>6.1348357086270525E-2</v>
      </c>
    </row>
    <row r="953" spans="6:7" x14ac:dyDescent="0.2">
      <c r="F953" s="591">
        <v>944</v>
      </c>
      <c r="G953" s="420">
        <f t="shared" ca="1" si="22"/>
        <v>3.6956699431110782E-2</v>
      </c>
    </row>
    <row r="954" spans="6:7" x14ac:dyDescent="0.2">
      <c r="F954" s="591">
        <v>945</v>
      </c>
      <c r="G954" s="420">
        <f t="shared" ca="1" si="22"/>
        <v>6.6351436128531088E-2</v>
      </c>
    </row>
    <row r="955" spans="6:7" x14ac:dyDescent="0.2">
      <c r="F955" s="591">
        <v>946</v>
      </c>
      <c r="G955" s="420">
        <f t="shared" ca="1" si="22"/>
        <v>-4.9910437772971397E-2</v>
      </c>
    </row>
    <row r="956" spans="6:7" x14ac:dyDescent="0.2">
      <c r="F956" s="591">
        <v>947</v>
      </c>
      <c r="G956" s="420">
        <f t="shared" ca="1" si="22"/>
        <v>-8.5425590523903958E-3</v>
      </c>
    </row>
    <row r="957" spans="6:7" x14ac:dyDescent="0.2">
      <c r="F957" s="591">
        <v>948</v>
      </c>
      <c r="G957" s="420">
        <f t="shared" ca="1" si="22"/>
        <v>4.4002017256775619E-2</v>
      </c>
    </row>
    <row r="958" spans="6:7" x14ac:dyDescent="0.2">
      <c r="F958" s="591">
        <v>949</v>
      </c>
      <c r="G958" s="420">
        <f t="shared" ca="1" si="22"/>
        <v>-0.12878065820702816</v>
      </c>
    </row>
    <row r="959" spans="6:7" x14ac:dyDescent="0.2">
      <c r="F959" s="591">
        <v>950</v>
      </c>
      <c r="G959" s="420">
        <f t="shared" ca="1" si="22"/>
        <v>3.4753100539409235E-2</v>
      </c>
    </row>
    <row r="960" spans="6:7" x14ac:dyDescent="0.2">
      <c r="F960" s="591">
        <v>951</v>
      </c>
      <c r="G960" s="420">
        <f t="shared" ca="1" si="22"/>
        <v>9.6171089079487848E-3</v>
      </c>
    </row>
    <row r="961" spans="6:7" x14ac:dyDescent="0.2">
      <c r="F961" s="591">
        <v>952</v>
      </c>
      <c r="G961" s="420">
        <f t="shared" ca="1" si="22"/>
        <v>-2.3073842856829261E-3</v>
      </c>
    </row>
    <row r="962" spans="6:7" x14ac:dyDescent="0.2">
      <c r="F962" s="591">
        <v>953</v>
      </c>
      <c r="G962" s="420">
        <f t="shared" ca="1" si="22"/>
        <v>4.0387029011293291E-2</v>
      </c>
    </row>
    <row r="963" spans="6:7" x14ac:dyDescent="0.2">
      <c r="F963" s="591">
        <v>954</v>
      </c>
      <c r="G963" s="420">
        <f t="shared" ca="1" si="22"/>
        <v>-3.3415006030856773E-2</v>
      </c>
    </row>
    <row r="964" spans="6:7" x14ac:dyDescent="0.2">
      <c r="F964" s="591">
        <v>955</v>
      </c>
      <c r="G964" s="420">
        <f t="shared" ca="1" si="22"/>
        <v>-2.0003341957678094E-3</v>
      </c>
    </row>
    <row r="965" spans="6:7" x14ac:dyDescent="0.2">
      <c r="F965" s="591">
        <v>956</v>
      </c>
      <c r="G965" s="420">
        <f t="shared" ca="1" si="22"/>
        <v>4.2836939288072697E-3</v>
      </c>
    </row>
    <row r="966" spans="6:7" x14ac:dyDescent="0.2">
      <c r="F966" s="591">
        <v>957</v>
      </c>
      <c r="G966" s="420">
        <f t="shared" ca="1" si="22"/>
        <v>-8.153480556204401E-2</v>
      </c>
    </row>
    <row r="967" spans="6:7" x14ac:dyDescent="0.2">
      <c r="F967" s="591">
        <v>958</v>
      </c>
      <c r="G967" s="420">
        <f t="shared" ca="1" si="22"/>
        <v>0.11522244386776832</v>
      </c>
    </row>
    <row r="968" spans="6:7" x14ac:dyDescent="0.2">
      <c r="F968" s="591">
        <v>959</v>
      </c>
      <c r="G968" s="420">
        <f t="shared" ca="1" si="22"/>
        <v>0.12064297673246714</v>
      </c>
    </row>
    <row r="969" spans="6:7" x14ac:dyDescent="0.2">
      <c r="F969" s="591">
        <v>960</v>
      </c>
      <c r="G969" s="420">
        <f t="shared" ca="1" si="22"/>
        <v>-3.9960928665383921E-2</v>
      </c>
    </row>
    <row r="970" spans="6:7" x14ac:dyDescent="0.2">
      <c r="F970" s="591">
        <v>961</v>
      </c>
      <c r="G970" s="420">
        <f t="shared" ca="1" si="22"/>
        <v>4.9667154788011647E-2</v>
      </c>
    </row>
    <row r="971" spans="6:7" x14ac:dyDescent="0.2">
      <c r="F971" s="591">
        <v>962</v>
      </c>
      <c r="G971" s="420">
        <f t="shared" ref="G971:G1034" ca="1" si="23">_xlfn.NORM.INV(RAND(), $M$11,$M$12)</f>
        <v>4.2814023688211786E-2</v>
      </c>
    </row>
    <row r="972" spans="6:7" x14ac:dyDescent="0.2">
      <c r="F972" s="591">
        <v>963</v>
      </c>
      <c r="G972" s="420">
        <f t="shared" ca="1" si="23"/>
        <v>-2.9794919588470022E-2</v>
      </c>
    </row>
    <row r="973" spans="6:7" x14ac:dyDescent="0.2">
      <c r="F973" s="591">
        <v>964</v>
      </c>
      <c r="G973" s="420">
        <f t="shared" ca="1" si="23"/>
        <v>0.12449547498973501</v>
      </c>
    </row>
    <row r="974" spans="6:7" x14ac:dyDescent="0.2">
      <c r="F974" s="591">
        <v>965</v>
      </c>
      <c r="G974" s="420">
        <f t="shared" ca="1" si="23"/>
        <v>9.4609734863467548E-2</v>
      </c>
    </row>
    <row r="975" spans="6:7" x14ac:dyDescent="0.2">
      <c r="F975" s="591">
        <v>966</v>
      </c>
      <c r="G975" s="420">
        <f t="shared" ca="1" si="23"/>
        <v>-5.3345782048225529E-2</v>
      </c>
    </row>
    <row r="976" spans="6:7" x14ac:dyDescent="0.2">
      <c r="F976" s="591">
        <v>967</v>
      </c>
      <c r="G976" s="420">
        <f t="shared" ca="1" si="23"/>
        <v>8.6731186468248622E-2</v>
      </c>
    </row>
    <row r="977" spans="6:7" x14ac:dyDescent="0.2">
      <c r="F977" s="591">
        <v>968</v>
      </c>
      <c r="G977" s="420">
        <f t="shared" ca="1" si="23"/>
        <v>0.10121554376905537</v>
      </c>
    </row>
    <row r="978" spans="6:7" x14ac:dyDescent="0.2">
      <c r="F978" s="591">
        <v>969</v>
      </c>
      <c r="G978" s="420">
        <f t="shared" ca="1" si="23"/>
        <v>-5.8010669008982996E-2</v>
      </c>
    </row>
    <row r="979" spans="6:7" x14ac:dyDescent="0.2">
      <c r="F979" s="591">
        <v>970</v>
      </c>
      <c r="G979" s="420">
        <f t="shared" ca="1" si="23"/>
        <v>1.6881837024016869E-2</v>
      </c>
    </row>
    <row r="980" spans="6:7" x14ac:dyDescent="0.2">
      <c r="F980" s="591">
        <v>971</v>
      </c>
      <c r="G980" s="420">
        <f t="shared" ca="1" si="23"/>
        <v>0.10075549417182315</v>
      </c>
    </row>
    <row r="981" spans="6:7" x14ac:dyDescent="0.2">
      <c r="F981" s="591">
        <v>972</v>
      </c>
      <c r="G981" s="420">
        <f t="shared" ca="1" si="23"/>
        <v>3.2536316036309854E-2</v>
      </c>
    </row>
    <row r="982" spans="6:7" x14ac:dyDescent="0.2">
      <c r="F982" s="591">
        <v>973</v>
      </c>
      <c r="G982" s="420">
        <f t="shared" ca="1" si="23"/>
        <v>2.564448847257637E-2</v>
      </c>
    </row>
    <row r="983" spans="6:7" x14ac:dyDescent="0.2">
      <c r="F983" s="591">
        <v>974</v>
      </c>
      <c r="G983" s="420">
        <f t="shared" ca="1" si="23"/>
        <v>-0.11878476699477659</v>
      </c>
    </row>
    <row r="984" spans="6:7" x14ac:dyDescent="0.2">
      <c r="F984" s="591">
        <v>975</v>
      </c>
      <c r="G984" s="420">
        <f t="shared" ca="1" si="23"/>
        <v>5.0342122916677251E-2</v>
      </c>
    </row>
    <row r="985" spans="6:7" x14ac:dyDescent="0.2">
      <c r="F985" s="591">
        <v>976</v>
      </c>
      <c r="G985" s="420">
        <f t="shared" ca="1" si="23"/>
        <v>-3.749486965319496E-3</v>
      </c>
    </row>
    <row r="986" spans="6:7" x14ac:dyDescent="0.2">
      <c r="F986" s="591">
        <v>977</v>
      </c>
      <c r="G986" s="420">
        <f t="shared" ca="1" si="23"/>
        <v>-9.4172311958923227E-2</v>
      </c>
    </row>
    <row r="987" spans="6:7" x14ac:dyDescent="0.2">
      <c r="F987" s="591">
        <v>978</v>
      </c>
      <c r="G987" s="420">
        <f t="shared" ca="1" si="23"/>
        <v>9.6632703628649869E-2</v>
      </c>
    </row>
    <row r="988" spans="6:7" x14ac:dyDescent="0.2">
      <c r="F988" s="591">
        <v>979</v>
      </c>
      <c r="G988" s="420">
        <f t="shared" ca="1" si="23"/>
        <v>-8.4201587439915085E-2</v>
      </c>
    </row>
    <row r="989" spans="6:7" x14ac:dyDescent="0.2">
      <c r="F989" s="591">
        <v>980</v>
      </c>
      <c r="G989" s="420">
        <f t="shared" ca="1" si="23"/>
        <v>-6.7783983905918957E-2</v>
      </c>
    </row>
    <row r="990" spans="6:7" x14ac:dyDescent="0.2">
      <c r="F990" s="591">
        <v>981</v>
      </c>
      <c r="G990" s="420">
        <f t="shared" ca="1" si="23"/>
        <v>-2.2183038517872702E-2</v>
      </c>
    </row>
    <row r="991" spans="6:7" x14ac:dyDescent="0.2">
      <c r="F991" s="591">
        <v>982</v>
      </c>
      <c r="G991" s="420">
        <f t="shared" ca="1" si="23"/>
        <v>-8.1019859043786793E-2</v>
      </c>
    </row>
    <row r="992" spans="6:7" x14ac:dyDescent="0.2">
      <c r="F992" s="591">
        <v>983</v>
      </c>
      <c r="G992" s="420">
        <f t="shared" ca="1" si="23"/>
        <v>1.1409141736873161E-2</v>
      </c>
    </row>
    <row r="993" spans="6:7" x14ac:dyDescent="0.2">
      <c r="F993" s="591">
        <v>984</v>
      </c>
      <c r="G993" s="420">
        <f t="shared" ca="1" si="23"/>
        <v>0.1954402936998047</v>
      </c>
    </row>
    <row r="994" spans="6:7" x14ac:dyDescent="0.2">
      <c r="F994" s="591">
        <v>985</v>
      </c>
      <c r="G994" s="420">
        <f t="shared" ca="1" si="23"/>
        <v>7.1030652620286391E-2</v>
      </c>
    </row>
    <row r="995" spans="6:7" x14ac:dyDescent="0.2">
      <c r="F995" s="591">
        <v>986</v>
      </c>
      <c r="G995" s="420">
        <f t="shared" ca="1" si="23"/>
        <v>0.12916798451511965</v>
      </c>
    </row>
    <row r="996" spans="6:7" x14ac:dyDescent="0.2">
      <c r="F996" s="591">
        <v>987</v>
      </c>
      <c r="G996" s="420">
        <f t="shared" ca="1" si="23"/>
        <v>6.6750770137022755E-2</v>
      </c>
    </row>
    <row r="997" spans="6:7" x14ac:dyDescent="0.2">
      <c r="F997" s="591">
        <v>988</v>
      </c>
      <c r="G997" s="420">
        <f t="shared" ca="1" si="23"/>
        <v>-5.8206308720682637E-2</v>
      </c>
    </row>
    <row r="998" spans="6:7" x14ac:dyDescent="0.2">
      <c r="F998" s="591">
        <v>989</v>
      </c>
      <c r="G998" s="420">
        <f t="shared" ca="1" si="23"/>
        <v>-6.0092787252869886E-2</v>
      </c>
    </row>
    <row r="999" spans="6:7" x14ac:dyDescent="0.2">
      <c r="F999" s="591">
        <v>990</v>
      </c>
      <c r="G999" s="420">
        <f t="shared" ca="1" si="23"/>
        <v>-3.800305968908041E-2</v>
      </c>
    </row>
    <row r="1000" spans="6:7" x14ac:dyDescent="0.2">
      <c r="F1000" s="591">
        <v>991</v>
      </c>
      <c r="G1000" s="420">
        <f t="shared" ca="1" si="23"/>
        <v>-0.13000185037600034</v>
      </c>
    </row>
    <row r="1001" spans="6:7" x14ac:dyDescent="0.2">
      <c r="F1001" s="591">
        <v>992</v>
      </c>
      <c r="G1001" s="420">
        <f t="shared" ca="1" si="23"/>
        <v>-3.5084370615257668E-3</v>
      </c>
    </row>
    <row r="1002" spans="6:7" x14ac:dyDescent="0.2">
      <c r="F1002" s="591">
        <v>993</v>
      </c>
      <c r="G1002" s="420">
        <f t="shared" ca="1" si="23"/>
        <v>2.7228965671085403E-2</v>
      </c>
    </row>
    <row r="1003" spans="6:7" x14ac:dyDescent="0.2">
      <c r="F1003" s="591">
        <v>994</v>
      </c>
      <c r="G1003" s="420">
        <f t="shared" ca="1" si="23"/>
        <v>0.12686230741194285</v>
      </c>
    </row>
    <row r="1004" spans="6:7" x14ac:dyDescent="0.2">
      <c r="F1004" s="591">
        <v>995</v>
      </c>
      <c r="G1004" s="420">
        <f t="shared" ca="1" si="23"/>
        <v>-0.13431215664460444</v>
      </c>
    </row>
    <row r="1005" spans="6:7" x14ac:dyDescent="0.2">
      <c r="F1005" s="591">
        <v>996</v>
      </c>
      <c r="G1005" s="420">
        <f t="shared" ca="1" si="23"/>
        <v>-4.7653238418786902E-3</v>
      </c>
    </row>
    <row r="1006" spans="6:7" x14ac:dyDescent="0.2">
      <c r="F1006" s="591">
        <v>997</v>
      </c>
      <c r="G1006" s="420">
        <f t="shared" ca="1" si="23"/>
        <v>1.6083146296538186E-2</v>
      </c>
    </row>
    <row r="1007" spans="6:7" x14ac:dyDescent="0.2">
      <c r="F1007" s="591">
        <v>998</v>
      </c>
      <c r="G1007" s="420">
        <f t="shared" ca="1" si="23"/>
        <v>3.6000309541075581E-2</v>
      </c>
    </row>
    <row r="1008" spans="6:7" x14ac:dyDescent="0.2">
      <c r="F1008" s="591">
        <v>999</v>
      </c>
      <c r="G1008" s="420">
        <f t="shared" ca="1" si="23"/>
        <v>6.3414815426133364E-2</v>
      </c>
    </row>
    <row r="1009" spans="6:7" x14ac:dyDescent="0.2">
      <c r="F1009" s="591">
        <v>1000</v>
      </c>
      <c r="G1009" s="420">
        <f t="shared" ca="1" si="23"/>
        <v>-7.1909744318115164E-3</v>
      </c>
    </row>
    <row r="1010" spans="6:7" x14ac:dyDescent="0.2">
      <c r="F1010" s="591">
        <v>1001</v>
      </c>
      <c r="G1010" s="420">
        <f t="shared" ca="1" si="23"/>
        <v>-5.7128228984561755E-2</v>
      </c>
    </row>
    <row r="1011" spans="6:7" x14ac:dyDescent="0.2">
      <c r="F1011" s="591">
        <v>1002</v>
      </c>
      <c r="G1011" s="420">
        <f t="shared" ca="1" si="23"/>
        <v>1.7987454468348249E-2</v>
      </c>
    </row>
    <row r="1012" spans="6:7" x14ac:dyDescent="0.2">
      <c r="F1012" s="591">
        <v>1003</v>
      </c>
      <c r="G1012" s="420">
        <f t="shared" ca="1" si="23"/>
        <v>-5.838440085254612E-2</v>
      </c>
    </row>
    <row r="1013" spans="6:7" x14ac:dyDescent="0.2">
      <c r="F1013" s="591">
        <v>1004</v>
      </c>
      <c r="G1013" s="420">
        <f t="shared" ca="1" si="23"/>
        <v>9.6725077460431283E-2</v>
      </c>
    </row>
    <row r="1014" spans="6:7" x14ac:dyDescent="0.2">
      <c r="F1014" s="591">
        <v>1005</v>
      </c>
      <c r="G1014" s="420">
        <f t="shared" ca="1" si="23"/>
        <v>4.0531049764201396E-2</v>
      </c>
    </row>
    <row r="1015" spans="6:7" x14ac:dyDescent="0.2">
      <c r="F1015" s="591">
        <v>1006</v>
      </c>
      <c r="G1015" s="420">
        <f t="shared" ca="1" si="23"/>
        <v>-1.2410190384135461E-2</v>
      </c>
    </row>
    <row r="1016" spans="6:7" x14ac:dyDescent="0.2">
      <c r="F1016" s="591">
        <v>1007</v>
      </c>
      <c r="G1016" s="420">
        <f t="shared" ca="1" si="23"/>
        <v>-0.10352423359058784</v>
      </c>
    </row>
    <row r="1017" spans="6:7" x14ac:dyDescent="0.2">
      <c r="F1017" s="591">
        <v>1008</v>
      </c>
      <c r="G1017" s="420">
        <f t="shared" ca="1" si="23"/>
        <v>-1.2955187790012732E-2</v>
      </c>
    </row>
    <row r="1018" spans="6:7" x14ac:dyDescent="0.2">
      <c r="F1018" s="591">
        <v>1009</v>
      </c>
      <c r="G1018" s="420">
        <f t="shared" ca="1" si="23"/>
        <v>-0.11648696940681759</v>
      </c>
    </row>
    <row r="1019" spans="6:7" x14ac:dyDescent="0.2">
      <c r="F1019" s="591">
        <v>1010</v>
      </c>
      <c r="G1019" s="420">
        <f t="shared" ca="1" si="23"/>
        <v>7.8767468168563087E-2</v>
      </c>
    </row>
    <row r="1020" spans="6:7" x14ac:dyDescent="0.2">
      <c r="F1020" s="591">
        <v>1011</v>
      </c>
      <c r="G1020" s="420">
        <f t="shared" ca="1" si="23"/>
        <v>4.3720633456735047E-2</v>
      </c>
    </row>
    <row r="1021" spans="6:7" x14ac:dyDescent="0.2">
      <c r="F1021" s="591">
        <v>1012</v>
      </c>
      <c r="G1021" s="420">
        <f t="shared" ca="1" si="23"/>
        <v>4.0048369840279853E-2</v>
      </c>
    </row>
    <row r="1022" spans="6:7" x14ac:dyDescent="0.2">
      <c r="F1022" s="591">
        <v>1013</v>
      </c>
      <c r="G1022" s="420">
        <f t="shared" ca="1" si="23"/>
        <v>-5.3594389045373406E-2</v>
      </c>
    </row>
    <row r="1023" spans="6:7" x14ac:dyDescent="0.2">
      <c r="F1023" s="591">
        <v>1014</v>
      </c>
      <c r="G1023" s="420">
        <f t="shared" ca="1" si="23"/>
        <v>7.1371750507358112E-2</v>
      </c>
    </row>
    <row r="1024" spans="6:7" x14ac:dyDescent="0.2">
      <c r="F1024" s="591">
        <v>1015</v>
      </c>
      <c r="G1024" s="420">
        <f t="shared" ca="1" si="23"/>
        <v>5.7808734203440015E-2</v>
      </c>
    </row>
    <row r="1025" spans="6:7" x14ac:dyDescent="0.2">
      <c r="F1025" s="591">
        <v>1016</v>
      </c>
      <c r="G1025" s="420">
        <f t="shared" ca="1" si="23"/>
        <v>-8.6405692952850818E-2</v>
      </c>
    </row>
    <row r="1026" spans="6:7" x14ac:dyDescent="0.2">
      <c r="F1026" s="591">
        <v>1017</v>
      </c>
      <c r="G1026" s="420">
        <f t="shared" ca="1" si="23"/>
        <v>7.1591669959726864E-2</v>
      </c>
    </row>
    <row r="1027" spans="6:7" x14ac:dyDescent="0.2">
      <c r="F1027" s="591">
        <v>1018</v>
      </c>
      <c r="G1027" s="420">
        <f t="shared" ca="1" si="23"/>
        <v>-0.10779331560902228</v>
      </c>
    </row>
    <row r="1028" spans="6:7" x14ac:dyDescent="0.2">
      <c r="F1028" s="591">
        <v>1019</v>
      </c>
      <c r="G1028" s="420">
        <f t="shared" ca="1" si="23"/>
        <v>-0.13974143667799929</v>
      </c>
    </row>
    <row r="1029" spans="6:7" x14ac:dyDescent="0.2">
      <c r="F1029" s="591">
        <v>1020</v>
      </c>
      <c r="G1029" s="420">
        <f t="shared" ca="1" si="23"/>
        <v>3.2932482040670535E-3</v>
      </c>
    </row>
    <row r="1030" spans="6:7" x14ac:dyDescent="0.2">
      <c r="F1030" s="591">
        <v>1021</v>
      </c>
      <c r="G1030" s="420">
        <f t="shared" ca="1" si="23"/>
        <v>-2.8787871500798142E-2</v>
      </c>
    </row>
    <row r="1031" spans="6:7" x14ac:dyDescent="0.2">
      <c r="F1031" s="591">
        <v>1022</v>
      </c>
      <c r="G1031" s="420">
        <f t="shared" ca="1" si="23"/>
        <v>-1.9210293581762568E-2</v>
      </c>
    </row>
    <row r="1032" spans="6:7" x14ac:dyDescent="0.2">
      <c r="F1032" s="591">
        <v>1023</v>
      </c>
      <c r="G1032" s="420">
        <f t="shared" ca="1" si="23"/>
        <v>0.13998944138401917</v>
      </c>
    </row>
    <row r="1033" spans="6:7" x14ac:dyDescent="0.2">
      <c r="F1033" s="591">
        <v>1024</v>
      </c>
      <c r="G1033" s="420">
        <f t="shared" ca="1" si="23"/>
        <v>3.1266342690775467E-2</v>
      </c>
    </row>
    <row r="1034" spans="6:7" x14ac:dyDescent="0.2">
      <c r="F1034" s="591">
        <v>1025</v>
      </c>
      <c r="G1034" s="420">
        <f t="shared" ca="1" si="23"/>
        <v>3.3644394990181847E-2</v>
      </c>
    </row>
    <row r="1035" spans="6:7" x14ac:dyDescent="0.2">
      <c r="F1035" s="591">
        <v>1026</v>
      </c>
      <c r="G1035" s="420">
        <f t="shared" ref="G1035:G1098" ca="1" si="24">_xlfn.NORM.INV(RAND(), $M$11,$M$12)</f>
        <v>0.1085649532157001</v>
      </c>
    </row>
    <row r="1036" spans="6:7" x14ac:dyDescent="0.2">
      <c r="F1036" s="591">
        <v>1027</v>
      </c>
      <c r="G1036" s="420">
        <f t="shared" ca="1" si="24"/>
        <v>6.2079302888752755E-2</v>
      </c>
    </row>
    <row r="1037" spans="6:7" x14ac:dyDescent="0.2">
      <c r="F1037" s="591">
        <v>1028</v>
      </c>
      <c r="G1037" s="420">
        <f t="shared" ca="1" si="24"/>
        <v>-1.5303531060382767E-2</v>
      </c>
    </row>
    <row r="1038" spans="6:7" x14ac:dyDescent="0.2">
      <c r="F1038" s="591">
        <v>1029</v>
      </c>
      <c r="G1038" s="420">
        <f t="shared" ca="1" si="24"/>
        <v>-4.1871293842903695E-2</v>
      </c>
    </row>
    <row r="1039" spans="6:7" x14ac:dyDescent="0.2">
      <c r="F1039" s="591">
        <v>1030</v>
      </c>
      <c r="G1039" s="420">
        <f t="shared" ca="1" si="24"/>
        <v>-8.1500337725795222E-2</v>
      </c>
    </row>
    <row r="1040" spans="6:7" x14ac:dyDescent="0.2">
      <c r="F1040" s="591">
        <v>1031</v>
      </c>
      <c r="G1040" s="420">
        <f t="shared" ca="1" si="24"/>
        <v>-8.2464576841517881E-2</v>
      </c>
    </row>
    <row r="1041" spans="6:7" x14ac:dyDescent="0.2">
      <c r="F1041" s="591">
        <v>1032</v>
      </c>
      <c r="G1041" s="420">
        <f t="shared" ca="1" si="24"/>
        <v>8.6107353293144326E-2</v>
      </c>
    </row>
    <row r="1042" spans="6:7" x14ac:dyDescent="0.2">
      <c r="F1042" s="591">
        <v>1033</v>
      </c>
      <c r="G1042" s="420">
        <f t="shared" ca="1" si="24"/>
        <v>3.1342581431011089E-2</v>
      </c>
    </row>
    <row r="1043" spans="6:7" x14ac:dyDescent="0.2">
      <c r="F1043" s="591">
        <v>1034</v>
      </c>
      <c r="G1043" s="420">
        <f t="shared" ca="1" si="24"/>
        <v>0.10023865034549422</v>
      </c>
    </row>
    <row r="1044" spans="6:7" x14ac:dyDescent="0.2">
      <c r="F1044" s="591">
        <v>1035</v>
      </c>
      <c r="G1044" s="420">
        <f t="shared" ca="1" si="24"/>
        <v>-8.7102078613302006E-2</v>
      </c>
    </row>
    <row r="1045" spans="6:7" x14ac:dyDescent="0.2">
      <c r="F1045" s="591">
        <v>1036</v>
      </c>
      <c r="G1045" s="420">
        <f t="shared" ca="1" si="24"/>
        <v>2.3720512242234558E-4</v>
      </c>
    </row>
    <row r="1046" spans="6:7" x14ac:dyDescent="0.2">
      <c r="F1046" s="591">
        <v>1037</v>
      </c>
      <c r="G1046" s="420">
        <f t="shared" ca="1" si="24"/>
        <v>0.10072507603444014</v>
      </c>
    </row>
    <row r="1047" spans="6:7" x14ac:dyDescent="0.2">
      <c r="F1047" s="591">
        <v>1038</v>
      </c>
      <c r="G1047" s="420">
        <f t="shared" ca="1" si="24"/>
        <v>-0.11406397431686981</v>
      </c>
    </row>
    <row r="1048" spans="6:7" x14ac:dyDescent="0.2">
      <c r="F1048" s="591">
        <v>1039</v>
      </c>
      <c r="G1048" s="420">
        <f t="shared" ca="1" si="24"/>
        <v>1.2351221396439592E-2</v>
      </c>
    </row>
    <row r="1049" spans="6:7" x14ac:dyDescent="0.2">
      <c r="F1049" s="591">
        <v>1040</v>
      </c>
      <c r="G1049" s="420">
        <f t="shared" ca="1" si="24"/>
        <v>-5.5829767289247656E-2</v>
      </c>
    </row>
    <row r="1050" spans="6:7" x14ac:dyDescent="0.2">
      <c r="F1050" s="591">
        <v>1041</v>
      </c>
      <c r="G1050" s="420">
        <f t="shared" ca="1" si="24"/>
        <v>-0.10303718291081392</v>
      </c>
    </row>
    <row r="1051" spans="6:7" x14ac:dyDescent="0.2">
      <c r="F1051" s="591">
        <v>1042</v>
      </c>
      <c r="G1051" s="420">
        <f t="shared" ca="1" si="24"/>
        <v>1.1378219934638107E-2</v>
      </c>
    </row>
    <row r="1052" spans="6:7" x14ac:dyDescent="0.2">
      <c r="F1052" s="591">
        <v>1043</v>
      </c>
      <c r="G1052" s="420">
        <f t="shared" ca="1" si="24"/>
        <v>0.13676192234606133</v>
      </c>
    </row>
    <row r="1053" spans="6:7" x14ac:dyDescent="0.2">
      <c r="F1053" s="591">
        <v>1044</v>
      </c>
      <c r="G1053" s="420">
        <f t="shared" ca="1" si="24"/>
        <v>-5.4679329821899464E-2</v>
      </c>
    </row>
    <row r="1054" spans="6:7" x14ac:dyDescent="0.2">
      <c r="F1054" s="591">
        <v>1045</v>
      </c>
      <c r="G1054" s="420">
        <f t="shared" ca="1" si="24"/>
        <v>0.10053201105907369</v>
      </c>
    </row>
    <row r="1055" spans="6:7" x14ac:dyDescent="0.2">
      <c r="F1055" s="591">
        <v>1046</v>
      </c>
      <c r="G1055" s="420">
        <f t="shared" ca="1" si="24"/>
        <v>-2.8918396472343424E-2</v>
      </c>
    </row>
    <row r="1056" spans="6:7" x14ac:dyDescent="0.2">
      <c r="F1056" s="591">
        <v>1047</v>
      </c>
      <c r="G1056" s="420">
        <f t="shared" ca="1" si="24"/>
        <v>4.2856814091833673E-2</v>
      </c>
    </row>
    <row r="1057" spans="6:7" x14ac:dyDescent="0.2">
      <c r="F1057" s="591">
        <v>1048</v>
      </c>
      <c r="G1057" s="420">
        <f t="shared" ca="1" si="24"/>
        <v>-6.1871362748671471E-2</v>
      </c>
    </row>
    <row r="1058" spans="6:7" x14ac:dyDescent="0.2">
      <c r="F1058" s="591">
        <v>1049</v>
      </c>
      <c r="G1058" s="420">
        <f t="shared" ca="1" si="24"/>
        <v>1.7697965797340558E-2</v>
      </c>
    </row>
    <row r="1059" spans="6:7" x14ac:dyDescent="0.2">
      <c r="F1059" s="591">
        <v>1050</v>
      </c>
      <c r="G1059" s="420">
        <f t="shared" ca="1" si="24"/>
        <v>0.13886016550855573</v>
      </c>
    </row>
    <row r="1060" spans="6:7" x14ac:dyDescent="0.2">
      <c r="F1060" s="591">
        <v>1051</v>
      </c>
      <c r="G1060" s="420">
        <f t="shared" ca="1" si="24"/>
        <v>0.10827310104686273</v>
      </c>
    </row>
    <row r="1061" spans="6:7" x14ac:dyDescent="0.2">
      <c r="F1061" s="591">
        <v>1052</v>
      </c>
      <c r="G1061" s="420">
        <f t="shared" ca="1" si="24"/>
        <v>6.6872190170443199E-2</v>
      </c>
    </row>
    <row r="1062" spans="6:7" x14ac:dyDescent="0.2">
      <c r="F1062" s="591">
        <v>1053</v>
      </c>
      <c r="G1062" s="420">
        <f t="shared" ca="1" si="24"/>
        <v>-0.134773214365729</v>
      </c>
    </row>
    <row r="1063" spans="6:7" x14ac:dyDescent="0.2">
      <c r="F1063" s="591">
        <v>1054</v>
      </c>
      <c r="G1063" s="420">
        <f t="shared" ca="1" si="24"/>
        <v>-6.5410512723523426E-2</v>
      </c>
    </row>
    <row r="1064" spans="6:7" x14ac:dyDescent="0.2">
      <c r="F1064" s="591">
        <v>1055</v>
      </c>
      <c r="G1064" s="420">
        <f t="shared" ca="1" si="24"/>
        <v>9.4536413736482069E-2</v>
      </c>
    </row>
    <row r="1065" spans="6:7" x14ac:dyDescent="0.2">
      <c r="F1065" s="591">
        <v>1056</v>
      </c>
      <c r="G1065" s="420">
        <f t="shared" ca="1" si="24"/>
        <v>-5.0161051331968159E-2</v>
      </c>
    </row>
    <row r="1066" spans="6:7" x14ac:dyDescent="0.2">
      <c r="F1066" s="591">
        <v>1057</v>
      </c>
      <c r="G1066" s="420">
        <f t="shared" ca="1" si="24"/>
        <v>7.4326066291695997E-4</v>
      </c>
    </row>
    <row r="1067" spans="6:7" x14ac:dyDescent="0.2">
      <c r="F1067" s="591">
        <v>1058</v>
      </c>
      <c r="G1067" s="420">
        <f t="shared" ca="1" si="24"/>
        <v>-8.4888011337349731E-2</v>
      </c>
    </row>
    <row r="1068" spans="6:7" x14ac:dyDescent="0.2">
      <c r="F1068" s="591">
        <v>1059</v>
      </c>
      <c r="G1068" s="420">
        <f t="shared" ca="1" si="24"/>
        <v>-5.3249022400263649E-2</v>
      </c>
    </row>
    <row r="1069" spans="6:7" x14ac:dyDescent="0.2">
      <c r="F1069" s="591">
        <v>1060</v>
      </c>
      <c r="G1069" s="420">
        <f t="shared" ca="1" si="24"/>
        <v>1.2211726223841162E-2</v>
      </c>
    </row>
    <row r="1070" spans="6:7" x14ac:dyDescent="0.2">
      <c r="F1070" s="591">
        <v>1061</v>
      </c>
      <c r="G1070" s="420">
        <f t="shared" ca="1" si="24"/>
        <v>-5.3344389596130817E-2</v>
      </c>
    </row>
    <row r="1071" spans="6:7" x14ac:dyDescent="0.2">
      <c r="F1071" s="591">
        <v>1062</v>
      </c>
      <c r="G1071" s="420">
        <f t="shared" ca="1" si="24"/>
        <v>-2.8688947390712104E-2</v>
      </c>
    </row>
    <row r="1072" spans="6:7" x14ac:dyDescent="0.2">
      <c r="F1072" s="591">
        <v>1063</v>
      </c>
      <c r="G1072" s="420">
        <f t="shared" ca="1" si="24"/>
        <v>-9.4208826534338888E-2</v>
      </c>
    </row>
    <row r="1073" spans="6:7" x14ac:dyDescent="0.2">
      <c r="F1073" s="591">
        <v>1064</v>
      </c>
      <c r="G1073" s="420">
        <f t="shared" ca="1" si="24"/>
        <v>6.6413900074845239E-2</v>
      </c>
    </row>
    <row r="1074" spans="6:7" x14ac:dyDescent="0.2">
      <c r="F1074" s="591">
        <v>1065</v>
      </c>
      <c r="G1074" s="420">
        <f t="shared" ca="1" si="24"/>
        <v>0.12311516819875488</v>
      </c>
    </row>
    <row r="1075" spans="6:7" x14ac:dyDescent="0.2">
      <c r="F1075" s="591">
        <v>1066</v>
      </c>
      <c r="G1075" s="420">
        <f t="shared" ca="1" si="24"/>
        <v>-2.9210776622903067E-2</v>
      </c>
    </row>
    <row r="1076" spans="6:7" x14ac:dyDescent="0.2">
      <c r="F1076" s="591">
        <v>1067</v>
      </c>
      <c r="G1076" s="420">
        <f t="shared" ca="1" si="24"/>
        <v>-7.6644578002149577E-2</v>
      </c>
    </row>
    <row r="1077" spans="6:7" x14ac:dyDescent="0.2">
      <c r="F1077" s="591">
        <v>1068</v>
      </c>
      <c r="G1077" s="420">
        <f t="shared" ca="1" si="24"/>
        <v>5.9779712159596918E-2</v>
      </c>
    </row>
    <row r="1078" spans="6:7" x14ac:dyDescent="0.2">
      <c r="F1078" s="591">
        <v>1069</v>
      </c>
      <c r="G1078" s="420">
        <f t="shared" ca="1" si="24"/>
        <v>4.6687605134448043E-2</v>
      </c>
    </row>
    <row r="1079" spans="6:7" x14ac:dyDescent="0.2">
      <c r="F1079" s="591">
        <v>1070</v>
      </c>
      <c r="G1079" s="420">
        <f t="shared" ca="1" si="24"/>
        <v>-8.0114398657621447E-2</v>
      </c>
    </row>
    <row r="1080" spans="6:7" x14ac:dyDescent="0.2">
      <c r="F1080" s="591">
        <v>1071</v>
      </c>
      <c r="G1080" s="420">
        <f t="shared" ca="1" si="24"/>
        <v>-0.16676136070001241</v>
      </c>
    </row>
    <row r="1081" spans="6:7" x14ac:dyDescent="0.2">
      <c r="F1081" s="591">
        <v>1072</v>
      </c>
      <c r="G1081" s="420">
        <f t="shared" ca="1" si="24"/>
        <v>4.6051770001493991E-2</v>
      </c>
    </row>
    <row r="1082" spans="6:7" x14ac:dyDescent="0.2">
      <c r="F1082" s="591">
        <v>1073</v>
      </c>
      <c r="G1082" s="420">
        <f t="shared" ca="1" si="24"/>
        <v>-0.11797239030514713</v>
      </c>
    </row>
    <row r="1083" spans="6:7" x14ac:dyDescent="0.2">
      <c r="F1083" s="591">
        <v>1074</v>
      </c>
      <c r="G1083" s="420">
        <f t="shared" ca="1" si="24"/>
        <v>-1.8147415658619454E-2</v>
      </c>
    </row>
    <row r="1084" spans="6:7" x14ac:dyDescent="0.2">
      <c r="F1084" s="591">
        <v>1075</v>
      </c>
      <c r="G1084" s="420">
        <f t="shared" ca="1" si="24"/>
        <v>7.0446043740448105E-2</v>
      </c>
    </row>
    <row r="1085" spans="6:7" x14ac:dyDescent="0.2">
      <c r="F1085" s="591">
        <v>1076</v>
      </c>
      <c r="G1085" s="420">
        <f t="shared" ca="1" si="24"/>
        <v>3.8158603701758442E-2</v>
      </c>
    </row>
    <row r="1086" spans="6:7" x14ac:dyDescent="0.2">
      <c r="F1086" s="591">
        <v>1077</v>
      </c>
      <c r="G1086" s="420">
        <f t="shared" ca="1" si="24"/>
        <v>2.8602524867102689E-2</v>
      </c>
    </row>
    <row r="1087" spans="6:7" x14ac:dyDescent="0.2">
      <c r="F1087" s="591">
        <v>1078</v>
      </c>
      <c r="G1087" s="420">
        <f t="shared" ca="1" si="24"/>
        <v>-9.6422011162005258E-2</v>
      </c>
    </row>
    <row r="1088" spans="6:7" x14ac:dyDescent="0.2">
      <c r="F1088" s="591">
        <v>1079</v>
      </c>
      <c r="G1088" s="420">
        <f t="shared" ca="1" si="24"/>
        <v>0.11930742910853602</v>
      </c>
    </row>
    <row r="1089" spans="6:7" x14ac:dyDescent="0.2">
      <c r="F1089" s="591">
        <v>1080</v>
      </c>
      <c r="G1089" s="420">
        <f t="shared" ca="1" si="24"/>
        <v>0.10826901781976978</v>
      </c>
    </row>
    <row r="1090" spans="6:7" x14ac:dyDescent="0.2">
      <c r="F1090" s="591">
        <v>1081</v>
      </c>
      <c r="G1090" s="420">
        <f t="shared" ca="1" si="24"/>
        <v>-9.9879277154435522E-3</v>
      </c>
    </row>
    <row r="1091" spans="6:7" x14ac:dyDescent="0.2">
      <c r="F1091" s="591">
        <v>1082</v>
      </c>
      <c r="G1091" s="420">
        <f t="shared" ca="1" si="24"/>
        <v>-4.3869228185723086E-2</v>
      </c>
    </row>
    <row r="1092" spans="6:7" x14ac:dyDescent="0.2">
      <c r="F1092" s="591">
        <v>1083</v>
      </c>
      <c r="G1092" s="420">
        <f t="shared" ca="1" si="24"/>
        <v>-0.14027488858839215</v>
      </c>
    </row>
    <row r="1093" spans="6:7" x14ac:dyDescent="0.2">
      <c r="F1093" s="591">
        <v>1084</v>
      </c>
      <c r="G1093" s="420">
        <f t="shared" ca="1" si="24"/>
        <v>-0.16077234776362481</v>
      </c>
    </row>
    <row r="1094" spans="6:7" x14ac:dyDescent="0.2">
      <c r="F1094" s="591">
        <v>1085</v>
      </c>
      <c r="G1094" s="420">
        <f t="shared" ca="1" si="24"/>
        <v>-3.2604743899665278E-2</v>
      </c>
    </row>
    <row r="1095" spans="6:7" x14ac:dyDescent="0.2">
      <c r="F1095" s="591">
        <v>1086</v>
      </c>
      <c r="G1095" s="420">
        <f t="shared" ca="1" si="24"/>
        <v>-1.3988692507689776E-2</v>
      </c>
    </row>
    <row r="1096" spans="6:7" x14ac:dyDescent="0.2">
      <c r="F1096" s="591">
        <v>1087</v>
      </c>
      <c r="G1096" s="420">
        <f t="shared" ca="1" si="24"/>
        <v>3.1186222080682762E-2</v>
      </c>
    </row>
    <row r="1097" spans="6:7" x14ac:dyDescent="0.2">
      <c r="F1097" s="591">
        <v>1088</v>
      </c>
      <c r="G1097" s="420">
        <f t="shared" ca="1" si="24"/>
        <v>-5.4468366512107763E-2</v>
      </c>
    </row>
    <row r="1098" spans="6:7" x14ac:dyDescent="0.2">
      <c r="F1098" s="591">
        <v>1089</v>
      </c>
      <c r="G1098" s="420">
        <f t="shared" ca="1" si="24"/>
        <v>9.8697296853537727E-3</v>
      </c>
    </row>
    <row r="1099" spans="6:7" x14ac:dyDescent="0.2">
      <c r="F1099" s="591">
        <v>1090</v>
      </c>
      <c r="G1099" s="420">
        <f t="shared" ref="G1099:G1162" ca="1" si="25">_xlfn.NORM.INV(RAND(), $M$11,$M$12)</f>
        <v>0.1514729678215585</v>
      </c>
    </row>
    <row r="1100" spans="6:7" x14ac:dyDescent="0.2">
      <c r="F1100" s="591">
        <v>1091</v>
      </c>
      <c r="G1100" s="420">
        <f t="shared" ca="1" si="25"/>
        <v>-5.598034479673332E-2</v>
      </c>
    </row>
    <row r="1101" spans="6:7" x14ac:dyDescent="0.2">
      <c r="F1101" s="591">
        <v>1092</v>
      </c>
      <c r="G1101" s="420">
        <f t="shared" ca="1" si="25"/>
        <v>-4.3319841837389059E-2</v>
      </c>
    </row>
    <row r="1102" spans="6:7" x14ac:dyDescent="0.2">
      <c r="F1102" s="591">
        <v>1093</v>
      </c>
      <c r="G1102" s="420">
        <f t="shared" ca="1" si="25"/>
        <v>-3.0861515423963707E-2</v>
      </c>
    </row>
    <row r="1103" spans="6:7" x14ac:dyDescent="0.2">
      <c r="F1103" s="591">
        <v>1094</v>
      </c>
      <c r="G1103" s="420">
        <f t="shared" ca="1" si="25"/>
        <v>-8.3787676065103303E-2</v>
      </c>
    </row>
    <row r="1104" spans="6:7" x14ac:dyDescent="0.2">
      <c r="F1104" s="591">
        <v>1095</v>
      </c>
      <c r="G1104" s="420">
        <f t="shared" ca="1" si="25"/>
        <v>-3.985410010435296E-2</v>
      </c>
    </row>
    <row r="1105" spans="6:7" x14ac:dyDescent="0.2">
      <c r="F1105" s="591">
        <v>1096</v>
      </c>
      <c r="G1105" s="420">
        <f t="shared" ca="1" si="25"/>
        <v>7.9778731740061157E-2</v>
      </c>
    </row>
    <row r="1106" spans="6:7" x14ac:dyDescent="0.2">
      <c r="F1106" s="591">
        <v>1097</v>
      </c>
      <c r="G1106" s="420">
        <f t="shared" ca="1" si="25"/>
        <v>8.2292472688938981E-2</v>
      </c>
    </row>
    <row r="1107" spans="6:7" x14ac:dyDescent="0.2">
      <c r="F1107" s="591">
        <v>1098</v>
      </c>
      <c r="G1107" s="420">
        <f t="shared" ca="1" si="25"/>
        <v>0.10153311527589812</v>
      </c>
    </row>
    <row r="1108" spans="6:7" x14ac:dyDescent="0.2">
      <c r="F1108" s="591">
        <v>1099</v>
      </c>
      <c r="G1108" s="420">
        <f t="shared" ca="1" si="25"/>
        <v>0.1077325583184765</v>
      </c>
    </row>
    <row r="1109" spans="6:7" x14ac:dyDescent="0.2">
      <c r="F1109" s="591">
        <v>1100</v>
      </c>
      <c r="G1109" s="420">
        <f t="shared" ca="1" si="25"/>
        <v>-4.3531975454107599E-2</v>
      </c>
    </row>
    <row r="1110" spans="6:7" x14ac:dyDescent="0.2">
      <c r="F1110" s="591">
        <v>1101</v>
      </c>
      <c r="G1110" s="420">
        <f t="shared" ca="1" si="25"/>
        <v>4.6846303938155809E-2</v>
      </c>
    </row>
    <row r="1111" spans="6:7" x14ac:dyDescent="0.2">
      <c r="F1111" s="591">
        <v>1102</v>
      </c>
      <c r="G1111" s="420">
        <f t="shared" ca="1" si="25"/>
        <v>8.6935387516269391E-2</v>
      </c>
    </row>
    <row r="1112" spans="6:7" x14ac:dyDescent="0.2">
      <c r="F1112" s="591">
        <v>1103</v>
      </c>
      <c r="G1112" s="420">
        <f t="shared" ca="1" si="25"/>
        <v>-2.2781389499144777E-2</v>
      </c>
    </row>
    <row r="1113" spans="6:7" x14ac:dyDescent="0.2">
      <c r="F1113" s="591">
        <v>1104</v>
      </c>
      <c r="G1113" s="420">
        <f t="shared" ca="1" si="25"/>
        <v>-2.2706081171391845E-2</v>
      </c>
    </row>
    <row r="1114" spans="6:7" x14ac:dyDescent="0.2">
      <c r="F1114" s="591">
        <v>1105</v>
      </c>
      <c r="G1114" s="420">
        <f t="shared" ca="1" si="25"/>
        <v>-7.9516634495280125E-2</v>
      </c>
    </row>
    <row r="1115" spans="6:7" x14ac:dyDescent="0.2">
      <c r="F1115" s="591">
        <v>1106</v>
      </c>
      <c r="G1115" s="420">
        <f t="shared" ca="1" si="25"/>
        <v>0.12998542606863639</v>
      </c>
    </row>
    <row r="1116" spans="6:7" x14ac:dyDescent="0.2">
      <c r="F1116" s="591">
        <v>1107</v>
      </c>
      <c r="G1116" s="420">
        <f t="shared" ca="1" si="25"/>
        <v>-6.9330407586380108E-2</v>
      </c>
    </row>
    <row r="1117" spans="6:7" x14ac:dyDescent="0.2">
      <c r="F1117" s="591">
        <v>1108</v>
      </c>
      <c r="G1117" s="420">
        <f t="shared" ca="1" si="25"/>
        <v>2.8327308180765058E-2</v>
      </c>
    </row>
    <row r="1118" spans="6:7" x14ac:dyDescent="0.2">
      <c r="F1118" s="591">
        <v>1109</v>
      </c>
      <c r="G1118" s="420">
        <f t="shared" ca="1" si="25"/>
        <v>-3.0267328524816697E-2</v>
      </c>
    </row>
    <row r="1119" spans="6:7" x14ac:dyDescent="0.2">
      <c r="F1119" s="591">
        <v>1110</v>
      </c>
      <c r="G1119" s="420">
        <f t="shared" ca="1" si="25"/>
        <v>0.11904748505916654</v>
      </c>
    </row>
    <row r="1120" spans="6:7" x14ac:dyDescent="0.2">
      <c r="F1120" s="591">
        <v>1111</v>
      </c>
      <c r="G1120" s="420">
        <f t="shared" ca="1" si="25"/>
        <v>3.8995797929236083E-2</v>
      </c>
    </row>
    <row r="1121" spans="6:7" x14ac:dyDescent="0.2">
      <c r="F1121" s="591">
        <v>1112</v>
      </c>
      <c r="G1121" s="420">
        <f t="shared" ca="1" si="25"/>
        <v>-2.782602928608709E-2</v>
      </c>
    </row>
    <row r="1122" spans="6:7" x14ac:dyDescent="0.2">
      <c r="F1122" s="591">
        <v>1113</v>
      </c>
      <c r="G1122" s="420">
        <f t="shared" ca="1" si="25"/>
        <v>2.812799709886326E-2</v>
      </c>
    </row>
    <row r="1123" spans="6:7" x14ac:dyDescent="0.2">
      <c r="F1123" s="591">
        <v>1114</v>
      </c>
      <c r="G1123" s="420">
        <f t="shared" ca="1" si="25"/>
        <v>-1.3366009539965664E-2</v>
      </c>
    </row>
    <row r="1124" spans="6:7" x14ac:dyDescent="0.2">
      <c r="F1124" s="591">
        <v>1115</v>
      </c>
      <c r="G1124" s="420">
        <f t="shared" ca="1" si="25"/>
        <v>-5.1260749313559756E-2</v>
      </c>
    </row>
    <row r="1125" spans="6:7" x14ac:dyDescent="0.2">
      <c r="F1125" s="591">
        <v>1116</v>
      </c>
      <c r="G1125" s="420">
        <f t="shared" ca="1" si="25"/>
        <v>6.4070784746102907E-2</v>
      </c>
    </row>
    <row r="1126" spans="6:7" x14ac:dyDescent="0.2">
      <c r="F1126" s="591">
        <v>1117</v>
      </c>
      <c r="G1126" s="420">
        <f t="shared" ca="1" si="25"/>
        <v>4.8036357516784881E-2</v>
      </c>
    </row>
    <row r="1127" spans="6:7" x14ac:dyDescent="0.2">
      <c r="F1127" s="591">
        <v>1118</v>
      </c>
      <c r="G1127" s="420">
        <f t="shared" ca="1" si="25"/>
        <v>6.9923710280015886E-2</v>
      </c>
    </row>
    <row r="1128" spans="6:7" x14ac:dyDescent="0.2">
      <c r="F1128" s="591">
        <v>1119</v>
      </c>
      <c r="G1128" s="420">
        <f t="shared" ca="1" si="25"/>
        <v>2.101488550680982E-3</v>
      </c>
    </row>
    <row r="1129" spans="6:7" x14ac:dyDescent="0.2">
      <c r="F1129" s="591">
        <v>1120</v>
      </c>
      <c r="G1129" s="420">
        <f t="shared" ca="1" si="25"/>
        <v>0.10365821757148767</v>
      </c>
    </row>
    <row r="1130" spans="6:7" x14ac:dyDescent="0.2">
      <c r="F1130" s="591">
        <v>1121</v>
      </c>
      <c r="G1130" s="420">
        <f t="shared" ca="1" si="25"/>
        <v>5.302222656875609E-2</v>
      </c>
    </row>
    <row r="1131" spans="6:7" x14ac:dyDescent="0.2">
      <c r="F1131" s="591">
        <v>1122</v>
      </c>
      <c r="G1131" s="420">
        <f t="shared" ca="1" si="25"/>
        <v>-2.9295522498290583E-2</v>
      </c>
    </row>
    <row r="1132" spans="6:7" x14ac:dyDescent="0.2">
      <c r="F1132" s="591">
        <v>1123</v>
      </c>
      <c r="G1132" s="420">
        <f t="shared" ca="1" si="25"/>
        <v>5.7241131196073519E-2</v>
      </c>
    </row>
    <row r="1133" spans="6:7" x14ac:dyDescent="0.2">
      <c r="F1133" s="591">
        <v>1124</v>
      </c>
      <c r="G1133" s="420">
        <f t="shared" ca="1" si="25"/>
        <v>-3.4671915017922383E-2</v>
      </c>
    </row>
    <row r="1134" spans="6:7" x14ac:dyDescent="0.2">
      <c r="F1134" s="591">
        <v>1125</v>
      </c>
      <c r="G1134" s="420">
        <f t="shared" ca="1" si="25"/>
        <v>6.1228910306307796E-2</v>
      </c>
    </row>
    <row r="1135" spans="6:7" x14ac:dyDescent="0.2">
      <c r="F1135" s="591">
        <v>1126</v>
      </c>
      <c r="G1135" s="420">
        <f t="shared" ca="1" si="25"/>
        <v>-3.27210531495392E-2</v>
      </c>
    </row>
    <row r="1136" spans="6:7" x14ac:dyDescent="0.2">
      <c r="F1136" s="591">
        <v>1127</v>
      </c>
      <c r="G1136" s="420">
        <f t="shared" ca="1" si="25"/>
        <v>5.8617708243565339E-2</v>
      </c>
    </row>
    <row r="1137" spans="6:7" x14ac:dyDescent="0.2">
      <c r="F1137" s="591">
        <v>1128</v>
      </c>
      <c r="G1137" s="420">
        <f t="shared" ca="1" si="25"/>
        <v>1.0441239392606876E-4</v>
      </c>
    </row>
    <row r="1138" spans="6:7" x14ac:dyDescent="0.2">
      <c r="F1138" s="591">
        <v>1129</v>
      </c>
      <c r="G1138" s="420">
        <f t="shared" ca="1" si="25"/>
        <v>6.7894969846485215E-3</v>
      </c>
    </row>
    <row r="1139" spans="6:7" x14ac:dyDescent="0.2">
      <c r="F1139" s="591">
        <v>1130</v>
      </c>
      <c r="G1139" s="420">
        <f t="shared" ca="1" si="25"/>
        <v>0.10173416881912607</v>
      </c>
    </row>
    <row r="1140" spans="6:7" x14ac:dyDescent="0.2">
      <c r="F1140" s="591">
        <v>1131</v>
      </c>
      <c r="G1140" s="420">
        <f t="shared" ca="1" si="25"/>
        <v>7.9249153024381191E-3</v>
      </c>
    </row>
    <row r="1141" spans="6:7" x14ac:dyDescent="0.2">
      <c r="F1141" s="591">
        <v>1132</v>
      </c>
      <c r="G1141" s="420">
        <f t="shared" ca="1" si="25"/>
        <v>2.849704825215674E-2</v>
      </c>
    </row>
    <row r="1142" spans="6:7" x14ac:dyDescent="0.2">
      <c r="F1142" s="591">
        <v>1133</v>
      </c>
      <c r="G1142" s="420">
        <f t="shared" ca="1" si="25"/>
        <v>8.4095458168309004E-2</v>
      </c>
    </row>
    <row r="1143" spans="6:7" x14ac:dyDescent="0.2">
      <c r="F1143" s="591">
        <v>1134</v>
      </c>
      <c r="G1143" s="420">
        <f t="shared" ca="1" si="25"/>
        <v>6.6957135032353369E-3</v>
      </c>
    </row>
    <row r="1144" spans="6:7" x14ac:dyDescent="0.2">
      <c r="F1144" s="591">
        <v>1135</v>
      </c>
      <c r="G1144" s="420">
        <f t="shared" ca="1" si="25"/>
        <v>5.7832923772128592E-2</v>
      </c>
    </row>
    <row r="1145" spans="6:7" x14ac:dyDescent="0.2">
      <c r="F1145" s="591">
        <v>1136</v>
      </c>
      <c r="G1145" s="420">
        <f t="shared" ca="1" si="25"/>
        <v>6.1907928041558688E-2</v>
      </c>
    </row>
    <row r="1146" spans="6:7" x14ac:dyDescent="0.2">
      <c r="F1146" s="591">
        <v>1137</v>
      </c>
      <c r="G1146" s="420">
        <f t="shared" ca="1" si="25"/>
        <v>3.4502229682365548E-2</v>
      </c>
    </row>
    <row r="1147" spans="6:7" x14ac:dyDescent="0.2">
      <c r="F1147" s="591">
        <v>1138</v>
      </c>
      <c r="G1147" s="420">
        <f t="shared" ca="1" si="25"/>
        <v>0.13141150836981821</v>
      </c>
    </row>
    <row r="1148" spans="6:7" x14ac:dyDescent="0.2">
      <c r="F1148" s="591">
        <v>1139</v>
      </c>
      <c r="G1148" s="420">
        <f t="shared" ca="1" si="25"/>
        <v>-4.250777250879241E-2</v>
      </c>
    </row>
    <row r="1149" spans="6:7" x14ac:dyDescent="0.2">
      <c r="F1149" s="591">
        <v>1140</v>
      </c>
      <c r="G1149" s="420">
        <f t="shared" ca="1" si="25"/>
        <v>-7.2009438839168979E-2</v>
      </c>
    </row>
    <row r="1150" spans="6:7" x14ac:dyDescent="0.2">
      <c r="F1150" s="591">
        <v>1141</v>
      </c>
      <c r="G1150" s="420">
        <f t="shared" ca="1" si="25"/>
        <v>-2.257010522845063E-2</v>
      </c>
    </row>
    <row r="1151" spans="6:7" x14ac:dyDescent="0.2">
      <c r="F1151" s="591">
        <v>1142</v>
      </c>
      <c r="G1151" s="420">
        <f t="shared" ca="1" si="25"/>
        <v>0.15229198191544199</v>
      </c>
    </row>
    <row r="1152" spans="6:7" x14ac:dyDescent="0.2">
      <c r="F1152" s="591">
        <v>1143</v>
      </c>
      <c r="G1152" s="420">
        <f t="shared" ca="1" si="25"/>
        <v>3.1836041050532685E-2</v>
      </c>
    </row>
    <row r="1153" spans="6:7" x14ac:dyDescent="0.2">
      <c r="F1153" s="591">
        <v>1144</v>
      </c>
      <c r="G1153" s="420">
        <f t="shared" ca="1" si="25"/>
        <v>-3.2997964329084167E-2</v>
      </c>
    </row>
    <row r="1154" spans="6:7" x14ac:dyDescent="0.2">
      <c r="F1154" s="591">
        <v>1145</v>
      </c>
      <c r="G1154" s="420">
        <f t="shared" ca="1" si="25"/>
        <v>0.11022291901178712</v>
      </c>
    </row>
    <row r="1155" spans="6:7" x14ac:dyDescent="0.2">
      <c r="F1155" s="591">
        <v>1146</v>
      </c>
      <c r="G1155" s="420">
        <f t="shared" ca="1" si="25"/>
        <v>-9.1867312400176447E-3</v>
      </c>
    </row>
    <row r="1156" spans="6:7" x14ac:dyDescent="0.2">
      <c r="F1156" s="591">
        <v>1147</v>
      </c>
      <c r="G1156" s="420">
        <f t="shared" ca="1" si="25"/>
        <v>3.0086247330636529E-2</v>
      </c>
    </row>
    <row r="1157" spans="6:7" x14ac:dyDescent="0.2">
      <c r="F1157" s="591">
        <v>1148</v>
      </c>
      <c r="G1157" s="420">
        <f t="shared" ca="1" si="25"/>
        <v>0.10144750138391706</v>
      </c>
    </row>
    <row r="1158" spans="6:7" x14ac:dyDescent="0.2">
      <c r="F1158" s="591">
        <v>1149</v>
      </c>
      <c r="G1158" s="420">
        <f t="shared" ca="1" si="25"/>
        <v>-1.4090477562709959E-2</v>
      </c>
    </row>
    <row r="1159" spans="6:7" x14ac:dyDescent="0.2">
      <c r="F1159" s="591">
        <v>1150</v>
      </c>
      <c r="G1159" s="420">
        <f t="shared" ca="1" si="25"/>
        <v>4.7021087191740266E-2</v>
      </c>
    </row>
    <row r="1160" spans="6:7" x14ac:dyDescent="0.2">
      <c r="F1160" s="591">
        <v>1151</v>
      </c>
      <c r="G1160" s="420">
        <f t="shared" ca="1" si="25"/>
        <v>-4.7817051070684957E-2</v>
      </c>
    </row>
    <row r="1161" spans="6:7" x14ac:dyDescent="0.2">
      <c r="F1161" s="591">
        <v>1152</v>
      </c>
      <c r="G1161" s="420">
        <f t="shared" ca="1" si="25"/>
        <v>0.2112069654883878</v>
      </c>
    </row>
    <row r="1162" spans="6:7" x14ac:dyDescent="0.2">
      <c r="F1162" s="591">
        <v>1153</v>
      </c>
      <c r="G1162" s="420">
        <f t="shared" ca="1" si="25"/>
        <v>-1.9090991807352322E-2</v>
      </c>
    </row>
    <row r="1163" spans="6:7" x14ac:dyDescent="0.2">
      <c r="F1163" s="591">
        <v>1154</v>
      </c>
      <c r="G1163" s="420">
        <f t="shared" ref="G1163:G1226" ca="1" si="26">_xlfn.NORM.INV(RAND(), $M$11,$M$12)</f>
        <v>-2.9185700077395672E-2</v>
      </c>
    </row>
    <row r="1164" spans="6:7" x14ac:dyDescent="0.2">
      <c r="F1164" s="591">
        <v>1155</v>
      </c>
      <c r="G1164" s="420">
        <f t="shared" ca="1" si="26"/>
        <v>2.6089478214409729E-2</v>
      </c>
    </row>
    <row r="1165" spans="6:7" x14ac:dyDescent="0.2">
      <c r="F1165" s="591">
        <v>1156</v>
      </c>
      <c r="G1165" s="420">
        <f t="shared" ca="1" si="26"/>
        <v>-6.9763965259700869E-2</v>
      </c>
    </row>
    <row r="1166" spans="6:7" x14ac:dyDescent="0.2">
      <c r="F1166" s="591">
        <v>1157</v>
      </c>
      <c r="G1166" s="420">
        <f t="shared" ca="1" si="26"/>
        <v>0.1649921819140393</v>
      </c>
    </row>
    <row r="1167" spans="6:7" x14ac:dyDescent="0.2">
      <c r="F1167" s="591">
        <v>1158</v>
      </c>
      <c r="G1167" s="420">
        <f t="shared" ca="1" si="26"/>
        <v>-3.9189135480894675E-3</v>
      </c>
    </row>
    <row r="1168" spans="6:7" x14ac:dyDescent="0.2">
      <c r="F1168" s="591">
        <v>1159</v>
      </c>
      <c r="G1168" s="420">
        <f t="shared" ca="1" si="26"/>
        <v>-6.8009999939063065E-3</v>
      </c>
    </row>
    <row r="1169" spans="6:7" x14ac:dyDescent="0.2">
      <c r="F1169" s="591">
        <v>1160</v>
      </c>
      <c r="G1169" s="420">
        <f t="shared" ca="1" si="26"/>
        <v>5.4272111154521088E-2</v>
      </c>
    </row>
    <row r="1170" spans="6:7" x14ac:dyDescent="0.2">
      <c r="F1170" s="591">
        <v>1161</v>
      </c>
      <c r="G1170" s="420">
        <f t="shared" ca="1" si="26"/>
        <v>-3.9089388592173008E-2</v>
      </c>
    </row>
    <row r="1171" spans="6:7" x14ac:dyDescent="0.2">
      <c r="F1171" s="591">
        <v>1162</v>
      </c>
      <c r="G1171" s="420">
        <f t="shared" ca="1" si="26"/>
        <v>-2.3827665081929131E-2</v>
      </c>
    </row>
    <row r="1172" spans="6:7" x14ac:dyDescent="0.2">
      <c r="F1172" s="591">
        <v>1163</v>
      </c>
      <c r="G1172" s="420">
        <f t="shared" ca="1" si="26"/>
        <v>-0.16645506965885998</v>
      </c>
    </row>
    <row r="1173" spans="6:7" x14ac:dyDescent="0.2">
      <c r="F1173" s="591">
        <v>1164</v>
      </c>
      <c r="G1173" s="420">
        <f t="shared" ca="1" si="26"/>
        <v>6.6116908825268536E-2</v>
      </c>
    </row>
    <row r="1174" spans="6:7" x14ac:dyDescent="0.2">
      <c r="F1174" s="591">
        <v>1165</v>
      </c>
      <c r="G1174" s="420">
        <f t="shared" ca="1" si="26"/>
        <v>-1.2192851035400992E-2</v>
      </c>
    </row>
    <row r="1175" spans="6:7" x14ac:dyDescent="0.2">
      <c r="F1175" s="591">
        <v>1166</v>
      </c>
      <c r="G1175" s="420">
        <f t="shared" ca="1" si="26"/>
        <v>-0.11017932866032397</v>
      </c>
    </row>
    <row r="1176" spans="6:7" x14ac:dyDescent="0.2">
      <c r="F1176" s="591">
        <v>1167</v>
      </c>
      <c r="G1176" s="420">
        <f t="shared" ca="1" si="26"/>
        <v>-7.9485241418160477E-2</v>
      </c>
    </row>
    <row r="1177" spans="6:7" x14ac:dyDescent="0.2">
      <c r="F1177" s="591">
        <v>1168</v>
      </c>
      <c r="G1177" s="420">
        <f t="shared" ca="1" si="26"/>
        <v>0.11554008888737546</v>
      </c>
    </row>
    <row r="1178" spans="6:7" x14ac:dyDescent="0.2">
      <c r="F1178" s="591">
        <v>1169</v>
      </c>
      <c r="G1178" s="420">
        <f t="shared" ca="1" si="26"/>
        <v>-5.1209173947975278E-2</v>
      </c>
    </row>
    <row r="1179" spans="6:7" x14ac:dyDescent="0.2">
      <c r="F1179" s="591">
        <v>1170</v>
      </c>
      <c r="G1179" s="420">
        <f t="shared" ca="1" si="26"/>
        <v>-3.3750446396298969E-2</v>
      </c>
    </row>
    <row r="1180" spans="6:7" x14ac:dyDescent="0.2">
      <c r="F1180" s="591">
        <v>1171</v>
      </c>
      <c r="G1180" s="420">
        <f t="shared" ca="1" si="26"/>
        <v>0.1065522554261349</v>
      </c>
    </row>
    <row r="1181" spans="6:7" x14ac:dyDescent="0.2">
      <c r="F1181" s="591">
        <v>1172</v>
      </c>
      <c r="G1181" s="420">
        <f t="shared" ca="1" si="26"/>
        <v>7.4460128741713857E-2</v>
      </c>
    </row>
    <row r="1182" spans="6:7" x14ac:dyDescent="0.2">
      <c r="F1182" s="591">
        <v>1173</v>
      </c>
      <c r="G1182" s="420">
        <f t="shared" ca="1" si="26"/>
        <v>7.5098902546556351E-3</v>
      </c>
    </row>
    <row r="1183" spans="6:7" x14ac:dyDescent="0.2">
      <c r="F1183" s="591">
        <v>1174</v>
      </c>
      <c r="G1183" s="420">
        <f t="shared" ca="1" si="26"/>
        <v>7.9942936841568266E-2</v>
      </c>
    </row>
    <row r="1184" spans="6:7" x14ac:dyDescent="0.2">
      <c r="F1184" s="591">
        <v>1175</v>
      </c>
      <c r="G1184" s="420">
        <f t="shared" ca="1" si="26"/>
        <v>1.8043938706729289E-2</v>
      </c>
    </row>
    <row r="1185" spans="6:7" x14ac:dyDescent="0.2">
      <c r="F1185" s="591">
        <v>1176</v>
      </c>
      <c r="G1185" s="420">
        <f t="shared" ca="1" si="26"/>
        <v>-3.3302072568699506E-3</v>
      </c>
    </row>
    <row r="1186" spans="6:7" x14ac:dyDescent="0.2">
      <c r="F1186" s="591">
        <v>1177</v>
      </c>
      <c r="G1186" s="420">
        <f t="shared" ca="1" si="26"/>
        <v>-7.7546509634552091E-2</v>
      </c>
    </row>
    <row r="1187" spans="6:7" x14ac:dyDescent="0.2">
      <c r="F1187" s="591">
        <v>1178</v>
      </c>
      <c r="G1187" s="420">
        <f t="shared" ca="1" si="26"/>
        <v>-2.5843093242251685E-2</v>
      </c>
    </row>
    <row r="1188" spans="6:7" x14ac:dyDescent="0.2">
      <c r="F1188" s="591">
        <v>1179</v>
      </c>
      <c r="G1188" s="420">
        <f t="shared" ca="1" si="26"/>
        <v>0.12252802906317167</v>
      </c>
    </row>
    <row r="1189" spans="6:7" x14ac:dyDescent="0.2">
      <c r="F1189" s="591">
        <v>1180</v>
      </c>
      <c r="G1189" s="420">
        <f t="shared" ca="1" si="26"/>
        <v>-2.7705486185165693E-2</v>
      </c>
    </row>
    <row r="1190" spans="6:7" x14ac:dyDescent="0.2">
      <c r="F1190" s="591">
        <v>1181</v>
      </c>
      <c r="G1190" s="420">
        <f t="shared" ca="1" si="26"/>
        <v>3.6009541670477298E-2</v>
      </c>
    </row>
    <row r="1191" spans="6:7" x14ac:dyDescent="0.2">
      <c r="F1191" s="591">
        <v>1182</v>
      </c>
      <c r="G1191" s="420">
        <f t="shared" ca="1" si="26"/>
        <v>2.7792618121708093E-2</v>
      </c>
    </row>
    <row r="1192" spans="6:7" x14ac:dyDescent="0.2">
      <c r="F1192" s="591">
        <v>1183</v>
      </c>
      <c r="G1192" s="420">
        <f t="shared" ca="1" si="26"/>
        <v>0.15607426793925502</v>
      </c>
    </row>
    <row r="1193" spans="6:7" x14ac:dyDescent="0.2">
      <c r="F1193" s="591">
        <v>1184</v>
      </c>
      <c r="G1193" s="420">
        <f t="shared" ca="1" si="26"/>
        <v>3.280065681912045E-2</v>
      </c>
    </row>
    <row r="1194" spans="6:7" x14ac:dyDescent="0.2">
      <c r="F1194" s="591">
        <v>1185</v>
      </c>
      <c r="G1194" s="420">
        <f t="shared" ca="1" si="26"/>
        <v>9.7318417935487567E-2</v>
      </c>
    </row>
    <row r="1195" spans="6:7" x14ac:dyDescent="0.2">
      <c r="F1195" s="591">
        <v>1186</v>
      </c>
      <c r="G1195" s="420">
        <f t="shared" ca="1" si="26"/>
        <v>2.717809989399772E-2</v>
      </c>
    </row>
    <row r="1196" spans="6:7" x14ac:dyDescent="0.2">
      <c r="F1196" s="591">
        <v>1187</v>
      </c>
      <c r="G1196" s="420">
        <f t="shared" ca="1" si="26"/>
        <v>4.6720728566135017E-2</v>
      </c>
    </row>
    <row r="1197" spans="6:7" x14ac:dyDescent="0.2">
      <c r="F1197" s="591">
        <v>1188</v>
      </c>
      <c r="G1197" s="420">
        <f t="shared" ca="1" si="26"/>
        <v>0.17787746616117045</v>
      </c>
    </row>
    <row r="1198" spans="6:7" x14ac:dyDescent="0.2">
      <c r="F1198" s="591">
        <v>1189</v>
      </c>
      <c r="G1198" s="420">
        <f t="shared" ca="1" si="26"/>
        <v>8.1056668278676178E-2</v>
      </c>
    </row>
    <row r="1199" spans="6:7" x14ac:dyDescent="0.2">
      <c r="F1199" s="591">
        <v>1190</v>
      </c>
      <c r="G1199" s="420">
        <f t="shared" ca="1" si="26"/>
        <v>-4.7738932380709011E-3</v>
      </c>
    </row>
    <row r="1200" spans="6:7" x14ac:dyDescent="0.2">
      <c r="F1200" s="591">
        <v>1191</v>
      </c>
      <c r="G1200" s="420">
        <f t="shared" ca="1" si="26"/>
        <v>-5.0912597088256087E-2</v>
      </c>
    </row>
    <row r="1201" spans="6:7" x14ac:dyDescent="0.2">
      <c r="F1201" s="591">
        <v>1192</v>
      </c>
      <c r="G1201" s="420">
        <f t="shared" ca="1" si="26"/>
        <v>0.13203900591199097</v>
      </c>
    </row>
    <row r="1202" spans="6:7" x14ac:dyDescent="0.2">
      <c r="F1202" s="591">
        <v>1193</v>
      </c>
      <c r="G1202" s="420">
        <f t="shared" ca="1" si="26"/>
        <v>-0.1167792807138716</v>
      </c>
    </row>
    <row r="1203" spans="6:7" x14ac:dyDescent="0.2">
      <c r="F1203" s="591">
        <v>1194</v>
      </c>
      <c r="G1203" s="420">
        <f t="shared" ca="1" si="26"/>
        <v>-2.0562586657437879E-2</v>
      </c>
    </row>
    <row r="1204" spans="6:7" x14ac:dyDescent="0.2">
      <c r="F1204" s="591">
        <v>1195</v>
      </c>
      <c r="G1204" s="420">
        <f t="shared" ca="1" si="26"/>
        <v>-6.642582725313384E-2</v>
      </c>
    </row>
    <row r="1205" spans="6:7" x14ac:dyDescent="0.2">
      <c r="F1205" s="591">
        <v>1196</v>
      </c>
      <c r="G1205" s="420">
        <f t="shared" ca="1" si="26"/>
        <v>4.633928551800244E-2</v>
      </c>
    </row>
    <row r="1206" spans="6:7" x14ac:dyDescent="0.2">
      <c r="F1206" s="591">
        <v>1197</v>
      </c>
      <c r="G1206" s="420">
        <f t="shared" ca="1" si="26"/>
        <v>-2.3210322501293224E-3</v>
      </c>
    </row>
    <row r="1207" spans="6:7" x14ac:dyDescent="0.2">
      <c r="F1207" s="591">
        <v>1198</v>
      </c>
      <c r="G1207" s="420">
        <f t="shared" ca="1" si="26"/>
        <v>6.2266378225000812E-3</v>
      </c>
    </row>
    <row r="1208" spans="6:7" x14ac:dyDescent="0.2">
      <c r="F1208" s="591">
        <v>1199</v>
      </c>
      <c r="G1208" s="420">
        <f t="shared" ca="1" si="26"/>
        <v>3.891279757483497E-2</v>
      </c>
    </row>
    <row r="1209" spans="6:7" x14ac:dyDescent="0.2">
      <c r="F1209" s="591">
        <v>1200</v>
      </c>
      <c r="G1209" s="420">
        <f t="shared" ca="1" si="26"/>
        <v>-2.0432178299620619E-2</v>
      </c>
    </row>
    <row r="1210" spans="6:7" x14ac:dyDescent="0.2">
      <c r="F1210" s="591">
        <v>1201</v>
      </c>
      <c r="G1210" s="420">
        <f t="shared" ca="1" si="26"/>
        <v>0.11745788527577486</v>
      </c>
    </row>
    <row r="1211" spans="6:7" x14ac:dyDescent="0.2">
      <c r="F1211" s="591">
        <v>1202</v>
      </c>
      <c r="G1211" s="420">
        <f t="shared" ca="1" si="26"/>
        <v>-1.9559663780362162E-2</v>
      </c>
    </row>
    <row r="1212" spans="6:7" x14ac:dyDescent="0.2">
      <c r="F1212" s="591">
        <v>1203</v>
      </c>
      <c r="G1212" s="420">
        <f t="shared" ca="1" si="26"/>
        <v>-5.8889653378410969E-2</v>
      </c>
    </row>
    <row r="1213" spans="6:7" x14ac:dyDescent="0.2">
      <c r="F1213" s="591">
        <v>1204</v>
      </c>
      <c r="G1213" s="420">
        <f t="shared" ca="1" si="26"/>
        <v>-1.6685501961707823E-2</v>
      </c>
    </row>
    <row r="1214" spans="6:7" x14ac:dyDescent="0.2">
      <c r="F1214" s="591">
        <v>1205</v>
      </c>
      <c r="G1214" s="420">
        <f t="shared" ca="1" si="26"/>
        <v>-0.13355683904631127</v>
      </c>
    </row>
    <row r="1215" spans="6:7" x14ac:dyDescent="0.2">
      <c r="F1215" s="591">
        <v>1206</v>
      </c>
      <c r="G1215" s="420">
        <f t="shared" ca="1" si="26"/>
        <v>-3.2318713305321808E-2</v>
      </c>
    </row>
    <row r="1216" spans="6:7" x14ac:dyDescent="0.2">
      <c r="F1216" s="591">
        <v>1207</v>
      </c>
      <c r="G1216" s="420">
        <f t="shared" ca="1" si="26"/>
        <v>-0.11247245567677436</v>
      </c>
    </row>
    <row r="1217" spans="6:7" x14ac:dyDescent="0.2">
      <c r="F1217" s="591">
        <v>1208</v>
      </c>
      <c r="G1217" s="420">
        <f t="shared" ca="1" si="26"/>
        <v>-3.7381309600819333E-3</v>
      </c>
    </row>
    <row r="1218" spans="6:7" x14ac:dyDescent="0.2">
      <c r="F1218" s="591">
        <v>1209</v>
      </c>
      <c r="G1218" s="420">
        <f t="shared" ca="1" si="26"/>
        <v>-1.2622057416237901E-2</v>
      </c>
    </row>
    <row r="1219" spans="6:7" x14ac:dyDescent="0.2">
      <c r="F1219" s="591">
        <v>1210</v>
      </c>
      <c r="G1219" s="420">
        <f t="shared" ca="1" si="26"/>
        <v>-8.6384715576747678E-2</v>
      </c>
    </row>
    <row r="1220" spans="6:7" x14ac:dyDescent="0.2">
      <c r="F1220" s="591">
        <v>1211</v>
      </c>
      <c r="G1220" s="420">
        <f t="shared" ca="1" si="26"/>
        <v>-5.3209199101109786E-2</v>
      </c>
    </row>
    <row r="1221" spans="6:7" x14ac:dyDescent="0.2">
      <c r="F1221" s="591">
        <v>1212</v>
      </c>
      <c r="G1221" s="420">
        <f t="shared" ca="1" si="26"/>
        <v>-9.618954185647708E-3</v>
      </c>
    </row>
    <row r="1222" spans="6:7" x14ac:dyDescent="0.2">
      <c r="F1222" s="591">
        <v>1213</v>
      </c>
      <c r="G1222" s="420">
        <f t="shared" ca="1" si="26"/>
        <v>5.8065901439199916E-2</v>
      </c>
    </row>
    <row r="1223" spans="6:7" x14ac:dyDescent="0.2">
      <c r="F1223" s="591">
        <v>1214</v>
      </c>
      <c r="G1223" s="420">
        <f t="shared" ca="1" si="26"/>
        <v>3.4103550767787663E-2</v>
      </c>
    </row>
    <row r="1224" spans="6:7" x14ac:dyDescent="0.2">
      <c r="F1224" s="591">
        <v>1215</v>
      </c>
      <c r="G1224" s="420">
        <f t="shared" ca="1" si="26"/>
        <v>3.5168579889136131E-2</v>
      </c>
    </row>
    <row r="1225" spans="6:7" x14ac:dyDescent="0.2">
      <c r="F1225" s="591">
        <v>1216</v>
      </c>
      <c r="G1225" s="420">
        <f t="shared" ca="1" si="26"/>
        <v>5.9306203780294262E-2</v>
      </c>
    </row>
    <row r="1226" spans="6:7" x14ac:dyDescent="0.2">
      <c r="F1226" s="591">
        <v>1217</v>
      </c>
      <c r="G1226" s="420">
        <f t="shared" ca="1" si="26"/>
        <v>2.5021383070435773E-3</v>
      </c>
    </row>
    <row r="1227" spans="6:7" x14ac:dyDescent="0.2">
      <c r="F1227" s="591">
        <v>1218</v>
      </c>
      <c r="G1227" s="420">
        <f t="shared" ref="G1227:G1290" ca="1" si="27">_xlfn.NORM.INV(RAND(), $M$11,$M$12)</f>
        <v>0.13236985088570771</v>
      </c>
    </row>
    <row r="1228" spans="6:7" x14ac:dyDescent="0.2">
      <c r="F1228" s="591">
        <v>1219</v>
      </c>
      <c r="G1228" s="420">
        <f t="shared" ca="1" si="27"/>
        <v>2.1273235719506223E-2</v>
      </c>
    </row>
    <row r="1229" spans="6:7" x14ac:dyDescent="0.2">
      <c r="F1229" s="591">
        <v>1220</v>
      </c>
      <c r="G1229" s="420">
        <f t="shared" ca="1" si="27"/>
        <v>-7.284901648971321E-3</v>
      </c>
    </row>
    <row r="1230" spans="6:7" x14ac:dyDescent="0.2">
      <c r="F1230" s="591">
        <v>1221</v>
      </c>
      <c r="G1230" s="420">
        <f t="shared" ca="1" si="27"/>
        <v>7.1179600626529893E-2</v>
      </c>
    </row>
    <row r="1231" spans="6:7" x14ac:dyDescent="0.2">
      <c r="F1231" s="591">
        <v>1222</v>
      </c>
      <c r="G1231" s="420">
        <f t="shared" ca="1" si="27"/>
        <v>5.614711330273052E-2</v>
      </c>
    </row>
    <row r="1232" spans="6:7" x14ac:dyDescent="0.2">
      <c r="F1232" s="591">
        <v>1223</v>
      </c>
      <c r="G1232" s="420">
        <f t="shared" ca="1" si="27"/>
        <v>-0.20638544564862268</v>
      </c>
    </row>
    <row r="1233" spans="6:7" x14ac:dyDescent="0.2">
      <c r="F1233" s="591">
        <v>1224</v>
      </c>
      <c r="G1233" s="420">
        <f t="shared" ca="1" si="27"/>
        <v>7.4620174760845578E-2</v>
      </c>
    </row>
    <row r="1234" spans="6:7" x14ac:dyDescent="0.2">
      <c r="F1234" s="591">
        <v>1225</v>
      </c>
      <c r="G1234" s="420">
        <f t="shared" ca="1" si="27"/>
        <v>8.08335793597319E-2</v>
      </c>
    </row>
    <row r="1235" spans="6:7" x14ac:dyDescent="0.2">
      <c r="F1235" s="591">
        <v>1226</v>
      </c>
      <c r="G1235" s="420">
        <f t="shared" ca="1" si="27"/>
        <v>6.3689588808000297E-2</v>
      </c>
    </row>
    <row r="1236" spans="6:7" x14ac:dyDescent="0.2">
      <c r="F1236" s="591">
        <v>1227</v>
      </c>
      <c r="G1236" s="420">
        <f t="shared" ca="1" si="27"/>
        <v>-0.10045608379902504</v>
      </c>
    </row>
    <row r="1237" spans="6:7" x14ac:dyDescent="0.2">
      <c r="F1237" s="591">
        <v>1228</v>
      </c>
      <c r="G1237" s="420">
        <f t="shared" ca="1" si="27"/>
        <v>3.3136719173287324E-2</v>
      </c>
    </row>
    <row r="1238" spans="6:7" x14ac:dyDescent="0.2">
      <c r="F1238" s="591">
        <v>1229</v>
      </c>
      <c r="G1238" s="420">
        <f t="shared" ca="1" si="27"/>
        <v>-3.631854236183775E-2</v>
      </c>
    </row>
    <row r="1239" spans="6:7" x14ac:dyDescent="0.2">
      <c r="F1239" s="591">
        <v>1230</v>
      </c>
      <c r="G1239" s="420">
        <f t="shared" ca="1" si="27"/>
        <v>-1.5255729137247601E-2</v>
      </c>
    </row>
    <row r="1240" spans="6:7" x14ac:dyDescent="0.2">
      <c r="F1240" s="591">
        <v>1231</v>
      </c>
      <c r="G1240" s="420">
        <f t="shared" ca="1" si="27"/>
        <v>9.6634326237821713E-2</v>
      </c>
    </row>
    <row r="1241" spans="6:7" x14ac:dyDescent="0.2">
      <c r="F1241" s="591">
        <v>1232</v>
      </c>
      <c r="G1241" s="420">
        <f t="shared" ca="1" si="27"/>
        <v>4.0226237493572584E-2</v>
      </c>
    </row>
    <row r="1242" spans="6:7" x14ac:dyDescent="0.2">
      <c r="F1242" s="591">
        <v>1233</v>
      </c>
      <c r="G1242" s="420">
        <f t="shared" ca="1" si="27"/>
        <v>0.1299884255806121</v>
      </c>
    </row>
    <row r="1243" spans="6:7" x14ac:dyDescent="0.2">
      <c r="F1243" s="591">
        <v>1234</v>
      </c>
      <c r="G1243" s="420">
        <f t="shared" ca="1" si="27"/>
        <v>-5.8712609334119828E-3</v>
      </c>
    </row>
    <row r="1244" spans="6:7" x14ac:dyDescent="0.2">
      <c r="F1244" s="591">
        <v>1235</v>
      </c>
      <c r="G1244" s="420">
        <f t="shared" ca="1" si="27"/>
        <v>4.0231840441398339E-2</v>
      </c>
    </row>
    <row r="1245" spans="6:7" x14ac:dyDescent="0.2">
      <c r="F1245" s="591">
        <v>1236</v>
      </c>
      <c r="G1245" s="420">
        <f t="shared" ca="1" si="27"/>
        <v>0.15478888503271593</v>
      </c>
    </row>
    <row r="1246" spans="6:7" x14ac:dyDescent="0.2">
      <c r="F1246" s="591">
        <v>1237</v>
      </c>
      <c r="G1246" s="420">
        <f t="shared" ca="1" si="27"/>
        <v>5.4634373538435158E-2</v>
      </c>
    </row>
    <row r="1247" spans="6:7" x14ac:dyDescent="0.2">
      <c r="F1247" s="591">
        <v>1238</v>
      </c>
      <c r="G1247" s="420">
        <f t="shared" ca="1" si="27"/>
        <v>-7.7458220166084307E-2</v>
      </c>
    </row>
    <row r="1248" spans="6:7" x14ac:dyDescent="0.2">
      <c r="F1248" s="591">
        <v>1239</v>
      </c>
      <c r="G1248" s="420">
        <f t="shared" ca="1" si="27"/>
        <v>3.6653534619720304E-2</v>
      </c>
    </row>
    <row r="1249" spans="6:7" x14ac:dyDescent="0.2">
      <c r="F1249" s="591">
        <v>1240</v>
      </c>
      <c r="G1249" s="420">
        <f t="shared" ca="1" si="27"/>
        <v>-5.1846599681955804E-2</v>
      </c>
    </row>
    <row r="1250" spans="6:7" x14ac:dyDescent="0.2">
      <c r="F1250" s="591">
        <v>1241</v>
      </c>
      <c r="G1250" s="420">
        <f t="shared" ca="1" si="27"/>
        <v>-8.6131482424726784E-4</v>
      </c>
    </row>
    <row r="1251" spans="6:7" x14ac:dyDescent="0.2">
      <c r="F1251" s="591">
        <v>1242</v>
      </c>
      <c r="G1251" s="420">
        <f t="shared" ca="1" si="27"/>
        <v>-9.1744509905653721E-2</v>
      </c>
    </row>
    <row r="1252" spans="6:7" x14ac:dyDescent="0.2">
      <c r="F1252" s="591">
        <v>1243</v>
      </c>
      <c r="G1252" s="420">
        <f t="shared" ca="1" si="27"/>
        <v>-9.9497068213693737E-2</v>
      </c>
    </row>
    <row r="1253" spans="6:7" x14ac:dyDescent="0.2">
      <c r="F1253" s="591">
        <v>1244</v>
      </c>
      <c r="G1253" s="420">
        <f t="shared" ca="1" si="27"/>
        <v>2.5538185658570255E-2</v>
      </c>
    </row>
    <row r="1254" spans="6:7" x14ac:dyDescent="0.2">
      <c r="F1254" s="591">
        <v>1245</v>
      </c>
      <c r="G1254" s="420">
        <f t="shared" ca="1" si="27"/>
        <v>-6.3354391089547962E-2</v>
      </c>
    </row>
    <row r="1255" spans="6:7" x14ac:dyDescent="0.2">
      <c r="F1255" s="591">
        <v>1246</v>
      </c>
      <c r="G1255" s="420">
        <f t="shared" ca="1" si="27"/>
        <v>2.5703530042077694E-2</v>
      </c>
    </row>
    <row r="1256" spans="6:7" x14ac:dyDescent="0.2">
      <c r="F1256" s="591">
        <v>1247</v>
      </c>
      <c r="G1256" s="420">
        <f t="shared" ca="1" si="27"/>
        <v>1.6037058184698864E-2</v>
      </c>
    </row>
    <row r="1257" spans="6:7" x14ac:dyDescent="0.2">
      <c r="F1257" s="591">
        <v>1248</v>
      </c>
      <c r="G1257" s="420">
        <f t="shared" ca="1" si="27"/>
        <v>4.2976314900145141E-2</v>
      </c>
    </row>
    <row r="1258" spans="6:7" x14ac:dyDescent="0.2">
      <c r="F1258" s="591">
        <v>1249</v>
      </c>
      <c r="G1258" s="420">
        <f t="shared" ca="1" si="27"/>
        <v>-7.2518612261722334E-2</v>
      </c>
    </row>
    <row r="1259" spans="6:7" x14ac:dyDescent="0.2">
      <c r="F1259" s="591">
        <v>1250</v>
      </c>
      <c r="G1259" s="420">
        <f t="shared" ca="1" si="27"/>
        <v>5.0692624803037697E-2</v>
      </c>
    </row>
    <row r="1260" spans="6:7" x14ac:dyDescent="0.2">
      <c r="F1260" s="591">
        <v>1251</v>
      </c>
      <c r="G1260" s="420">
        <f t="shared" ca="1" si="27"/>
        <v>-5.6620693125758459E-3</v>
      </c>
    </row>
    <row r="1261" spans="6:7" x14ac:dyDescent="0.2">
      <c r="F1261" s="591">
        <v>1252</v>
      </c>
      <c r="G1261" s="420">
        <f t="shared" ca="1" si="27"/>
        <v>-6.3031032224465482E-3</v>
      </c>
    </row>
    <row r="1262" spans="6:7" x14ac:dyDescent="0.2">
      <c r="F1262" s="591">
        <v>1253</v>
      </c>
      <c r="G1262" s="420">
        <f t="shared" ca="1" si="27"/>
        <v>5.7259174675243371E-2</v>
      </c>
    </row>
    <row r="1263" spans="6:7" x14ac:dyDescent="0.2">
      <c r="F1263" s="591">
        <v>1254</v>
      </c>
      <c r="G1263" s="420">
        <f t="shared" ca="1" si="27"/>
        <v>7.3559068327855373E-2</v>
      </c>
    </row>
    <row r="1264" spans="6:7" x14ac:dyDescent="0.2">
      <c r="F1264" s="591">
        <v>1255</v>
      </c>
      <c r="G1264" s="420">
        <f t="shared" ca="1" si="27"/>
        <v>5.005159018074172E-2</v>
      </c>
    </row>
    <row r="1265" spans="6:7" x14ac:dyDescent="0.2">
      <c r="F1265" s="591">
        <v>1256</v>
      </c>
      <c r="G1265" s="420">
        <f t="shared" ca="1" si="27"/>
        <v>5.6510297453085515E-2</v>
      </c>
    </row>
    <row r="1266" spans="6:7" x14ac:dyDescent="0.2">
      <c r="F1266" s="591">
        <v>1257</v>
      </c>
      <c r="G1266" s="420">
        <f t="shared" ca="1" si="27"/>
        <v>7.4226389051174888E-2</v>
      </c>
    </row>
    <row r="1267" spans="6:7" x14ac:dyDescent="0.2">
      <c r="F1267" s="591">
        <v>1258</v>
      </c>
      <c r="G1267" s="420">
        <f t="shared" ca="1" si="27"/>
        <v>5.9274114799675481E-2</v>
      </c>
    </row>
    <row r="1268" spans="6:7" x14ac:dyDescent="0.2">
      <c r="F1268" s="591">
        <v>1259</v>
      </c>
      <c r="G1268" s="420">
        <f t="shared" ca="1" si="27"/>
        <v>0.13883256948314607</v>
      </c>
    </row>
    <row r="1269" spans="6:7" x14ac:dyDescent="0.2">
      <c r="F1269" s="591">
        <v>1260</v>
      </c>
      <c r="G1269" s="420">
        <f t="shared" ca="1" si="27"/>
        <v>-5.8946770255887224E-2</v>
      </c>
    </row>
    <row r="1270" spans="6:7" x14ac:dyDescent="0.2">
      <c r="F1270" s="591">
        <v>1261</v>
      </c>
      <c r="G1270" s="420">
        <f t="shared" ca="1" si="27"/>
        <v>0.19407958687191354</v>
      </c>
    </row>
    <row r="1271" spans="6:7" x14ac:dyDescent="0.2">
      <c r="F1271" s="591">
        <v>1262</v>
      </c>
      <c r="G1271" s="420">
        <f t="shared" ca="1" si="27"/>
        <v>-7.9956072709571793E-2</v>
      </c>
    </row>
    <row r="1272" spans="6:7" x14ac:dyDescent="0.2">
      <c r="F1272" s="591">
        <v>1263</v>
      </c>
      <c r="G1272" s="420">
        <f t="shared" ca="1" si="27"/>
        <v>0.12904847504340203</v>
      </c>
    </row>
    <row r="1273" spans="6:7" x14ac:dyDescent="0.2">
      <c r="F1273" s="591">
        <v>1264</v>
      </c>
      <c r="G1273" s="420">
        <f t="shared" ca="1" si="27"/>
        <v>3.642952256900802E-2</v>
      </c>
    </row>
    <row r="1274" spans="6:7" x14ac:dyDescent="0.2">
      <c r="F1274" s="591">
        <v>1265</v>
      </c>
      <c r="G1274" s="420">
        <f t="shared" ca="1" si="27"/>
        <v>-0.11905225980019322</v>
      </c>
    </row>
    <row r="1275" spans="6:7" x14ac:dyDescent="0.2">
      <c r="F1275" s="591">
        <v>1266</v>
      </c>
      <c r="G1275" s="420">
        <f t="shared" ca="1" si="27"/>
        <v>2.5116428936250504E-3</v>
      </c>
    </row>
    <row r="1276" spans="6:7" x14ac:dyDescent="0.2">
      <c r="F1276" s="591">
        <v>1267</v>
      </c>
      <c r="G1276" s="420">
        <f t="shared" ca="1" si="27"/>
        <v>-2.4211244075819777E-2</v>
      </c>
    </row>
    <row r="1277" spans="6:7" x14ac:dyDescent="0.2">
      <c r="F1277" s="591">
        <v>1268</v>
      </c>
      <c r="G1277" s="420">
        <f t="shared" ca="1" si="27"/>
        <v>9.8629841907355562E-2</v>
      </c>
    </row>
    <row r="1278" spans="6:7" x14ac:dyDescent="0.2">
      <c r="F1278" s="591">
        <v>1269</v>
      </c>
      <c r="G1278" s="420">
        <f t="shared" ca="1" si="27"/>
        <v>5.4428074488575132E-2</v>
      </c>
    </row>
    <row r="1279" spans="6:7" x14ac:dyDescent="0.2">
      <c r="F1279" s="591">
        <v>1270</v>
      </c>
      <c r="G1279" s="420">
        <f t="shared" ca="1" si="27"/>
        <v>2.6820919667077392E-2</v>
      </c>
    </row>
    <row r="1280" spans="6:7" x14ac:dyDescent="0.2">
      <c r="F1280" s="591">
        <v>1271</v>
      </c>
      <c r="G1280" s="420">
        <f t="shared" ca="1" si="27"/>
        <v>-6.1233842977401448E-2</v>
      </c>
    </row>
    <row r="1281" spans="6:7" x14ac:dyDescent="0.2">
      <c r="F1281" s="591">
        <v>1272</v>
      </c>
      <c r="G1281" s="420">
        <f t="shared" ca="1" si="27"/>
        <v>0.10972312138250361</v>
      </c>
    </row>
    <row r="1282" spans="6:7" x14ac:dyDescent="0.2">
      <c r="F1282" s="591">
        <v>1273</v>
      </c>
      <c r="G1282" s="420">
        <f t="shared" ca="1" si="27"/>
        <v>4.1784884953200707E-2</v>
      </c>
    </row>
    <row r="1283" spans="6:7" x14ac:dyDescent="0.2">
      <c r="F1283" s="591">
        <v>1274</v>
      </c>
      <c r="G1283" s="420">
        <f t="shared" ca="1" si="27"/>
        <v>3.0590376574394462E-2</v>
      </c>
    </row>
    <row r="1284" spans="6:7" x14ac:dyDescent="0.2">
      <c r="F1284" s="591">
        <v>1275</v>
      </c>
      <c r="G1284" s="420">
        <f t="shared" ca="1" si="27"/>
        <v>2.545219863011253E-2</v>
      </c>
    </row>
    <row r="1285" spans="6:7" x14ac:dyDescent="0.2">
      <c r="F1285" s="591">
        <v>1276</v>
      </c>
      <c r="G1285" s="420">
        <f t="shared" ca="1" si="27"/>
        <v>-9.2763895237224933E-2</v>
      </c>
    </row>
    <row r="1286" spans="6:7" x14ac:dyDescent="0.2">
      <c r="F1286" s="591">
        <v>1277</v>
      </c>
      <c r="G1286" s="420">
        <f t="shared" ca="1" si="27"/>
        <v>7.3241944448734525E-2</v>
      </c>
    </row>
    <row r="1287" spans="6:7" x14ac:dyDescent="0.2">
      <c r="F1287" s="591">
        <v>1278</v>
      </c>
      <c r="G1287" s="420">
        <f t="shared" ca="1" si="27"/>
        <v>-5.2242908392804516E-2</v>
      </c>
    </row>
    <row r="1288" spans="6:7" x14ac:dyDescent="0.2">
      <c r="F1288" s="591">
        <v>1279</v>
      </c>
      <c r="G1288" s="420">
        <f t="shared" ca="1" si="27"/>
        <v>9.8566718578806181E-3</v>
      </c>
    </row>
    <row r="1289" spans="6:7" x14ac:dyDescent="0.2">
      <c r="F1289" s="591">
        <v>1280</v>
      </c>
      <c r="G1289" s="420">
        <f t="shared" ca="1" si="27"/>
        <v>8.9127865340879894E-2</v>
      </c>
    </row>
    <row r="1290" spans="6:7" x14ac:dyDescent="0.2">
      <c r="F1290" s="591">
        <v>1281</v>
      </c>
      <c r="G1290" s="420">
        <f t="shared" ca="1" si="27"/>
        <v>1.3630061068697342E-2</v>
      </c>
    </row>
    <row r="1291" spans="6:7" x14ac:dyDescent="0.2">
      <c r="F1291" s="591">
        <v>1282</v>
      </c>
      <c r="G1291" s="420">
        <f t="shared" ref="G1291:G1354" ca="1" si="28">_xlfn.NORM.INV(RAND(), $M$11,$M$12)</f>
        <v>3.0387750549200863E-2</v>
      </c>
    </row>
    <row r="1292" spans="6:7" x14ac:dyDescent="0.2">
      <c r="F1292" s="591">
        <v>1283</v>
      </c>
      <c r="G1292" s="420">
        <f t="shared" ca="1" si="28"/>
        <v>-1.7928557732418093E-2</v>
      </c>
    </row>
    <row r="1293" spans="6:7" x14ac:dyDescent="0.2">
      <c r="F1293" s="591">
        <v>1284</v>
      </c>
      <c r="G1293" s="420">
        <f t="shared" ca="1" si="28"/>
        <v>-6.1176883838675075E-2</v>
      </c>
    </row>
    <row r="1294" spans="6:7" x14ac:dyDescent="0.2">
      <c r="F1294" s="591">
        <v>1285</v>
      </c>
      <c r="G1294" s="420">
        <f t="shared" ca="1" si="28"/>
        <v>5.0438370817039696E-2</v>
      </c>
    </row>
    <row r="1295" spans="6:7" x14ac:dyDescent="0.2">
      <c r="F1295" s="591">
        <v>1286</v>
      </c>
      <c r="G1295" s="420">
        <f t="shared" ca="1" si="28"/>
        <v>1.7572821183171505E-2</v>
      </c>
    </row>
    <row r="1296" spans="6:7" x14ac:dyDescent="0.2">
      <c r="F1296" s="591">
        <v>1287</v>
      </c>
      <c r="G1296" s="420">
        <f t="shared" ca="1" si="28"/>
        <v>3.17642430727689E-2</v>
      </c>
    </row>
    <row r="1297" spans="6:7" x14ac:dyDescent="0.2">
      <c r="F1297" s="591">
        <v>1288</v>
      </c>
      <c r="G1297" s="420">
        <f t="shared" ca="1" si="28"/>
        <v>3.3173066511224619E-2</v>
      </c>
    </row>
    <row r="1298" spans="6:7" x14ac:dyDescent="0.2">
      <c r="F1298" s="591">
        <v>1289</v>
      </c>
      <c r="G1298" s="420">
        <f t="shared" ca="1" si="28"/>
        <v>9.219359483500307E-2</v>
      </c>
    </row>
    <row r="1299" spans="6:7" x14ac:dyDescent="0.2">
      <c r="F1299" s="591">
        <v>1290</v>
      </c>
      <c r="G1299" s="420">
        <f t="shared" ca="1" si="28"/>
        <v>6.4324540913078376E-2</v>
      </c>
    </row>
    <row r="1300" spans="6:7" x14ac:dyDescent="0.2">
      <c r="F1300" s="591">
        <v>1291</v>
      </c>
      <c r="G1300" s="420">
        <f t="shared" ca="1" si="28"/>
        <v>6.5548451938458032E-3</v>
      </c>
    </row>
    <row r="1301" spans="6:7" x14ac:dyDescent="0.2">
      <c r="F1301" s="591">
        <v>1292</v>
      </c>
      <c r="G1301" s="420">
        <f t="shared" ca="1" si="28"/>
        <v>2.6468219340901128E-2</v>
      </c>
    </row>
    <row r="1302" spans="6:7" x14ac:dyDescent="0.2">
      <c r="F1302" s="591">
        <v>1293</v>
      </c>
      <c r="G1302" s="420">
        <f t="shared" ca="1" si="28"/>
        <v>0.23376816020842528</v>
      </c>
    </row>
    <row r="1303" spans="6:7" x14ac:dyDescent="0.2">
      <c r="F1303" s="591">
        <v>1294</v>
      </c>
      <c r="G1303" s="420">
        <f t="shared" ca="1" si="28"/>
        <v>0.15164748817989523</v>
      </c>
    </row>
    <row r="1304" spans="6:7" x14ac:dyDescent="0.2">
      <c r="F1304" s="591">
        <v>1295</v>
      </c>
      <c r="G1304" s="420">
        <f t="shared" ca="1" si="28"/>
        <v>2.374738219706107E-2</v>
      </c>
    </row>
    <row r="1305" spans="6:7" x14ac:dyDescent="0.2">
      <c r="F1305" s="591">
        <v>1296</v>
      </c>
      <c r="G1305" s="420">
        <f t="shared" ca="1" si="28"/>
        <v>5.0698759309214608E-2</v>
      </c>
    </row>
    <row r="1306" spans="6:7" x14ac:dyDescent="0.2">
      <c r="F1306" s="591">
        <v>1297</v>
      </c>
      <c r="G1306" s="420">
        <f t="shared" ca="1" si="28"/>
        <v>1.5083591946180393E-2</v>
      </c>
    </row>
    <row r="1307" spans="6:7" x14ac:dyDescent="0.2">
      <c r="F1307" s="591">
        <v>1298</v>
      </c>
      <c r="G1307" s="420">
        <f t="shared" ca="1" si="28"/>
        <v>2.1378739430509389E-2</v>
      </c>
    </row>
    <row r="1308" spans="6:7" x14ac:dyDescent="0.2">
      <c r="F1308" s="591">
        <v>1299</v>
      </c>
      <c r="G1308" s="420">
        <f t="shared" ca="1" si="28"/>
        <v>1.4829758470975457E-2</v>
      </c>
    </row>
    <row r="1309" spans="6:7" x14ac:dyDescent="0.2">
      <c r="F1309" s="591">
        <v>1300</v>
      </c>
      <c r="G1309" s="420">
        <f t="shared" ca="1" si="28"/>
        <v>7.9846402364540103E-2</v>
      </c>
    </row>
    <row r="1310" spans="6:7" x14ac:dyDescent="0.2">
      <c r="F1310" s="591">
        <v>1301</v>
      </c>
      <c r="G1310" s="420">
        <f t="shared" ca="1" si="28"/>
        <v>-6.8129419383978651E-2</v>
      </c>
    </row>
    <row r="1311" spans="6:7" x14ac:dyDescent="0.2">
      <c r="F1311" s="591">
        <v>1302</v>
      </c>
      <c r="G1311" s="420">
        <f t="shared" ca="1" si="28"/>
        <v>0.12985492960474815</v>
      </c>
    </row>
    <row r="1312" spans="6:7" x14ac:dyDescent="0.2">
      <c r="F1312" s="591">
        <v>1303</v>
      </c>
      <c r="G1312" s="420">
        <f t="shared" ca="1" si="28"/>
        <v>8.2937716014649734E-2</v>
      </c>
    </row>
    <row r="1313" spans="6:7" x14ac:dyDescent="0.2">
      <c r="F1313" s="591">
        <v>1304</v>
      </c>
      <c r="G1313" s="420">
        <f t="shared" ca="1" si="28"/>
        <v>-5.7267209682849263E-2</v>
      </c>
    </row>
    <row r="1314" spans="6:7" x14ac:dyDescent="0.2">
      <c r="F1314" s="591">
        <v>1305</v>
      </c>
      <c r="G1314" s="420">
        <f t="shared" ca="1" si="28"/>
        <v>1.7439732061097345E-3</v>
      </c>
    </row>
    <row r="1315" spans="6:7" x14ac:dyDescent="0.2">
      <c r="F1315" s="591">
        <v>1306</v>
      </c>
      <c r="G1315" s="420">
        <f t="shared" ca="1" si="28"/>
        <v>-0.14127242903217047</v>
      </c>
    </row>
    <row r="1316" spans="6:7" x14ac:dyDescent="0.2">
      <c r="F1316" s="591">
        <v>1307</v>
      </c>
      <c r="G1316" s="420">
        <f t="shared" ca="1" si="28"/>
        <v>3.3198632303092647E-2</v>
      </c>
    </row>
    <row r="1317" spans="6:7" x14ac:dyDescent="0.2">
      <c r="F1317" s="591">
        <v>1308</v>
      </c>
      <c r="G1317" s="420">
        <f t="shared" ca="1" si="28"/>
        <v>4.211893311822501E-2</v>
      </c>
    </row>
    <row r="1318" spans="6:7" x14ac:dyDescent="0.2">
      <c r="F1318" s="591">
        <v>1309</v>
      </c>
      <c r="G1318" s="420">
        <f t="shared" ca="1" si="28"/>
        <v>-1.505096958602653E-2</v>
      </c>
    </row>
    <row r="1319" spans="6:7" x14ac:dyDescent="0.2">
      <c r="F1319" s="591">
        <v>1310</v>
      </c>
      <c r="G1319" s="420">
        <f t="shared" ca="1" si="28"/>
        <v>-8.8036199842989812E-2</v>
      </c>
    </row>
    <row r="1320" spans="6:7" x14ac:dyDescent="0.2">
      <c r="F1320" s="591">
        <v>1311</v>
      </c>
      <c r="G1320" s="420">
        <f t="shared" ca="1" si="28"/>
        <v>-4.0659285727607922E-2</v>
      </c>
    </row>
    <row r="1321" spans="6:7" x14ac:dyDescent="0.2">
      <c r="F1321" s="591">
        <v>1312</v>
      </c>
      <c r="G1321" s="420">
        <f t="shared" ca="1" si="28"/>
        <v>-3.6310281199212285E-2</v>
      </c>
    </row>
    <row r="1322" spans="6:7" x14ac:dyDescent="0.2">
      <c r="F1322" s="591">
        <v>1313</v>
      </c>
      <c r="G1322" s="420">
        <f t="shared" ca="1" si="28"/>
        <v>9.1414482291475571E-2</v>
      </c>
    </row>
    <row r="1323" spans="6:7" x14ac:dyDescent="0.2">
      <c r="F1323" s="591">
        <v>1314</v>
      </c>
      <c r="G1323" s="420">
        <f t="shared" ca="1" si="28"/>
        <v>0.15411397359551424</v>
      </c>
    </row>
    <row r="1324" spans="6:7" x14ac:dyDescent="0.2">
      <c r="F1324" s="591">
        <v>1315</v>
      </c>
      <c r="G1324" s="420">
        <f t="shared" ca="1" si="28"/>
        <v>3.1218354102120611E-2</v>
      </c>
    </row>
    <row r="1325" spans="6:7" x14ac:dyDescent="0.2">
      <c r="F1325" s="591">
        <v>1316</v>
      </c>
      <c r="G1325" s="420">
        <f t="shared" ca="1" si="28"/>
        <v>-9.0897621121274114E-2</v>
      </c>
    </row>
    <row r="1326" spans="6:7" x14ac:dyDescent="0.2">
      <c r="F1326" s="591">
        <v>1317</v>
      </c>
      <c r="G1326" s="420">
        <f t="shared" ca="1" si="28"/>
        <v>-0.11825521034251242</v>
      </c>
    </row>
    <row r="1327" spans="6:7" x14ac:dyDescent="0.2">
      <c r="F1327" s="591">
        <v>1318</v>
      </c>
      <c r="G1327" s="420">
        <f t="shared" ca="1" si="28"/>
        <v>-9.8944454978226862E-2</v>
      </c>
    </row>
    <row r="1328" spans="6:7" x14ac:dyDescent="0.2">
      <c r="F1328" s="591">
        <v>1319</v>
      </c>
      <c r="G1328" s="420">
        <f t="shared" ca="1" si="28"/>
        <v>-4.4761028016953003E-2</v>
      </c>
    </row>
    <row r="1329" spans="6:7" x14ac:dyDescent="0.2">
      <c r="F1329" s="591">
        <v>1320</v>
      </c>
      <c r="G1329" s="420">
        <f t="shared" ca="1" si="28"/>
        <v>-1.5689085796043126E-2</v>
      </c>
    </row>
    <row r="1330" spans="6:7" x14ac:dyDescent="0.2">
      <c r="F1330" s="591">
        <v>1321</v>
      </c>
      <c r="G1330" s="420">
        <f t="shared" ca="1" si="28"/>
        <v>-5.4416190303856332E-3</v>
      </c>
    </row>
    <row r="1331" spans="6:7" x14ac:dyDescent="0.2">
      <c r="F1331" s="591">
        <v>1322</v>
      </c>
      <c r="G1331" s="420">
        <f t="shared" ca="1" si="28"/>
        <v>-9.7972112787934468E-2</v>
      </c>
    </row>
    <row r="1332" spans="6:7" x14ac:dyDescent="0.2">
      <c r="F1332" s="591">
        <v>1323</v>
      </c>
      <c r="G1332" s="420">
        <f t="shared" ca="1" si="28"/>
        <v>7.3413000080182381E-2</v>
      </c>
    </row>
    <row r="1333" spans="6:7" x14ac:dyDescent="0.2">
      <c r="F1333" s="591">
        <v>1324</v>
      </c>
      <c r="G1333" s="420">
        <f t="shared" ca="1" si="28"/>
        <v>6.7107682591194248E-2</v>
      </c>
    </row>
    <row r="1334" spans="6:7" x14ac:dyDescent="0.2">
      <c r="F1334" s="591">
        <v>1325</v>
      </c>
      <c r="G1334" s="420">
        <f t="shared" ca="1" si="28"/>
        <v>6.0020844042109625E-2</v>
      </c>
    </row>
    <row r="1335" spans="6:7" x14ac:dyDescent="0.2">
      <c r="F1335" s="591">
        <v>1326</v>
      </c>
      <c r="G1335" s="420">
        <f t="shared" ca="1" si="28"/>
        <v>1.6620631249809462E-2</v>
      </c>
    </row>
    <row r="1336" spans="6:7" x14ac:dyDescent="0.2">
      <c r="F1336" s="591">
        <v>1327</v>
      </c>
      <c r="G1336" s="420">
        <f t="shared" ca="1" si="28"/>
        <v>3.5423116039539598E-2</v>
      </c>
    </row>
    <row r="1337" spans="6:7" x14ac:dyDescent="0.2">
      <c r="F1337" s="591">
        <v>1328</v>
      </c>
      <c r="G1337" s="420">
        <f t="shared" ca="1" si="28"/>
        <v>2.371075023683715E-2</v>
      </c>
    </row>
    <row r="1338" spans="6:7" x14ac:dyDescent="0.2">
      <c r="F1338" s="591">
        <v>1329</v>
      </c>
      <c r="G1338" s="420">
        <f t="shared" ca="1" si="28"/>
        <v>0.1076938889337421</v>
      </c>
    </row>
    <row r="1339" spans="6:7" x14ac:dyDescent="0.2">
      <c r="F1339" s="591">
        <v>1330</v>
      </c>
      <c r="G1339" s="420">
        <f t="shared" ca="1" si="28"/>
        <v>6.3001633776796065E-3</v>
      </c>
    </row>
    <row r="1340" spans="6:7" x14ac:dyDescent="0.2">
      <c r="F1340" s="591">
        <v>1331</v>
      </c>
      <c r="G1340" s="420">
        <f t="shared" ca="1" si="28"/>
        <v>-0.15752218647029395</v>
      </c>
    </row>
    <row r="1341" spans="6:7" x14ac:dyDescent="0.2">
      <c r="F1341" s="591">
        <v>1332</v>
      </c>
      <c r="G1341" s="420">
        <f t="shared" ca="1" si="28"/>
        <v>5.5642251557100356E-2</v>
      </c>
    </row>
    <row r="1342" spans="6:7" x14ac:dyDescent="0.2">
      <c r="F1342" s="591">
        <v>1333</v>
      </c>
      <c r="G1342" s="420">
        <f t="shared" ca="1" si="28"/>
        <v>-2.204201782764412E-2</v>
      </c>
    </row>
    <row r="1343" spans="6:7" x14ac:dyDescent="0.2">
      <c r="F1343" s="591">
        <v>1334</v>
      </c>
      <c r="G1343" s="420">
        <f t="shared" ca="1" si="28"/>
        <v>0.11949365458911508</v>
      </c>
    </row>
    <row r="1344" spans="6:7" x14ac:dyDescent="0.2">
      <c r="F1344" s="591">
        <v>1335</v>
      </c>
      <c r="G1344" s="420">
        <f t="shared" ca="1" si="28"/>
        <v>3.6574281495292585E-2</v>
      </c>
    </row>
    <row r="1345" spans="6:7" x14ac:dyDescent="0.2">
      <c r="F1345" s="591">
        <v>1336</v>
      </c>
      <c r="G1345" s="420">
        <f t="shared" ca="1" si="28"/>
        <v>7.3422183521258302E-2</v>
      </c>
    </row>
    <row r="1346" spans="6:7" x14ac:dyDescent="0.2">
      <c r="F1346" s="591">
        <v>1337</v>
      </c>
      <c r="G1346" s="420">
        <f t="shared" ca="1" si="28"/>
        <v>9.7009191630658076E-2</v>
      </c>
    </row>
    <row r="1347" spans="6:7" x14ac:dyDescent="0.2">
      <c r="F1347" s="591">
        <v>1338</v>
      </c>
      <c r="G1347" s="420">
        <f t="shared" ca="1" si="28"/>
        <v>0.14925478898643604</v>
      </c>
    </row>
    <row r="1348" spans="6:7" x14ac:dyDescent="0.2">
      <c r="F1348" s="591">
        <v>1339</v>
      </c>
      <c r="G1348" s="420">
        <f t="shared" ca="1" si="28"/>
        <v>-5.4723292210920871E-2</v>
      </c>
    </row>
    <row r="1349" spans="6:7" x14ac:dyDescent="0.2">
      <c r="F1349" s="591">
        <v>1340</v>
      </c>
      <c r="G1349" s="420">
        <f t="shared" ca="1" si="28"/>
        <v>2.3628029279107919E-2</v>
      </c>
    </row>
    <row r="1350" spans="6:7" x14ac:dyDescent="0.2">
      <c r="F1350" s="591">
        <v>1341</v>
      </c>
      <c r="G1350" s="420">
        <f t="shared" ca="1" si="28"/>
        <v>-3.4805164134096039E-2</v>
      </c>
    </row>
    <row r="1351" spans="6:7" x14ac:dyDescent="0.2">
      <c r="F1351" s="591">
        <v>1342</v>
      </c>
      <c r="G1351" s="420">
        <f t="shared" ca="1" si="28"/>
        <v>7.7874219645716392E-2</v>
      </c>
    </row>
    <row r="1352" spans="6:7" x14ac:dyDescent="0.2">
      <c r="F1352" s="591">
        <v>1343</v>
      </c>
      <c r="G1352" s="420">
        <f t="shared" ca="1" si="28"/>
        <v>9.3007799412914344E-2</v>
      </c>
    </row>
    <row r="1353" spans="6:7" x14ac:dyDescent="0.2">
      <c r="F1353" s="591">
        <v>1344</v>
      </c>
      <c r="G1353" s="420">
        <f t="shared" ca="1" si="28"/>
        <v>-5.9628370209248868E-2</v>
      </c>
    </row>
    <row r="1354" spans="6:7" x14ac:dyDescent="0.2">
      <c r="F1354" s="591">
        <v>1345</v>
      </c>
      <c r="G1354" s="420">
        <f t="shared" ca="1" si="28"/>
        <v>-5.7600294428837295E-2</v>
      </c>
    </row>
    <row r="1355" spans="6:7" x14ac:dyDescent="0.2">
      <c r="F1355" s="591">
        <v>1346</v>
      </c>
      <c r="G1355" s="420">
        <f t="shared" ref="G1355:G1418" ca="1" si="29">_xlfn.NORM.INV(RAND(), $M$11,$M$12)</f>
        <v>9.3812405811708729E-2</v>
      </c>
    </row>
    <row r="1356" spans="6:7" x14ac:dyDescent="0.2">
      <c r="F1356" s="591">
        <v>1347</v>
      </c>
      <c r="G1356" s="420">
        <f t="shared" ca="1" si="29"/>
        <v>-5.2467548152775254E-2</v>
      </c>
    </row>
    <row r="1357" spans="6:7" x14ac:dyDescent="0.2">
      <c r="F1357" s="591">
        <v>1348</v>
      </c>
      <c r="G1357" s="420">
        <f t="shared" ca="1" si="29"/>
        <v>-5.6128234102399213E-2</v>
      </c>
    </row>
    <row r="1358" spans="6:7" x14ac:dyDescent="0.2">
      <c r="F1358" s="591">
        <v>1349</v>
      </c>
      <c r="G1358" s="420">
        <f t="shared" ca="1" si="29"/>
        <v>-2.9243147786638998E-3</v>
      </c>
    </row>
    <row r="1359" spans="6:7" x14ac:dyDescent="0.2">
      <c r="F1359" s="591">
        <v>1350</v>
      </c>
      <c r="G1359" s="420">
        <f t="shared" ca="1" si="29"/>
        <v>-2.542065361395791E-2</v>
      </c>
    </row>
    <row r="1360" spans="6:7" x14ac:dyDescent="0.2">
      <c r="F1360" s="591">
        <v>1351</v>
      </c>
      <c r="G1360" s="420">
        <f t="shared" ca="1" si="29"/>
        <v>0.12627202690761047</v>
      </c>
    </row>
    <row r="1361" spans="6:7" x14ac:dyDescent="0.2">
      <c r="F1361" s="591">
        <v>1352</v>
      </c>
      <c r="G1361" s="420">
        <f t="shared" ca="1" si="29"/>
        <v>4.4686620398823887E-2</v>
      </c>
    </row>
    <row r="1362" spans="6:7" x14ac:dyDescent="0.2">
      <c r="F1362" s="591">
        <v>1353</v>
      </c>
      <c r="G1362" s="420">
        <f t="shared" ca="1" si="29"/>
        <v>3.0315756438876323E-2</v>
      </c>
    </row>
    <row r="1363" spans="6:7" x14ac:dyDescent="0.2">
      <c r="F1363" s="591">
        <v>1354</v>
      </c>
      <c r="G1363" s="420">
        <f t="shared" ca="1" si="29"/>
        <v>-3.2465869735713946E-3</v>
      </c>
    </row>
    <row r="1364" spans="6:7" x14ac:dyDescent="0.2">
      <c r="F1364" s="591">
        <v>1355</v>
      </c>
      <c r="G1364" s="420">
        <f t="shared" ca="1" si="29"/>
        <v>0.13723569492469725</v>
      </c>
    </row>
    <row r="1365" spans="6:7" x14ac:dyDescent="0.2">
      <c r="F1365" s="591">
        <v>1356</v>
      </c>
      <c r="G1365" s="420">
        <f t="shared" ca="1" si="29"/>
        <v>7.4292368386413886E-3</v>
      </c>
    </row>
    <row r="1366" spans="6:7" x14ac:dyDescent="0.2">
      <c r="F1366" s="591">
        <v>1357</v>
      </c>
      <c r="G1366" s="420">
        <f t="shared" ca="1" si="29"/>
        <v>-2.7427649640103944E-2</v>
      </c>
    </row>
    <row r="1367" spans="6:7" x14ac:dyDescent="0.2">
      <c r="F1367" s="591">
        <v>1358</v>
      </c>
      <c r="G1367" s="420">
        <f t="shared" ca="1" si="29"/>
        <v>4.0241637594980026E-3</v>
      </c>
    </row>
    <row r="1368" spans="6:7" x14ac:dyDescent="0.2">
      <c r="F1368" s="591">
        <v>1359</v>
      </c>
      <c r="G1368" s="420">
        <f t="shared" ca="1" si="29"/>
        <v>-4.2243924284706344E-2</v>
      </c>
    </row>
    <row r="1369" spans="6:7" x14ac:dyDescent="0.2">
      <c r="F1369" s="591">
        <v>1360</v>
      </c>
      <c r="G1369" s="420">
        <f t="shared" ca="1" si="29"/>
        <v>-1.2254709591475659E-2</v>
      </c>
    </row>
    <row r="1370" spans="6:7" x14ac:dyDescent="0.2">
      <c r="F1370" s="591">
        <v>1361</v>
      </c>
      <c r="G1370" s="420">
        <f t="shared" ca="1" si="29"/>
        <v>-0.12847291020197624</v>
      </c>
    </row>
    <row r="1371" spans="6:7" x14ac:dyDescent="0.2">
      <c r="F1371" s="591">
        <v>1362</v>
      </c>
      <c r="G1371" s="420">
        <f t="shared" ca="1" si="29"/>
        <v>-3.0876123032555453E-2</v>
      </c>
    </row>
    <row r="1372" spans="6:7" x14ac:dyDescent="0.2">
      <c r="F1372" s="591">
        <v>1363</v>
      </c>
      <c r="G1372" s="420">
        <f t="shared" ca="1" si="29"/>
        <v>4.0720021272467939E-2</v>
      </c>
    </row>
    <row r="1373" spans="6:7" x14ac:dyDescent="0.2">
      <c r="F1373" s="591">
        <v>1364</v>
      </c>
      <c r="G1373" s="420">
        <f t="shared" ca="1" si="29"/>
        <v>-9.4802606741962045E-2</v>
      </c>
    </row>
    <row r="1374" spans="6:7" x14ac:dyDescent="0.2">
      <c r="F1374" s="591">
        <v>1365</v>
      </c>
      <c r="G1374" s="420">
        <f t="shared" ca="1" si="29"/>
        <v>7.028373184579588E-2</v>
      </c>
    </row>
    <row r="1375" spans="6:7" x14ac:dyDescent="0.2">
      <c r="F1375" s="591">
        <v>1366</v>
      </c>
      <c r="G1375" s="420">
        <f t="shared" ca="1" si="29"/>
        <v>2.4068053052238258E-2</v>
      </c>
    </row>
    <row r="1376" spans="6:7" x14ac:dyDescent="0.2">
      <c r="F1376" s="591">
        <v>1367</v>
      </c>
      <c r="G1376" s="420">
        <f t="shared" ca="1" si="29"/>
        <v>3.2582372114516919E-3</v>
      </c>
    </row>
    <row r="1377" spans="6:7" x14ac:dyDescent="0.2">
      <c r="F1377" s="591">
        <v>1368</v>
      </c>
      <c r="G1377" s="420">
        <f t="shared" ca="1" si="29"/>
        <v>0.10342183496027525</v>
      </c>
    </row>
    <row r="1378" spans="6:7" x14ac:dyDescent="0.2">
      <c r="F1378" s="591">
        <v>1369</v>
      </c>
      <c r="G1378" s="420">
        <f t="shared" ca="1" si="29"/>
        <v>-1.0223145558400908E-3</v>
      </c>
    </row>
    <row r="1379" spans="6:7" x14ac:dyDescent="0.2">
      <c r="F1379" s="591">
        <v>1370</v>
      </c>
      <c r="G1379" s="420">
        <f t="shared" ca="1" si="29"/>
        <v>-0.12106137943354568</v>
      </c>
    </row>
    <row r="1380" spans="6:7" x14ac:dyDescent="0.2">
      <c r="F1380" s="591">
        <v>1371</v>
      </c>
      <c r="G1380" s="420">
        <f t="shared" ca="1" si="29"/>
        <v>7.6946622153082123E-2</v>
      </c>
    </row>
    <row r="1381" spans="6:7" x14ac:dyDescent="0.2">
      <c r="F1381" s="591">
        <v>1372</v>
      </c>
      <c r="G1381" s="420">
        <f t="shared" ca="1" si="29"/>
        <v>-5.9830372476540647E-2</v>
      </c>
    </row>
    <row r="1382" spans="6:7" x14ac:dyDescent="0.2">
      <c r="F1382" s="591">
        <v>1373</v>
      </c>
      <c r="G1382" s="420">
        <f t="shared" ca="1" si="29"/>
        <v>1.5808100563070339E-2</v>
      </c>
    </row>
    <row r="1383" spans="6:7" x14ac:dyDescent="0.2">
      <c r="F1383" s="591">
        <v>1374</v>
      </c>
      <c r="G1383" s="420">
        <f t="shared" ca="1" si="29"/>
        <v>7.2906508208844339E-2</v>
      </c>
    </row>
    <row r="1384" spans="6:7" x14ac:dyDescent="0.2">
      <c r="F1384" s="591">
        <v>1375</v>
      </c>
      <c r="G1384" s="420">
        <f t="shared" ca="1" si="29"/>
        <v>-6.7051708092171966E-3</v>
      </c>
    </row>
    <row r="1385" spans="6:7" x14ac:dyDescent="0.2">
      <c r="F1385" s="591">
        <v>1376</v>
      </c>
      <c r="G1385" s="420">
        <f t="shared" ca="1" si="29"/>
        <v>-2.3957370757754604E-2</v>
      </c>
    </row>
    <row r="1386" spans="6:7" x14ac:dyDescent="0.2">
      <c r="F1386" s="591">
        <v>1377</v>
      </c>
      <c r="G1386" s="420">
        <f t="shared" ca="1" si="29"/>
        <v>1.050901971153956E-2</v>
      </c>
    </row>
    <row r="1387" spans="6:7" x14ac:dyDescent="0.2">
      <c r="F1387" s="591">
        <v>1378</v>
      </c>
      <c r="G1387" s="420">
        <f t="shared" ca="1" si="29"/>
        <v>-2.2409794071527749E-2</v>
      </c>
    </row>
    <row r="1388" spans="6:7" x14ac:dyDescent="0.2">
      <c r="F1388" s="591">
        <v>1379</v>
      </c>
      <c r="G1388" s="420">
        <f t="shared" ca="1" si="29"/>
        <v>1.7116749619813243E-2</v>
      </c>
    </row>
    <row r="1389" spans="6:7" x14ac:dyDescent="0.2">
      <c r="F1389" s="591">
        <v>1380</v>
      </c>
      <c r="G1389" s="420">
        <f t="shared" ca="1" si="29"/>
        <v>-5.6725535137914229E-2</v>
      </c>
    </row>
    <row r="1390" spans="6:7" x14ac:dyDescent="0.2">
      <c r="F1390" s="591">
        <v>1381</v>
      </c>
      <c r="G1390" s="420">
        <f t="shared" ca="1" si="29"/>
        <v>-4.8572594474761324E-2</v>
      </c>
    </row>
    <row r="1391" spans="6:7" x14ac:dyDescent="0.2">
      <c r="F1391" s="591">
        <v>1382</v>
      </c>
      <c r="G1391" s="420">
        <f t="shared" ca="1" si="29"/>
        <v>-1.7497628824818937E-2</v>
      </c>
    </row>
    <row r="1392" spans="6:7" x14ac:dyDescent="0.2">
      <c r="F1392" s="591">
        <v>1383</v>
      </c>
      <c r="G1392" s="420">
        <f t="shared" ca="1" si="29"/>
        <v>-3.0783563807449715E-2</v>
      </c>
    </row>
    <row r="1393" spans="6:7" x14ac:dyDescent="0.2">
      <c r="F1393" s="591">
        <v>1384</v>
      </c>
      <c r="G1393" s="420">
        <f t="shared" ca="1" si="29"/>
        <v>4.4345359290068748E-2</v>
      </c>
    </row>
    <row r="1394" spans="6:7" x14ac:dyDescent="0.2">
      <c r="F1394" s="591">
        <v>1385</v>
      </c>
      <c r="G1394" s="420">
        <f t="shared" ca="1" si="29"/>
        <v>4.60923315484004E-3</v>
      </c>
    </row>
    <row r="1395" spans="6:7" x14ac:dyDescent="0.2">
      <c r="F1395" s="591">
        <v>1386</v>
      </c>
      <c r="G1395" s="420">
        <f t="shared" ca="1" si="29"/>
        <v>3.5052058860813015E-2</v>
      </c>
    </row>
    <row r="1396" spans="6:7" x14ac:dyDescent="0.2">
      <c r="F1396" s="591">
        <v>1387</v>
      </c>
      <c r="G1396" s="420">
        <f t="shared" ca="1" si="29"/>
        <v>-2.9076141499193003E-2</v>
      </c>
    </row>
    <row r="1397" spans="6:7" x14ac:dyDescent="0.2">
      <c r="F1397" s="591">
        <v>1388</v>
      </c>
      <c r="G1397" s="420">
        <f t="shared" ca="1" si="29"/>
        <v>8.1075919923769391E-2</v>
      </c>
    </row>
    <row r="1398" spans="6:7" x14ac:dyDescent="0.2">
      <c r="F1398" s="591">
        <v>1389</v>
      </c>
      <c r="G1398" s="420">
        <f t="shared" ca="1" si="29"/>
        <v>-4.479108334048483E-2</v>
      </c>
    </row>
    <row r="1399" spans="6:7" x14ac:dyDescent="0.2">
      <c r="F1399" s="591">
        <v>1390</v>
      </c>
      <c r="G1399" s="420">
        <f t="shared" ca="1" si="29"/>
        <v>-4.9518254846344194E-3</v>
      </c>
    </row>
    <row r="1400" spans="6:7" x14ac:dyDescent="0.2">
      <c r="F1400" s="591">
        <v>1391</v>
      </c>
      <c r="G1400" s="420">
        <f t="shared" ca="1" si="29"/>
        <v>1.1697065898633396E-2</v>
      </c>
    </row>
    <row r="1401" spans="6:7" x14ac:dyDescent="0.2">
      <c r="F1401" s="591">
        <v>1392</v>
      </c>
      <c r="G1401" s="420">
        <f t="shared" ca="1" si="29"/>
        <v>-1.808209842796369E-2</v>
      </c>
    </row>
    <row r="1402" spans="6:7" x14ac:dyDescent="0.2">
      <c r="F1402" s="591">
        <v>1393</v>
      </c>
      <c r="G1402" s="420">
        <f t="shared" ca="1" si="29"/>
        <v>8.682605253574216E-2</v>
      </c>
    </row>
    <row r="1403" spans="6:7" x14ac:dyDescent="0.2">
      <c r="F1403" s="591">
        <v>1394</v>
      </c>
      <c r="G1403" s="420">
        <f t="shared" ca="1" si="29"/>
        <v>2.3996445965833321E-2</v>
      </c>
    </row>
    <row r="1404" spans="6:7" x14ac:dyDescent="0.2">
      <c r="F1404" s="591">
        <v>1395</v>
      </c>
      <c r="G1404" s="420">
        <f t="shared" ca="1" si="29"/>
        <v>0.11977458150098796</v>
      </c>
    </row>
    <row r="1405" spans="6:7" x14ac:dyDescent="0.2">
      <c r="F1405" s="591">
        <v>1396</v>
      </c>
      <c r="G1405" s="420">
        <f t="shared" ca="1" si="29"/>
        <v>9.1499601983125234E-2</v>
      </c>
    </row>
    <row r="1406" spans="6:7" x14ac:dyDescent="0.2">
      <c r="F1406" s="591">
        <v>1397</v>
      </c>
      <c r="G1406" s="420">
        <f t="shared" ca="1" si="29"/>
        <v>-3.8951152111539822E-2</v>
      </c>
    </row>
    <row r="1407" spans="6:7" x14ac:dyDescent="0.2">
      <c r="F1407" s="591">
        <v>1398</v>
      </c>
      <c r="G1407" s="420">
        <f t="shared" ca="1" si="29"/>
        <v>7.1813590870939914E-2</v>
      </c>
    </row>
    <row r="1408" spans="6:7" x14ac:dyDescent="0.2">
      <c r="F1408" s="591">
        <v>1399</v>
      </c>
      <c r="G1408" s="420">
        <f t="shared" ca="1" si="29"/>
        <v>-2.2359422710827238E-2</v>
      </c>
    </row>
    <row r="1409" spans="6:7" x14ac:dyDescent="0.2">
      <c r="F1409" s="591">
        <v>1400</v>
      </c>
      <c r="G1409" s="420">
        <f t="shared" ca="1" si="29"/>
        <v>1.3257264349580753E-2</v>
      </c>
    </row>
    <row r="1410" spans="6:7" x14ac:dyDescent="0.2">
      <c r="F1410" s="591">
        <v>1401</v>
      </c>
      <c r="G1410" s="420">
        <f t="shared" ca="1" si="29"/>
        <v>-2.6023898425801845E-3</v>
      </c>
    </row>
    <row r="1411" spans="6:7" x14ac:dyDescent="0.2">
      <c r="F1411" s="591">
        <v>1402</v>
      </c>
      <c r="G1411" s="420">
        <f t="shared" ca="1" si="29"/>
        <v>-4.0012494325045264E-2</v>
      </c>
    </row>
    <row r="1412" spans="6:7" x14ac:dyDescent="0.2">
      <c r="F1412" s="591">
        <v>1403</v>
      </c>
      <c r="G1412" s="420">
        <f t="shared" ca="1" si="29"/>
        <v>0.11979718982726392</v>
      </c>
    </row>
    <row r="1413" spans="6:7" x14ac:dyDescent="0.2">
      <c r="F1413" s="591">
        <v>1404</v>
      </c>
      <c r="G1413" s="420">
        <f t="shared" ca="1" si="29"/>
        <v>-9.0753291613149892E-3</v>
      </c>
    </row>
    <row r="1414" spans="6:7" x14ac:dyDescent="0.2">
      <c r="F1414" s="591">
        <v>1405</v>
      </c>
      <c r="G1414" s="420">
        <f t="shared" ca="1" si="29"/>
        <v>-5.2852729435623302E-2</v>
      </c>
    </row>
    <row r="1415" spans="6:7" x14ac:dyDescent="0.2">
      <c r="F1415" s="591">
        <v>1406</v>
      </c>
      <c r="G1415" s="420">
        <f t="shared" ca="1" si="29"/>
        <v>6.8535123288694225E-2</v>
      </c>
    </row>
    <row r="1416" spans="6:7" x14ac:dyDescent="0.2">
      <c r="F1416" s="591">
        <v>1407</v>
      </c>
      <c r="G1416" s="420">
        <f t="shared" ca="1" si="29"/>
        <v>4.7982971791223489E-2</v>
      </c>
    </row>
    <row r="1417" spans="6:7" x14ac:dyDescent="0.2">
      <c r="F1417" s="591">
        <v>1408</v>
      </c>
      <c r="G1417" s="420">
        <f t="shared" ca="1" si="29"/>
        <v>-5.5685668661065779E-2</v>
      </c>
    </row>
    <row r="1418" spans="6:7" x14ac:dyDescent="0.2">
      <c r="F1418" s="591">
        <v>1409</v>
      </c>
      <c r="G1418" s="420">
        <f t="shared" ca="1" si="29"/>
        <v>-7.9200211826205326E-3</v>
      </c>
    </row>
    <row r="1419" spans="6:7" x14ac:dyDescent="0.2">
      <c r="F1419" s="591">
        <v>1410</v>
      </c>
      <c r="G1419" s="420">
        <f t="shared" ref="G1419:G1482" ca="1" si="30">_xlfn.NORM.INV(RAND(), $M$11,$M$12)</f>
        <v>6.6260502893251361E-2</v>
      </c>
    </row>
    <row r="1420" spans="6:7" x14ac:dyDescent="0.2">
      <c r="F1420" s="591">
        <v>1411</v>
      </c>
      <c r="G1420" s="420">
        <f t="shared" ca="1" si="30"/>
        <v>-2.1141612013803653E-2</v>
      </c>
    </row>
    <row r="1421" spans="6:7" x14ac:dyDescent="0.2">
      <c r="F1421" s="591">
        <v>1412</v>
      </c>
      <c r="G1421" s="420">
        <f t="shared" ca="1" si="30"/>
        <v>0.11749335882908546</v>
      </c>
    </row>
    <row r="1422" spans="6:7" x14ac:dyDescent="0.2">
      <c r="F1422" s="591">
        <v>1413</v>
      </c>
      <c r="G1422" s="420">
        <f t="shared" ca="1" si="30"/>
        <v>-9.9552876685235325E-2</v>
      </c>
    </row>
    <row r="1423" spans="6:7" x14ac:dyDescent="0.2">
      <c r="F1423" s="591">
        <v>1414</v>
      </c>
      <c r="G1423" s="420">
        <f t="shared" ca="1" si="30"/>
        <v>-9.4391216468012046E-2</v>
      </c>
    </row>
    <row r="1424" spans="6:7" x14ac:dyDescent="0.2">
      <c r="F1424" s="591">
        <v>1415</v>
      </c>
      <c r="G1424" s="420">
        <f t="shared" ca="1" si="30"/>
        <v>-0.10297577983427782</v>
      </c>
    </row>
    <row r="1425" spans="6:7" x14ac:dyDescent="0.2">
      <c r="F1425" s="591">
        <v>1416</v>
      </c>
      <c r="G1425" s="420">
        <f t="shared" ca="1" si="30"/>
        <v>-1.6452947592472164E-2</v>
      </c>
    </row>
    <row r="1426" spans="6:7" x14ac:dyDescent="0.2">
      <c r="F1426" s="591">
        <v>1417</v>
      </c>
      <c r="G1426" s="420">
        <f t="shared" ca="1" si="30"/>
        <v>-9.653717071159934E-2</v>
      </c>
    </row>
    <row r="1427" spans="6:7" x14ac:dyDescent="0.2">
      <c r="F1427" s="591">
        <v>1418</v>
      </c>
      <c r="G1427" s="420">
        <f t="shared" ca="1" si="30"/>
        <v>9.4493735686058997E-2</v>
      </c>
    </row>
    <row r="1428" spans="6:7" x14ac:dyDescent="0.2">
      <c r="F1428" s="591">
        <v>1419</v>
      </c>
      <c r="G1428" s="420">
        <f t="shared" ca="1" si="30"/>
        <v>2.0221881710629282E-2</v>
      </c>
    </row>
    <row r="1429" spans="6:7" x14ac:dyDescent="0.2">
      <c r="F1429" s="591">
        <v>1420</v>
      </c>
      <c r="G1429" s="420">
        <f t="shared" ca="1" si="30"/>
        <v>-1.1309942307579281E-3</v>
      </c>
    </row>
    <row r="1430" spans="6:7" x14ac:dyDescent="0.2">
      <c r="F1430" s="591">
        <v>1421</v>
      </c>
      <c r="G1430" s="420">
        <f t="shared" ca="1" si="30"/>
        <v>-1.4827549049411509E-2</v>
      </c>
    </row>
    <row r="1431" spans="6:7" x14ac:dyDescent="0.2">
      <c r="F1431" s="591">
        <v>1422</v>
      </c>
      <c r="G1431" s="420">
        <f t="shared" ca="1" si="30"/>
        <v>3.8361660401097716E-2</v>
      </c>
    </row>
    <row r="1432" spans="6:7" x14ac:dyDescent="0.2">
      <c r="F1432" s="591">
        <v>1423</v>
      </c>
      <c r="G1432" s="420">
        <f t="shared" ca="1" si="30"/>
        <v>-4.7293650195715978E-2</v>
      </c>
    </row>
    <row r="1433" spans="6:7" x14ac:dyDescent="0.2">
      <c r="F1433" s="591">
        <v>1424</v>
      </c>
      <c r="G1433" s="420">
        <f t="shared" ca="1" si="30"/>
        <v>-7.4257770472341805E-2</v>
      </c>
    </row>
    <row r="1434" spans="6:7" x14ac:dyDescent="0.2">
      <c r="F1434" s="591">
        <v>1425</v>
      </c>
      <c r="G1434" s="420">
        <f t="shared" ca="1" si="30"/>
        <v>4.337028610071908E-2</v>
      </c>
    </row>
    <row r="1435" spans="6:7" x14ac:dyDescent="0.2">
      <c r="F1435" s="591">
        <v>1426</v>
      </c>
      <c r="G1435" s="420">
        <f t="shared" ca="1" si="30"/>
        <v>-7.3408927373522573E-3</v>
      </c>
    </row>
    <row r="1436" spans="6:7" x14ac:dyDescent="0.2">
      <c r="F1436" s="591">
        <v>1427</v>
      </c>
      <c r="G1436" s="420">
        <f t="shared" ca="1" si="30"/>
        <v>-3.975139637067393E-2</v>
      </c>
    </row>
    <row r="1437" spans="6:7" x14ac:dyDescent="0.2">
      <c r="F1437" s="591">
        <v>1428</v>
      </c>
      <c r="G1437" s="420">
        <f t="shared" ca="1" si="30"/>
        <v>-5.6569890234277082E-2</v>
      </c>
    </row>
    <row r="1438" spans="6:7" x14ac:dyDescent="0.2">
      <c r="F1438" s="591">
        <v>1429</v>
      </c>
      <c r="G1438" s="420">
        <f t="shared" ca="1" si="30"/>
        <v>-2.6239651604272368E-2</v>
      </c>
    </row>
    <row r="1439" spans="6:7" x14ac:dyDescent="0.2">
      <c r="F1439" s="591">
        <v>1430</v>
      </c>
      <c r="G1439" s="420">
        <f t="shared" ca="1" si="30"/>
        <v>9.1694795579360305E-2</v>
      </c>
    </row>
    <row r="1440" spans="6:7" x14ac:dyDescent="0.2">
      <c r="F1440" s="591">
        <v>1431</v>
      </c>
      <c r="G1440" s="420">
        <f t="shared" ca="1" si="30"/>
        <v>-2.2126424261461445E-2</v>
      </c>
    </row>
    <row r="1441" spans="6:7" x14ac:dyDescent="0.2">
      <c r="F1441" s="591">
        <v>1432</v>
      </c>
      <c r="G1441" s="420">
        <f t="shared" ca="1" si="30"/>
        <v>-2.9143264500050389E-2</v>
      </c>
    </row>
    <row r="1442" spans="6:7" x14ac:dyDescent="0.2">
      <c r="F1442" s="591">
        <v>1433</v>
      </c>
      <c r="G1442" s="420">
        <f t="shared" ca="1" si="30"/>
        <v>-0.10147028563617336</v>
      </c>
    </row>
    <row r="1443" spans="6:7" x14ac:dyDescent="0.2">
      <c r="F1443" s="591">
        <v>1434</v>
      </c>
      <c r="G1443" s="420">
        <f t="shared" ca="1" si="30"/>
        <v>4.4563893623494236E-2</v>
      </c>
    </row>
    <row r="1444" spans="6:7" x14ac:dyDescent="0.2">
      <c r="F1444" s="591">
        <v>1435</v>
      </c>
      <c r="G1444" s="420">
        <f t="shared" ca="1" si="30"/>
        <v>-1.9016046991594926E-2</v>
      </c>
    </row>
    <row r="1445" spans="6:7" x14ac:dyDescent="0.2">
      <c r="F1445" s="591">
        <v>1436</v>
      </c>
      <c r="G1445" s="420">
        <f t="shared" ca="1" si="30"/>
        <v>-5.587737709771104E-2</v>
      </c>
    </row>
    <row r="1446" spans="6:7" x14ac:dyDescent="0.2">
      <c r="F1446" s="591">
        <v>1437</v>
      </c>
      <c r="G1446" s="420">
        <f t="shared" ca="1" si="30"/>
        <v>7.9588465865840837E-3</v>
      </c>
    </row>
    <row r="1447" spans="6:7" x14ac:dyDescent="0.2">
      <c r="F1447" s="591">
        <v>1438</v>
      </c>
      <c r="G1447" s="420">
        <f t="shared" ca="1" si="30"/>
        <v>-4.4764052353660086E-2</v>
      </c>
    </row>
    <row r="1448" spans="6:7" x14ac:dyDescent="0.2">
      <c r="F1448" s="591">
        <v>1439</v>
      </c>
      <c r="G1448" s="420">
        <f t="shared" ca="1" si="30"/>
        <v>3.2652640220926808E-2</v>
      </c>
    </row>
    <row r="1449" spans="6:7" x14ac:dyDescent="0.2">
      <c r="F1449" s="591">
        <v>1440</v>
      </c>
      <c r="G1449" s="420">
        <f t="shared" ca="1" si="30"/>
        <v>1.0140126737621333E-2</v>
      </c>
    </row>
    <row r="1450" spans="6:7" x14ac:dyDescent="0.2">
      <c r="F1450" s="591">
        <v>1441</v>
      </c>
      <c r="G1450" s="420">
        <f t="shared" ca="1" si="30"/>
        <v>0.12238101616916268</v>
      </c>
    </row>
    <row r="1451" spans="6:7" x14ac:dyDescent="0.2">
      <c r="F1451" s="591">
        <v>1442</v>
      </c>
      <c r="G1451" s="420">
        <f t="shared" ca="1" si="30"/>
        <v>-9.8465465039476674E-2</v>
      </c>
    </row>
    <row r="1452" spans="6:7" x14ac:dyDescent="0.2">
      <c r="F1452" s="591">
        <v>1443</v>
      </c>
      <c r="G1452" s="420">
        <f t="shared" ca="1" si="30"/>
        <v>3.5688517958779933E-2</v>
      </c>
    </row>
    <row r="1453" spans="6:7" x14ac:dyDescent="0.2">
      <c r="F1453" s="591">
        <v>1444</v>
      </c>
      <c r="G1453" s="420">
        <f t="shared" ca="1" si="30"/>
        <v>0.13961531654908724</v>
      </c>
    </row>
    <row r="1454" spans="6:7" x14ac:dyDescent="0.2">
      <c r="F1454" s="591">
        <v>1445</v>
      </c>
      <c r="G1454" s="420">
        <f t="shared" ca="1" si="30"/>
        <v>9.0911118441206876E-2</v>
      </c>
    </row>
    <row r="1455" spans="6:7" x14ac:dyDescent="0.2">
      <c r="F1455" s="591">
        <v>1446</v>
      </c>
      <c r="G1455" s="420">
        <f t="shared" ca="1" si="30"/>
        <v>1.6219662073127191E-2</v>
      </c>
    </row>
    <row r="1456" spans="6:7" x14ac:dyDescent="0.2">
      <c r="F1456" s="591">
        <v>1447</v>
      </c>
      <c r="G1456" s="420">
        <f t="shared" ca="1" si="30"/>
        <v>6.2702533672971225E-2</v>
      </c>
    </row>
    <row r="1457" spans="6:7" x14ac:dyDescent="0.2">
      <c r="F1457" s="591">
        <v>1448</v>
      </c>
      <c r="G1457" s="420">
        <f t="shared" ca="1" si="30"/>
        <v>5.4782531994471514E-2</v>
      </c>
    </row>
    <row r="1458" spans="6:7" x14ac:dyDescent="0.2">
      <c r="F1458" s="591">
        <v>1449</v>
      </c>
      <c r="G1458" s="420">
        <f t="shared" ca="1" si="30"/>
        <v>-4.4489386014222559E-2</v>
      </c>
    </row>
    <row r="1459" spans="6:7" x14ac:dyDescent="0.2">
      <c r="F1459" s="591">
        <v>1450</v>
      </c>
      <c r="G1459" s="420">
        <f t="shared" ca="1" si="30"/>
        <v>5.664414236820561E-3</v>
      </c>
    </row>
    <row r="1460" spans="6:7" x14ac:dyDescent="0.2">
      <c r="F1460" s="591">
        <v>1451</v>
      </c>
      <c r="G1460" s="420">
        <f t="shared" ca="1" si="30"/>
        <v>0.12660114572685155</v>
      </c>
    </row>
    <row r="1461" spans="6:7" x14ac:dyDescent="0.2">
      <c r="F1461" s="591">
        <v>1452</v>
      </c>
      <c r="G1461" s="420">
        <f t="shared" ca="1" si="30"/>
        <v>4.0420226538695023E-2</v>
      </c>
    </row>
    <row r="1462" spans="6:7" x14ac:dyDescent="0.2">
      <c r="F1462" s="591">
        <v>1453</v>
      </c>
      <c r="G1462" s="420">
        <f t="shared" ca="1" si="30"/>
        <v>2.3870859973756875E-2</v>
      </c>
    </row>
    <row r="1463" spans="6:7" x14ac:dyDescent="0.2">
      <c r="F1463" s="591">
        <v>1454</v>
      </c>
      <c r="G1463" s="420">
        <f t="shared" ca="1" si="30"/>
        <v>0.12578183234221202</v>
      </c>
    </row>
    <row r="1464" spans="6:7" x14ac:dyDescent="0.2">
      <c r="F1464" s="591">
        <v>1455</v>
      </c>
      <c r="G1464" s="420">
        <f t="shared" ca="1" si="30"/>
        <v>1.8211349757994873E-2</v>
      </c>
    </row>
    <row r="1465" spans="6:7" x14ac:dyDescent="0.2">
      <c r="F1465" s="591">
        <v>1456</v>
      </c>
      <c r="G1465" s="420">
        <f t="shared" ca="1" si="30"/>
        <v>6.1439538884376213E-2</v>
      </c>
    </row>
    <row r="1466" spans="6:7" x14ac:dyDescent="0.2">
      <c r="F1466" s="591">
        <v>1457</v>
      </c>
      <c r="G1466" s="420">
        <f t="shared" ca="1" si="30"/>
        <v>7.7293087571212917E-3</v>
      </c>
    </row>
    <row r="1467" spans="6:7" x14ac:dyDescent="0.2">
      <c r="F1467" s="591">
        <v>1458</v>
      </c>
      <c r="G1467" s="420">
        <f t="shared" ca="1" si="30"/>
        <v>6.97081184898969E-2</v>
      </c>
    </row>
    <row r="1468" spans="6:7" x14ac:dyDescent="0.2">
      <c r="F1468" s="591">
        <v>1459</v>
      </c>
      <c r="G1468" s="420">
        <f t="shared" ca="1" si="30"/>
        <v>4.8126930329230475E-2</v>
      </c>
    </row>
    <row r="1469" spans="6:7" x14ac:dyDescent="0.2">
      <c r="F1469" s="591">
        <v>1460</v>
      </c>
      <c r="G1469" s="420">
        <f t="shared" ca="1" si="30"/>
        <v>3.3013618474088596E-2</v>
      </c>
    </row>
    <row r="1470" spans="6:7" x14ac:dyDescent="0.2">
      <c r="F1470" s="591">
        <v>1461</v>
      </c>
      <c r="G1470" s="420">
        <f t="shared" ca="1" si="30"/>
        <v>1.5482017858915998E-2</v>
      </c>
    </row>
    <row r="1471" spans="6:7" x14ac:dyDescent="0.2">
      <c r="F1471" s="591">
        <v>1462</v>
      </c>
      <c r="G1471" s="420">
        <f t="shared" ca="1" si="30"/>
        <v>0.15324930604630216</v>
      </c>
    </row>
    <row r="1472" spans="6:7" x14ac:dyDescent="0.2">
      <c r="F1472" s="591">
        <v>1463</v>
      </c>
      <c r="G1472" s="420">
        <f t="shared" ca="1" si="30"/>
        <v>5.6329708494656711E-2</v>
      </c>
    </row>
    <row r="1473" spans="6:7" x14ac:dyDescent="0.2">
      <c r="F1473" s="591">
        <v>1464</v>
      </c>
      <c r="G1473" s="420">
        <f t="shared" ca="1" si="30"/>
        <v>-8.750616710243142E-2</v>
      </c>
    </row>
    <row r="1474" spans="6:7" x14ac:dyDescent="0.2">
      <c r="F1474" s="591">
        <v>1465</v>
      </c>
      <c r="G1474" s="420">
        <f t="shared" ca="1" si="30"/>
        <v>0.18075460938665469</v>
      </c>
    </row>
    <row r="1475" spans="6:7" x14ac:dyDescent="0.2">
      <c r="F1475" s="591">
        <v>1466</v>
      </c>
      <c r="G1475" s="420">
        <f t="shared" ca="1" si="30"/>
        <v>-3.5308180576940046E-2</v>
      </c>
    </row>
    <row r="1476" spans="6:7" x14ac:dyDescent="0.2">
      <c r="F1476" s="591">
        <v>1467</v>
      </c>
      <c r="G1476" s="420">
        <f t="shared" ca="1" si="30"/>
        <v>3.1409450270996883E-2</v>
      </c>
    </row>
    <row r="1477" spans="6:7" x14ac:dyDescent="0.2">
      <c r="F1477" s="591">
        <v>1468</v>
      </c>
      <c r="G1477" s="420">
        <f t="shared" ca="1" si="30"/>
        <v>0.12969834040650785</v>
      </c>
    </row>
    <row r="1478" spans="6:7" x14ac:dyDescent="0.2">
      <c r="F1478" s="591">
        <v>1469</v>
      </c>
      <c r="G1478" s="420">
        <f t="shared" ca="1" si="30"/>
        <v>1.0724311077396759E-2</v>
      </c>
    </row>
    <row r="1479" spans="6:7" x14ac:dyDescent="0.2">
      <c r="F1479" s="591">
        <v>1470</v>
      </c>
      <c r="G1479" s="420">
        <f t="shared" ca="1" si="30"/>
        <v>0.10738971091070977</v>
      </c>
    </row>
    <row r="1480" spans="6:7" x14ac:dyDescent="0.2">
      <c r="F1480" s="591">
        <v>1471</v>
      </c>
      <c r="G1480" s="420">
        <f t="shared" ca="1" si="30"/>
        <v>-1.0879330603769385E-2</v>
      </c>
    </row>
    <row r="1481" spans="6:7" x14ac:dyDescent="0.2">
      <c r="F1481" s="591">
        <v>1472</v>
      </c>
      <c r="G1481" s="420">
        <f t="shared" ca="1" si="30"/>
        <v>0.12012276063446822</v>
      </c>
    </row>
    <row r="1482" spans="6:7" x14ac:dyDescent="0.2">
      <c r="F1482" s="591">
        <v>1473</v>
      </c>
      <c r="G1482" s="420">
        <f t="shared" ca="1" si="30"/>
        <v>6.1356257656171212E-2</v>
      </c>
    </row>
    <row r="1483" spans="6:7" x14ac:dyDescent="0.2">
      <c r="F1483" s="591">
        <v>1474</v>
      </c>
      <c r="G1483" s="420">
        <f t="shared" ref="G1483:G1546" ca="1" si="31">_xlfn.NORM.INV(RAND(), $M$11,$M$12)</f>
        <v>5.877070363979528E-2</v>
      </c>
    </row>
    <row r="1484" spans="6:7" x14ac:dyDescent="0.2">
      <c r="F1484" s="591">
        <v>1475</v>
      </c>
      <c r="G1484" s="420">
        <f t="shared" ca="1" si="31"/>
        <v>1.9523794164999157E-2</v>
      </c>
    </row>
    <row r="1485" spans="6:7" x14ac:dyDescent="0.2">
      <c r="F1485" s="591">
        <v>1476</v>
      </c>
      <c r="G1485" s="420">
        <f t="shared" ca="1" si="31"/>
        <v>9.6198656078791689E-2</v>
      </c>
    </row>
    <row r="1486" spans="6:7" x14ac:dyDescent="0.2">
      <c r="F1486" s="591">
        <v>1477</v>
      </c>
      <c r="G1486" s="420">
        <f t="shared" ca="1" si="31"/>
        <v>-8.013460598913949E-2</v>
      </c>
    </row>
    <row r="1487" spans="6:7" x14ac:dyDescent="0.2">
      <c r="F1487" s="591">
        <v>1478</v>
      </c>
      <c r="G1487" s="420">
        <f t="shared" ca="1" si="31"/>
        <v>8.1500183913680635E-2</v>
      </c>
    </row>
    <row r="1488" spans="6:7" x14ac:dyDescent="0.2">
      <c r="F1488" s="591">
        <v>1479</v>
      </c>
      <c r="G1488" s="420">
        <f t="shared" ca="1" si="31"/>
        <v>0.11601727778647829</v>
      </c>
    </row>
    <row r="1489" spans="6:7" x14ac:dyDescent="0.2">
      <c r="F1489" s="591">
        <v>1480</v>
      </c>
      <c r="G1489" s="420">
        <f t="shared" ca="1" si="31"/>
        <v>8.720915592046341E-2</v>
      </c>
    </row>
    <row r="1490" spans="6:7" x14ac:dyDescent="0.2">
      <c r="F1490" s="591">
        <v>1481</v>
      </c>
      <c r="G1490" s="420">
        <f t="shared" ca="1" si="31"/>
        <v>4.9902850707918764E-2</v>
      </c>
    </row>
    <row r="1491" spans="6:7" x14ac:dyDescent="0.2">
      <c r="F1491" s="591">
        <v>1482</v>
      </c>
      <c r="G1491" s="420">
        <f t="shared" ca="1" si="31"/>
        <v>0.1195547486524246</v>
      </c>
    </row>
    <row r="1492" spans="6:7" x14ac:dyDescent="0.2">
      <c r="F1492" s="591">
        <v>1483</v>
      </c>
      <c r="G1492" s="420">
        <f t="shared" ca="1" si="31"/>
        <v>0.10496855632758151</v>
      </c>
    </row>
    <row r="1493" spans="6:7" x14ac:dyDescent="0.2">
      <c r="F1493" s="591">
        <v>1484</v>
      </c>
      <c r="G1493" s="420">
        <f t="shared" ca="1" si="31"/>
        <v>-5.7859110396490124E-2</v>
      </c>
    </row>
    <row r="1494" spans="6:7" x14ac:dyDescent="0.2">
      <c r="F1494" s="591">
        <v>1485</v>
      </c>
      <c r="G1494" s="420">
        <f t="shared" ca="1" si="31"/>
        <v>4.7008199887100435E-2</v>
      </c>
    </row>
    <row r="1495" spans="6:7" x14ac:dyDescent="0.2">
      <c r="F1495" s="591">
        <v>1486</v>
      </c>
      <c r="G1495" s="420">
        <f t="shared" ca="1" si="31"/>
        <v>0.19072730854600986</v>
      </c>
    </row>
    <row r="1496" spans="6:7" x14ac:dyDescent="0.2">
      <c r="F1496" s="591">
        <v>1487</v>
      </c>
      <c r="G1496" s="420">
        <f t="shared" ca="1" si="31"/>
        <v>7.6456606853388103E-3</v>
      </c>
    </row>
    <row r="1497" spans="6:7" x14ac:dyDescent="0.2">
      <c r="F1497" s="591">
        <v>1488</v>
      </c>
      <c r="G1497" s="420">
        <f t="shared" ca="1" si="31"/>
        <v>7.7892848445155774E-2</v>
      </c>
    </row>
    <row r="1498" spans="6:7" x14ac:dyDescent="0.2">
      <c r="F1498" s="591">
        <v>1489</v>
      </c>
      <c r="G1498" s="420">
        <f t="shared" ca="1" si="31"/>
        <v>4.7703472653066653E-2</v>
      </c>
    </row>
    <row r="1499" spans="6:7" x14ac:dyDescent="0.2">
      <c r="F1499" s="591">
        <v>1490</v>
      </c>
      <c r="G1499" s="420">
        <f t="shared" ca="1" si="31"/>
        <v>2.6432674829699729E-2</v>
      </c>
    </row>
    <row r="1500" spans="6:7" x14ac:dyDescent="0.2">
      <c r="F1500" s="591">
        <v>1491</v>
      </c>
      <c r="G1500" s="420">
        <f t="shared" ca="1" si="31"/>
        <v>6.3350519451068135E-2</v>
      </c>
    </row>
    <row r="1501" spans="6:7" x14ac:dyDescent="0.2">
      <c r="F1501" s="591">
        <v>1492</v>
      </c>
      <c r="G1501" s="420">
        <f t="shared" ca="1" si="31"/>
        <v>0.10233548484542795</v>
      </c>
    </row>
    <row r="1502" spans="6:7" x14ac:dyDescent="0.2">
      <c r="F1502" s="591">
        <v>1493</v>
      </c>
      <c r="G1502" s="420">
        <f t="shared" ca="1" si="31"/>
        <v>-3.1530961083073128E-2</v>
      </c>
    </row>
    <row r="1503" spans="6:7" x14ac:dyDescent="0.2">
      <c r="F1503" s="591">
        <v>1494</v>
      </c>
      <c r="G1503" s="420">
        <f t="shared" ca="1" si="31"/>
        <v>3.3424275728158037E-2</v>
      </c>
    </row>
    <row r="1504" spans="6:7" x14ac:dyDescent="0.2">
      <c r="F1504" s="591">
        <v>1495</v>
      </c>
      <c r="G1504" s="420">
        <f t="shared" ca="1" si="31"/>
        <v>-9.7900808144864404E-2</v>
      </c>
    </row>
    <row r="1505" spans="6:7" x14ac:dyDescent="0.2">
      <c r="F1505" s="591">
        <v>1496</v>
      </c>
      <c r="G1505" s="420">
        <f t="shared" ca="1" si="31"/>
        <v>-6.3660334128241305E-2</v>
      </c>
    </row>
    <row r="1506" spans="6:7" x14ac:dyDescent="0.2">
      <c r="F1506" s="591">
        <v>1497</v>
      </c>
      <c r="G1506" s="420">
        <f t="shared" ca="1" si="31"/>
        <v>-2.9817414132491279E-2</v>
      </c>
    </row>
    <row r="1507" spans="6:7" x14ac:dyDescent="0.2">
      <c r="F1507" s="591">
        <v>1498</v>
      </c>
      <c r="G1507" s="420">
        <f t="shared" ca="1" si="31"/>
        <v>-6.0462707304074062E-2</v>
      </c>
    </row>
    <row r="1508" spans="6:7" x14ac:dyDescent="0.2">
      <c r="F1508" s="591">
        <v>1499</v>
      </c>
      <c r="G1508" s="420">
        <f t="shared" ca="1" si="31"/>
        <v>-5.3972068415411259E-2</v>
      </c>
    </row>
    <row r="1509" spans="6:7" x14ac:dyDescent="0.2">
      <c r="F1509" s="591">
        <v>1500</v>
      </c>
      <c r="G1509" s="420">
        <f t="shared" ca="1" si="31"/>
        <v>5.6240691129277431E-2</v>
      </c>
    </row>
    <row r="1510" spans="6:7" x14ac:dyDescent="0.2">
      <c r="F1510" s="591">
        <v>1501</v>
      </c>
      <c r="G1510" s="420">
        <f t="shared" ca="1" si="31"/>
        <v>-3.6156564975885347E-3</v>
      </c>
    </row>
    <row r="1511" spans="6:7" x14ac:dyDescent="0.2">
      <c r="F1511" s="591">
        <v>1502</v>
      </c>
      <c r="G1511" s="420">
        <f t="shared" ca="1" si="31"/>
        <v>9.8877845042741209E-3</v>
      </c>
    </row>
    <row r="1512" spans="6:7" x14ac:dyDescent="0.2">
      <c r="F1512" s="591">
        <v>1503</v>
      </c>
      <c r="G1512" s="420">
        <f t="shared" ca="1" si="31"/>
        <v>-6.0604338140712463E-2</v>
      </c>
    </row>
    <row r="1513" spans="6:7" x14ac:dyDescent="0.2">
      <c r="F1513" s="591">
        <v>1504</v>
      </c>
      <c r="G1513" s="420">
        <f t="shared" ca="1" si="31"/>
        <v>1.282516240986957E-4</v>
      </c>
    </row>
    <row r="1514" spans="6:7" x14ac:dyDescent="0.2">
      <c r="F1514" s="591">
        <v>1505</v>
      </c>
      <c r="G1514" s="420">
        <f t="shared" ca="1" si="31"/>
        <v>6.1867332299866323E-2</v>
      </c>
    </row>
    <row r="1515" spans="6:7" x14ac:dyDescent="0.2">
      <c r="F1515" s="591">
        <v>1506</v>
      </c>
      <c r="G1515" s="420">
        <f t="shared" ca="1" si="31"/>
        <v>8.4486603186695545E-3</v>
      </c>
    </row>
    <row r="1516" spans="6:7" x14ac:dyDescent="0.2">
      <c r="F1516" s="591">
        <v>1507</v>
      </c>
      <c r="G1516" s="420">
        <f t="shared" ca="1" si="31"/>
        <v>-1.3266845692880072E-3</v>
      </c>
    </row>
    <row r="1517" spans="6:7" x14ac:dyDescent="0.2">
      <c r="F1517" s="591">
        <v>1508</v>
      </c>
      <c r="G1517" s="420">
        <f t="shared" ca="1" si="31"/>
        <v>4.6179294657716682E-2</v>
      </c>
    </row>
    <row r="1518" spans="6:7" x14ac:dyDescent="0.2">
      <c r="F1518" s="591">
        <v>1509</v>
      </c>
      <c r="G1518" s="420">
        <f t="shared" ca="1" si="31"/>
        <v>6.043971219349828E-2</v>
      </c>
    </row>
    <row r="1519" spans="6:7" x14ac:dyDescent="0.2">
      <c r="F1519" s="591">
        <v>1510</v>
      </c>
      <c r="G1519" s="420">
        <f t="shared" ca="1" si="31"/>
        <v>-7.8824879227794006E-2</v>
      </c>
    </row>
    <row r="1520" spans="6:7" x14ac:dyDescent="0.2">
      <c r="F1520" s="591">
        <v>1511</v>
      </c>
      <c r="G1520" s="420">
        <f t="shared" ca="1" si="31"/>
        <v>-0.1931271657956519</v>
      </c>
    </row>
    <row r="1521" spans="6:7" x14ac:dyDescent="0.2">
      <c r="F1521" s="591">
        <v>1512</v>
      </c>
      <c r="G1521" s="420">
        <f t="shared" ca="1" si="31"/>
        <v>9.5039960453105046E-2</v>
      </c>
    </row>
    <row r="1522" spans="6:7" x14ac:dyDescent="0.2">
      <c r="F1522" s="591">
        <v>1513</v>
      </c>
      <c r="G1522" s="420">
        <f t="shared" ca="1" si="31"/>
        <v>2.7336917541004153E-2</v>
      </c>
    </row>
    <row r="1523" spans="6:7" x14ac:dyDescent="0.2">
      <c r="F1523" s="591">
        <v>1514</v>
      </c>
      <c r="G1523" s="420">
        <f t="shared" ca="1" si="31"/>
        <v>-7.6456985982226749E-2</v>
      </c>
    </row>
    <row r="1524" spans="6:7" x14ac:dyDescent="0.2">
      <c r="F1524" s="591">
        <v>1515</v>
      </c>
      <c r="G1524" s="420">
        <f t="shared" ca="1" si="31"/>
        <v>1.4253038238637734E-2</v>
      </c>
    </row>
    <row r="1525" spans="6:7" x14ac:dyDescent="0.2">
      <c r="F1525" s="591">
        <v>1516</v>
      </c>
      <c r="G1525" s="420">
        <f t="shared" ca="1" si="31"/>
        <v>0.11561474530471925</v>
      </c>
    </row>
    <row r="1526" spans="6:7" x14ac:dyDescent="0.2">
      <c r="F1526" s="591">
        <v>1517</v>
      </c>
      <c r="G1526" s="420">
        <f t="shared" ca="1" si="31"/>
        <v>2.3585044813887155E-2</v>
      </c>
    </row>
    <row r="1527" spans="6:7" x14ac:dyDescent="0.2">
      <c r="F1527" s="591">
        <v>1518</v>
      </c>
      <c r="G1527" s="420">
        <f t="shared" ca="1" si="31"/>
        <v>-4.92794723553798E-4</v>
      </c>
    </row>
    <row r="1528" spans="6:7" x14ac:dyDescent="0.2">
      <c r="F1528" s="591">
        <v>1519</v>
      </c>
      <c r="G1528" s="420">
        <f t="shared" ca="1" si="31"/>
        <v>0.10525349571198607</v>
      </c>
    </row>
    <row r="1529" spans="6:7" x14ac:dyDescent="0.2">
      <c r="F1529" s="591">
        <v>1520</v>
      </c>
      <c r="G1529" s="420">
        <f t="shared" ca="1" si="31"/>
        <v>2.1111958145336205E-2</v>
      </c>
    </row>
    <row r="1530" spans="6:7" x14ac:dyDescent="0.2">
      <c r="F1530" s="591">
        <v>1521</v>
      </c>
      <c r="G1530" s="420">
        <f t="shared" ca="1" si="31"/>
        <v>1.6146138216165604E-3</v>
      </c>
    </row>
    <row r="1531" spans="6:7" x14ac:dyDescent="0.2">
      <c r="F1531" s="591">
        <v>1522</v>
      </c>
      <c r="G1531" s="420">
        <f t="shared" ca="1" si="31"/>
        <v>0.12178578779363118</v>
      </c>
    </row>
    <row r="1532" spans="6:7" x14ac:dyDescent="0.2">
      <c r="F1532" s="591">
        <v>1523</v>
      </c>
      <c r="G1532" s="420">
        <f t="shared" ca="1" si="31"/>
        <v>-2.4468815721405076E-2</v>
      </c>
    </row>
    <row r="1533" spans="6:7" x14ac:dyDescent="0.2">
      <c r="F1533" s="591">
        <v>1524</v>
      </c>
      <c r="G1533" s="420">
        <f t="shared" ca="1" si="31"/>
        <v>5.8497592126965864E-3</v>
      </c>
    </row>
    <row r="1534" spans="6:7" x14ac:dyDescent="0.2">
      <c r="F1534" s="591">
        <v>1525</v>
      </c>
      <c r="G1534" s="420">
        <f t="shared" ca="1" si="31"/>
        <v>6.3776421783404869E-2</v>
      </c>
    </row>
    <row r="1535" spans="6:7" x14ac:dyDescent="0.2">
      <c r="F1535" s="591">
        <v>1526</v>
      </c>
      <c r="G1535" s="420">
        <f t="shared" ca="1" si="31"/>
        <v>4.1758493262808713E-2</v>
      </c>
    </row>
    <row r="1536" spans="6:7" x14ac:dyDescent="0.2">
      <c r="F1536" s="591">
        <v>1527</v>
      </c>
      <c r="G1536" s="420">
        <f t="shared" ca="1" si="31"/>
        <v>-4.2741985184774969E-2</v>
      </c>
    </row>
    <row r="1537" spans="6:7" x14ac:dyDescent="0.2">
      <c r="F1537" s="591">
        <v>1528</v>
      </c>
      <c r="G1537" s="420">
        <f t="shared" ca="1" si="31"/>
        <v>6.3315078274388426E-2</v>
      </c>
    </row>
    <row r="1538" spans="6:7" x14ac:dyDescent="0.2">
      <c r="F1538" s="591">
        <v>1529</v>
      </c>
      <c r="G1538" s="420">
        <f t="shared" ca="1" si="31"/>
        <v>5.7643491134023436E-2</v>
      </c>
    </row>
    <row r="1539" spans="6:7" x14ac:dyDescent="0.2">
      <c r="F1539" s="591">
        <v>1530</v>
      </c>
      <c r="G1539" s="420">
        <f t="shared" ca="1" si="31"/>
        <v>8.6577585920702749E-2</v>
      </c>
    </row>
    <row r="1540" spans="6:7" x14ac:dyDescent="0.2">
      <c r="F1540" s="591">
        <v>1531</v>
      </c>
      <c r="G1540" s="420">
        <f t="shared" ca="1" si="31"/>
        <v>8.8775454409838153E-2</v>
      </c>
    </row>
    <row r="1541" spans="6:7" x14ac:dyDescent="0.2">
      <c r="F1541" s="591">
        <v>1532</v>
      </c>
      <c r="G1541" s="420">
        <f t="shared" ca="1" si="31"/>
        <v>3.9451451207091204E-3</v>
      </c>
    </row>
    <row r="1542" spans="6:7" x14ac:dyDescent="0.2">
      <c r="F1542" s="591">
        <v>1533</v>
      </c>
      <c r="G1542" s="420">
        <f t="shared" ca="1" si="31"/>
        <v>-9.054197227368474E-2</v>
      </c>
    </row>
    <row r="1543" spans="6:7" x14ac:dyDescent="0.2">
      <c r="F1543" s="591">
        <v>1534</v>
      </c>
      <c r="G1543" s="420">
        <f t="shared" ca="1" si="31"/>
        <v>4.5393594986088304E-2</v>
      </c>
    </row>
    <row r="1544" spans="6:7" x14ac:dyDescent="0.2">
      <c r="F1544" s="591">
        <v>1535</v>
      </c>
      <c r="G1544" s="420">
        <f t="shared" ca="1" si="31"/>
        <v>3.3464391269547884E-3</v>
      </c>
    </row>
    <row r="1545" spans="6:7" x14ac:dyDescent="0.2">
      <c r="F1545" s="591">
        <v>1536</v>
      </c>
      <c r="G1545" s="420">
        <f t="shared" ca="1" si="31"/>
        <v>0.16614680910413435</v>
      </c>
    </row>
    <row r="1546" spans="6:7" x14ac:dyDescent="0.2">
      <c r="F1546" s="591">
        <v>1537</v>
      </c>
      <c r="G1546" s="420">
        <f t="shared" ca="1" si="31"/>
        <v>-0.11221203082021471</v>
      </c>
    </row>
    <row r="1547" spans="6:7" x14ac:dyDescent="0.2">
      <c r="F1547" s="591">
        <v>1538</v>
      </c>
      <c r="G1547" s="420">
        <f t="shared" ref="G1547:G1610" ca="1" si="32">_xlfn.NORM.INV(RAND(), $M$11,$M$12)</f>
        <v>0.13076160549788451</v>
      </c>
    </row>
    <row r="1548" spans="6:7" x14ac:dyDescent="0.2">
      <c r="F1548" s="591">
        <v>1539</v>
      </c>
      <c r="G1548" s="420">
        <f t="shared" ca="1" si="32"/>
        <v>-3.5422170601781509E-3</v>
      </c>
    </row>
    <row r="1549" spans="6:7" x14ac:dyDescent="0.2">
      <c r="F1549" s="591">
        <v>1540</v>
      </c>
      <c r="G1549" s="420">
        <f t="shared" ca="1" si="32"/>
        <v>0.13731814451540841</v>
      </c>
    </row>
    <row r="1550" spans="6:7" x14ac:dyDescent="0.2">
      <c r="F1550" s="591">
        <v>1541</v>
      </c>
      <c r="G1550" s="420">
        <f t="shared" ca="1" si="32"/>
        <v>-4.9933797389595969E-2</v>
      </c>
    </row>
    <row r="1551" spans="6:7" x14ac:dyDescent="0.2">
      <c r="F1551" s="591">
        <v>1542</v>
      </c>
      <c r="G1551" s="420">
        <f t="shared" ca="1" si="32"/>
        <v>3.2506894735043923E-2</v>
      </c>
    </row>
    <row r="1552" spans="6:7" x14ac:dyDescent="0.2">
      <c r="F1552" s="591">
        <v>1543</v>
      </c>
      <c r="G1552" s="420">
        <f t="shared" ca="1" si="32"/>
        <v>-1.482856987041797E-2</v>
      </c>
    </row>
    <row r="1553" spans="6:7" x14ac:dyDescent="0.2">
      <c r="F1553" s="591">
        <v>1544</v>
      </c>
      <c r="G1553" s="420">
        <f t="shared" ca="1" si="32"/>
        <v>1.1664303369745747E-2</v>
      </c>
    </row>
    <row r="1554" spans="6:7" x14ac:dyDescent="0.2">
      <c r="F1554" s="591">
        <v>1545</v>
      </c>
      <c r="G1554" s="420">
        <f t="shared" ca="1" si="32"/>
        <v>-6.4925994724177566E-2</v>
      </c>
    </row>
    <row r="1555" spans="6:7" x14ac:dyDescent="0.2">
      <c r="F1555" s="591">
        <v>1546</v>
      </c>
      <c r="G1555" s="420">
        <f t="shared" ca="1" si="32"/>
        <v>-7.2667946982748963E-2</v>
      </c>
    </row>
    <row r="1556" spans="6:7" x14ac:dyDescent="0.2">
      <c r="F1556" s="591">
        <v>1547</v>
      </c>
      <c r="G1556" s="420">
        <f t="shared" ca="1" si="32"/>
        <v>8.1856857837811242E-2</v>
      </c>
    </row>
    <row r="1557" spans="6:7" x14ac:dyDescent="0.2">
      <c r="F1557" s="591">
        <v>1548</v>
      </c>
      <c r="G1557" s="420">
        <f t="shared" ca="1" si="32"/>
        <v>1.5183693678884424E-2</v>
      </c>
    </row>
    <row r="1558" spans="6:7" x14ac:dyDescent="0.2">
      <c r="F1558" s="591">
        <v>1549</v>
      </c>
      <c r="G1558" s="420">
        <f t="shared" ca="1" si="32"/>
        <v>7.4034897482931433E-2</v>
      </c>
    </row>
    <row r="1559" spans="6:7" x14ac:dyDescent="0.2">
      <c r="F1559" s="591">
        <v>1550</v>
      </c>
      <c r="G1559" s="420">
        <f t="shared" ca="1" si="32"/>
        <v>1.4601654565952017E-2</v>
      </c>
    </row>
    <row r="1560" spans="6:7" x14ac:dyDescent="0.2">
      <c r="F1560" s="591">
        <v>1551</v>
      </c>
      <c r="G1560" s="420">
        <f t="shared" ca="1" si="32"/>
        <v>3.5155678674691826E-2</v>
      </c>
    </row>
    <row r="1561" spans="6:7" x14ac:dyDescent="0.2">
      <c r="F1561" s="591">
        <v>1552</v>
      </c>
      <c r="G1561" s="420">
        <f t="shared" ca="1" si="32"/>
        <v>0.11611704299624159</v>
      </c>
    </row>
    <row r="1562" spans="6:7" x14ac:dyDescent="0.2">
      <c r="F1562" s="591">
        <v>1553</v>
      </c>
      <c r="G1562" s="420">
        <f t="shared" ca="1" si="32"/>
        <v>0.14147921269431415</v>
      </c>
    </row>
    <row r="1563" spans="6:7" x14ac:dyDescent="0.2">
      <c r="F1563" s="591">
        <v>1554</v>
      </c>
      <c r="G1563" s="420">
        <f t="shared" ca="1" si="32"/>
        <v>-6.1923158849625431E-2</v>
      </c>
    </row>
    <row r="1564" spans="6:7" x14ac:dyDescent="0.2">
      <c r="F1564" s="591">
        <v>1555</v>
      </c>
      <c r="G1564" s="420">
        <f t="shared" ca="1" si="32"/>
        <v>8.8499266265258114E-3</v>
      </c>
    </row>
    <row r="1565" spans="6:7" x14ac:dyDescent="0.2">
      <c r="F1565" s="591">
        <v>1556</v>
      </c>
      <c r="G1565" s="420">
        <f t="shared" ca="1" si="32"/>
        <v>-0.18568681192660635</v>
      </c>
    </row>
    <row r="1566" spans="6:7" x14ac:dyDescent="0.2">
      <c r="F1566" s="591">
        <v>1557</v>
      </c>
      <c r="G1566" s="420">
        <f t="shared" ca="1" si="32"/>
        <v>-4.7818771318629008E-2</v>
      </c>
    </row>
    <row r="1567" spans="6:7" x14ac:dyDescent="0.2">
      <c r="F1567" s="591">
        <v>1558</v>
      </c>
      <c r="G1567" s="420">
        <f t="shared" ca="1" si="32"/>
        <v>6.9474792476744235E-2</v>
      </c>
    </row>
    <row r="1568" spans="6:7" x14ac:dyDescent="0.2">
      <c r="F1568" s="591">
        <v>1559</v>
      </c>
      <c r="G1568" s="420">
        <f t="shared" ca="1" si="32"/>
        <v>9.9095131185821403E-2</v>
      </c>
    </row>
    <row r="1569" spans="6:7" x14ac:dyDescent="0.2">
      <c r="F1569" s="591">
        <v>1560</v>
      </c>
      <c r="G1569" s="420">
        <f t="shared" ca="1" si="32"/>
        <v>1.2312310679616065E-2</v>
      </c>
    </row>
    <row r="1570" spans="6:7" x14ac:dyDescent="0.2">
      <c r="F1570" s="591">
        <v>1561</v>
      </c>
      <c r="G1570" s="420">
        <f t="shared" ca="1" si="32"/>
        <v>1.7444796810368986E-2</v>
      </c>
    </row>
    <row r="1571" spans="6:7" x14ac:dyDescent="0.2">
      <c r="F1571" s="591">
        <v>1562</v>
      </c>
      <c r="G1571" s="420">
        <f t="shared" ca="1" si="32"/>
        <v>7.4252787509191148E-2</v>
      </c>
    </row>
    <row r="1572" spans="6:7" x14ac:dyDescent="0.2">
      <c r="F1572" s="591">
        <v>1563</v>
      </c>
      <c r="G1572" s="420">
        <f t="shared" ca="1" si="32"/>
        <v>-7.0091375921684969E-3</v>
      </c>
    </row>
    <row r="1573" spans="6:7" x14ac:dyDescent="0.2">
      <c r="F1573" s="591">
        <v>1564</v>
      </c>
      <c r="G1573" s="420">
        <f t="shared" ca="1" si="32"/>
        <v>-2.1493529786844771E-2</v>
      </c>
    </row>
    <row r="1574" spans="6:7" x14ac:dyDescent="0.2">
      <c r="F1574" s="591">
        <v>1565</v>
      </c>
      <c r="G1574" s="420">
        <f t="shared" ca="1" si="32"/>
        <v>6.813898074581233E-2</v>
      </c>
    </row>
    <row r="1575" spans="6:7" x14ac:dyDescent="0.2">
      <c r="F1575" s="591">
        <v>1566</v>
      </c>
      <c r="G1575" s="420">
        <f t="shared" ca="1" si="32"/>
        <v>5.3676833690917414E-2</v>
      </c>
    </row>
    <row r="1576" spans="6:7" x14ac:dyDescent="0.2">
      <c r="F1576" s="591">
        <v>1567</v>
      </c>
      <c r="G1576" s="420">
        <f t="shared" ca="1" si="32"/>
        <v>5.7720521553962331E-2</v>
      </c>
    </row>
    <row r="1577" spans="6:7" x14ac:dyDescent="0.2">
      <c r="F1577" s="591">
        <v>1568</v>
      </c>
      <c r="G1577" s="420">
        <f t="shared" ca="1" si="32"/>
        <v>0.18223151082864533</v>
      </c>
    </row>
    <row r="1578" spans="6:7" x14ac:dyDescent="0.2">
      <c r="F1578" s="591">
        <v>1569</v>
      </c>
      <c r="G1578" s="420">
        <f t="shared" ca="1" si="32"/>
        <v>4.9571794045270859E-2</v>
      </c>
    </row>
    <row r="1579" spans="6:7" x14ac:dyDescent="0.2">
      <c r="F1579" s="591">
        <v>1570</v>
      </c>
      <c r="G1579" s="420">
        <f t="shared" ca="1" si="32"/>
        <v>-0.18574552172792377</v>
      </c>
    </row>
    <row r="1580" spans="6:7" x14ac:dyDescent="0.2">
      <c r="F1580" s="591">
        <v>1571</v>
      </c>
      <c r="G1580" s="420">
        <f t="shared" ca="1" si="32"/>
        <v>6.7596134670857098E-3</v>
      </c>
    </row>
    <row r="1581" spans="6:7" x14ac:dyDescent="0.2">
      <c r="F1581" s="591">
        <v>1572</v>
      </c>
      <c r="G1581" s="420">
        <f t="shared" ca="1" si="32"/>
        <v>-1.7549489349803497E-2</v>
      </c>
    </row>
    <row r="1582" spans="6:7" x14ac:dyDescent="0.2">
      <c r="F1582" s="591">
        <v>1573</v>
      </c>
      <c r="G1582" s="420">
        <f t="shared" ca="1" si="32"/>
        <v>5.7385501350977045E-2</v>
      </c>
    </row>
    <row r="1583" spans="6:7" x14ac:dyDescent="0.2">
      <c r="F1583" s="591">
        <v>1574</v>
      </c>
      <c r="G1583" s="420">
        <f t="shared" ca="1" si="32"/>
        <v>-0.13352589849777358</v>
      </c>
    </row>
    <row r="1584" spans="6:7" x14ac:dyDescent="0.2">
      <c r="F1584" s="591">
        <v>1575</v>
      </c>
      <c r="G1584" s="420">
        <f t="shared" ca="1" si="32"/>
        <v>-2.2349846908149767E-2</v>
      </c>
    </row>
    <row r="1585" spans="6:7" x14ac:dyDescent="0.2">
      <c r="F1585" s="591">
        <v>1576</v>
      </c>
      <c r="G1585" s="420">
        <f t="shared" ca="1" si="32"/>
        <v>-7.500512944734905E-2</v>
      </c>
    </row>
    <row r="1586" spans="6:7" x14ac:dyDescent="0.2">
      <c r="F1586" s="591">
        <v>1577</v>
      </c>
      <c r="G1586" s="420">
        <f t="shared" ca="1" si="32"/>
        <v>-2.1661705489433702E-3</v>
      </c>
    </row>
    <row r="1587" spans="6:7" x14ac:dyDescent="0.2">
      <c r="F1587" s="591">
        <v>1578</v>
      </c>
      <c r="G1587" s="420">
        <f t="shared" ca="1" si="32"/>
        <v>1.4052157788797119E-2</v>
      </c>
    </row>
    <row r="1588" spans="6:7" x14ac:dyDescent="0.2">
      <c r="F1588" s="591">
        <v>1579</v>
      </c>
      <c r="G1588" s="420">
        <f t="shared" ca="1" si="32"/>
        <v>1.5718553183924042E-2</v>
      </c>
    </row>
    <row r="1589" spans="6:7" x14ac:dyDescent="0.2">
      <c r="F1589" s="591">
        <v>1580</v>
      </c>
      <c r="G1589" s="420">
        <f t="shared" ca="1" si="32"/>
        <v>-1.6409298089244417E-2</v>
      </c>
    </row>
    <row r="1590" spans="6:7" x14ac:dyDescent="0.2">
      <c r="F1590" s="591">
        <v>1581</v>
      </c>
      <c r="G1590" s="420">
        <f t="shared" ca="1" si="32"/>
        <v>-2.6673242821674607E-2</v>
      </c>
    </row>
    <row r="1591" spans="6:7" x14ac:dyDescent="0.2">
      <c r="F1591" s="591">
        <v>1582</v>
      </c>
      <c r="G1591" s="420">
        <f t="shared" ca="1" si="32"/>
        <v>4.8337093441836551E-2</v>
      </c>
    </row>
    <row r="1592" spans="6:7" x14ac:dyDescent="0.2">
      <c r="F1592" s="591">
        <v>1583</v>
      </c>
      <c r="G1592" s="420">
        <f t="shared" ca="1" si="32"/>
        <v>6.0001568615590847E-2</v>
      </c>
    </row>
    <row r="1593" spans="6:7" x14ac:dyDescent="0.2">
      <c r="F1593" s="591">
        <v>1584</v>
      </c>
      <c r="G1593" s="420">
        <f t="shared" ca="1" si="32"/>
        <v>4.7187235237068512E-2</v>
      </c>
    </row>
    <row r="1594" spans="6:7" x14ac:dyDescent="0.2">
      <c r="F1594" s="591">
        <v>1585</v>
      </c>
      <c r="G1594" s="420">
        <f t="shared" ca="1" si="32"/>
        <v>-8.4008844295746815E-2</v>
      </c>
    </row>
    <row r="1595" spans="6:7" x14ac:dyDescent="0.2">
      <c r="F1595" s="591">
        <v>1586</v>
      </c>
      <c r="G1595" s="420">
        <f t="shared" ca="1" si="32"/>
        <v>-9.0716354154389833E-2</v>
      </c>
    </row>
    <row r="1596" spans="6:7" x14ac:dyDescent="0.2">
      <c r="F1596" s="591">
        <v>1587</v>
      </c>
      <c r="G1596" s="420">
        <f t="shared" ca="1" si="32"/>
        <v>3.9054589634854683E-2</v>
      </c>
    </row>
    <row r="1597" spans="6:7" x14ac:dyDescent="0.2">
      <c r="F1597" s="591">
        <v>1588</v>
      </c>
      <c r="G1597" s="420">
        <f t="shared" ca="1" si="32"/>
        <v>6.5050583375712484E-2</v>
      </c>
    </row>
    <row r="1598" spans="6:7" x14ac:dyDescent="0.2">
      <c r="F1598" s="591">
        <v>1589</v>
      </c>
      <c r="G1598" s="420">
        <f t="shared" ca="1" si="32"/>
        <v>3.3150157323623128E-2</v>
      </c>
    </row>
    <row r="1599" spans="6:7" x14ac:dyDescent="0.2">
      <c r="F1599" s="591">
        <v>1590</v>
      </c>
      <c r="G1599" s="420">
        <f t="shared" ca="1" si="32"/>
        <v>3.6750333480229297E-2</v>
      </c>
    </row>
    <row r="1600" spans="6:7" x14ac:dyDescent="0.2">
      <c r="F1600" s="591">
        <v>1591</v>
      </c>
      <c r="G1600" s="420">
        <f t="shared" ca="1" si="32"/>
        <v>-0.12941785189033983</v>
      </c>
    </row>
    <row r="1601" spans="6:7" x14ac:dyDescent="0.2">
      <c r="F1601" s="591">
        <v>1592</v>
      </c>
      <c r="G1601" s="420">
        <f t="shared" ca="1" si="32"/>
        <v>6.373748209434274E-2</v>
      </c>
    </row>
    <row r="1602" spans="6:7" x14ac:dyDescent="0.2">
      <c r="F1602" s="591">
        <v>1593</v>
      </c>
      <c r="G1602" s="420">
        <f t="shared" ca="1" si="32"/>
        <v>6.4115601926922575E-2</v>
      </c>
    </row>
    <row r="1603" spans="6:7" x14ac:dyDescent="0.2">
      <c r="F1603" s="591">
        <v>1594</v>
      </c>
      <c r="G1603" s="420">
        <f t="shared" ca="1" si="32"/>
        <v>-3.7951331964448387E-2</v>
      </c>
    </row>
    <row r="1604" spans="6:7" x14ac:dyDescent="0.2">
      <c r="F1604" s="591">
        <v>1595</v>
      </c>
      <c r="G1604" s="420">
        <f t="shared" ca="1" si="32"/>
        <v>-2.5922129234255121E-2</v>
      </c>
    </row>
    <row r="1605" spans="6:7" x14ac:dyDescent="0.2">
      <c r="F1605" s="591">
        <v>1596</v>
      </c>
      <c r="G1605" s="420">
        <f t="shared" ca="1" si="32"/>
        <v>-5.233197164979296E-2</v>
      </c>
    </row>
    <row r="1606" spans="6:7" x14ac:dyDescent="0.2">
      <c r="F1606" s="591">
        <v>1597</v>
      </c>
      <c r="G1606" s="420">
        <f t="shared" ca="1" si="32"/>
        <v>-1.9951616220033438E-2</v>
      </c>
    </row>
    <row r="1607" spans="6:7" x14ac:dyDescent="0.2">
      <c r="F1607" s="591">
        <v>1598</v>
      </c>
      <c r="G1607" s="420">
        <f t="shared" ca="1" si="32"/>
        <v>-8.5505553670789006E-2</v>
      </c>
    </row>
    <row r="1608" spans="6:7" x14ac:dyDescent="0.2">
      <c r="F1608" s="591">
        <v>1599</v>
      </c>
      <c r="G1608" s="420">
        <f t="shared" ca="1" si="32"/>
        <v>3.0404009449166883E-2</v>
      </c>
    </row>
    <row r="1609" spans="6:7" x14ac:dyDescent="0.2">
      <c r="F1609" s="591">
        <v>1600</v>
      </c>
      <c r="G1609" s="420">
        <f t="shared" ca="1" si="32"/>
        <v>-6.901298820109697E-2</v>
      </c>
    </row>
    <row r="1610" spans="6:7" x14ac:dyDescent="0.2">
      <c r="F1610" s="591">
        <v>1601</v>
      </c>
      <c r="G1610" s="420">
        <f t="shared" ca="1" si="32"/>
        <v>7.9177856090971707E-2</v>
      </c>
    </row>
    <row r="1611" spans="6:7" x14ac:dyDescent="0.2">
      <c r="F1611" s="591">
        <v>1602</v>
      </c>
      <c r="G1611" s="420">
        <f t="shared" ref="G1611:G1674" ca="1" si="33">_xlfn.NORM.INV(RAND(), $M$11,$M$12)</f>
        <v>-2.6590370457865373E-4</v>
      </c>
    </row>
    <row r="1612" spans="6:7" x14ac:dyDescent="0.2">
      <c r="F1612" s="591">
        <v>1603</v>
      </c>
      <c r="G1612" s="420">
        <f t="shared" ca="1" si="33"/>
        <v>6.2365455999971092E-2</v>
      </c>
    </row>
    <row r="1613" spans="6:7" x14ac:dyDescent="0.2">
      <c r="F1613" s="591">
        <v>1604</v>
      </c>
      <c r="G1613" s="420">
        <f t="shared" ca="1" si="33"/>
        <v>5.1952450902952765E-2</v>
      </c>
    </row>
    <row r="1614" spans="6:7" x14ac:dyDescent="0.2">
      <c r="F1614" s="591">
        <v>1605</v>
      </c>
      <c r="G1614" s="420">
        <f t="shared" ca="1" si="33"/>
        <v>-4.1127822664117353E-2</v>
      </c>
    </row>
    <row r="1615" spans="6:7" x14ac:dyDescent="0.2">
      <c r="F1615" s="591">
        <v>1606</v>
      </c>
      <c r="G1615" s="420">
        <f t="shared" ca="1" si="33"/>
        <v>-4.0173250887253473E-2</v>
      </c>
    </row>
    <row r="1616" spans="6:7" x14ac:dyDescent="0.2">
      <c r="F1616" s="591">
        <v>1607</v>
      </c>
      <c r="G1616" s="420">
        <f t="shared" ca="1" si="33"/>
        <v>6.4020980344512354E-2</v>
      </c>
    </row>
    <row r="1617" spans="6:7" x14ac:dyDescent="0.2">
      <c r="F1617" s="591">
        <v>1608</v>
      </c>
      <c r="G1617" s="420">
        <f t="shared" ca="1" si="33"/>
        <v>8.7582015662504703E-3</v>
      </c>
    </row>
    <row r="1618" spans="6:7" x14ac:dyDescent="0.2">
      <c r="F1618" s="591">
        <v>1609</v>
      </c>
      <c r="G1618" s="420">
        <f t="shared" ca="1" si="33"/>
        <v>2.6166429788515647E-3</v>
      </c>
    </row>
    <row r="1619" spans="6:7" x14ac:dyDescent="0.2">
      <c r="F1619" s="591">
        <v>1610</v>
      </c>
      <c r="G1619" s="420">
        <f t="shared" ca="1" si="33"/>
        <v>-8.7792638547325164E-2</v>
      </c>
    </row>
    <row r="1620" spans="6:7" x14ac:dyDescent="0.2">
      <c r="F1620" s="591">
        <v>1611</v>
      </c>
      <c r="G1620" s="420">
        <f t="shared" ca="1" si="33"/>
        <v>-9.9501245248955053E-2</v>
      </c>
    </row>
    <row r="1621" spans="6:7" x14ac:dyDescent="0.2">
      <c r="F1621" s="591">
        <v>1612</v>
      </c>
      <c r="G1621" s="420">
        <f t="shared" ca="1" si="33"/>
        <v>-8.0554188596848944E-2</v>
      </c>
    </row>
    <row r="1622" spans="6:7" x14ac:dyDescent="0.2">
      <c r="F1622" s="591">
        <v>1613</v>
      </c>
      <c r="G1622" s="420">
        <f t="shared" ca="1" si="33"/>
        <v>8.4028146776976884E-2</v>
      </c>
    </row>
    <row r="1623" spans="6:7" x14ac:dyDescent="0.2">
      <c r="F1623" s="591">
        <v>1614</v>
      </c>
      <c r="G1623" s="420">
        <f t="shared" ca="1" si="33"/>
        <v>-0.15782031734062124</v>
      </c>
    </row>
    <row r="1624" spans="6:7" x14ac:dyDescent="0.2">
      <c r="F1624" s="591">
        <v>1615</v>
      </c>
      <c r="G1624" s="420">
        <f t="shared" ca="1" si="33"/>
        <v>3.6948005285035113E-2</v>
      </c>
    </row>
    <row r="1625" spans="6:7" x14ac:dyDescent="0.2">
      <c r="F1625" s="591">
        <v>1616</v>
      </c>
      <c r="G1625" s="420">
        <f t="shared" ca="1" si="33"/>
        <v>0.10788273048790403</v>
      </c>
    </row>
    <row r="1626" spans="6:7" x14ac:dyDescent="0.2">
      <c r="F1626" s="591">
        <v>1617</v>
      </c>
      <c r="G1626" s="420">
        <f t="shared" ca="1" si="33"/>
        <v>2.2130837719550926E-2</v>
      </c>
    </row>
    <row r="1627" spans="6:7" x14ac:dyDescent="0.2">
      <c r="F1627" s="591">
        <v>1618</v>
      </c>
      <c r="G1627" s="420">
        <f t="shared" ca="1" si="33"/>
        <v>-7.7493169248017357E-2</v>
      </c>
    </row>
    <row r="1628" spans="6:7" x14ac:dyDescent="0.2">
      <c r="F1628" s="591">
        <v>1619</v>
      </c>
      <c r="G1628" s="420">
        <f t="shared" ca="1" si="33"/>
        <v>4.899628469362842E-2</v>
      </c>
    </row>
    <row r="1629" spans="6:7" x14ac:dyDescent="0.2">
      <c r="F1629" s="591">
        <v>1620</v>
      </c>
      <c r="G1629" s="420">
        <f t="shared" ca="1" si="33"/>
        <v>2.7192462732816749E-3</v>
      </c>
    </row>
    <row r="1630" spans="6:7" x14ac:dyDescent="0.2">
      <c r="F1630" s="591">
        <v>1621</v>
      </c>
      <c r="G1630" s="420">
        <f t="shared" ca="1" si="33"/>
        <v>5.353387604119221E-2</v>
      </c>
    </row>
    <row r="1631" spans="6:7" x14ac:dyDescent="0.2">
      <c r="F1631" s="591">
        <v>1622</v>
      </c>
      <c r="G1631" s="420">
        <f t="shared" ca="1" si="33"/>
        <v>-5.8177278924140804E-2</v>
      </c>
    </row>
    <row r="1632" spans="6:7" x14ac:dyDescent="0.2">
      <c r="F1632" s="591">
        <v>1623</v>
      </c>
      <c r="G1632" s="420">
        <f t="shared" ca="1" si="33"/>
        <v>3.7207450857766118E-2</v>
      </c>
    </row>
    <row r="1633" spans="6:7" x14ac:dyDescent="0.2">
      <c r="F1633" s="591">
        <v>1624</v>
      </c>
      <c r="G1633" s="420">
        <f t="shared" ca="1" si="33"/>
        <v>9.3592881694927708E-3</v>
      </c>
    </row>
    <row r="1634" spans="6:7" x14ac:dyDescent="0.2">
      <c r="F1634" s="591">
        <v>1625</v>
      </c>
      <c r="G1634" s="420">
        <f t="shared" ca="1" si="33"/>
        <v>2.3605247762676654E-2</v>
      </c>
    </row>
    <row r="1635" spans="6:7" x14ac:dyDescent="0.2">
      <c r="F1635" s="591">
        <v>1626</v>
      </c>
      <c r="G1635" s="420">
        <f t="shared" ca="1" si="33"/>
        <v>-2.5541039435191631E-2</v>
      </c>
    </row>
    <row r="1636" spans="6:7" x14ac:dyDescent="0.2">
      <c r="F1636" s="591">
        <v>1627</v>
      </c>
      <c r="G1636" s="420">
        <f t="shared" ca="1" si="33"/>
        <v>-0.16292672988343221</v>
      </c>
    </row>
    <row r="1637" spans="6:7" x14ac:dyDescent="0.2">
      <c r="F1637" s="591">
        <v>1628</v>
      </c>
      <c r="G1637" s="420">
        <f t="shared" ca="1" si="33"/>
        <v>8.9865621603083715E-2</v>
      </c>
    </row>
    <row r="1638" spans="6:7" x14ac:dyDescent="0.2">
      <c r="F1638" s="591">
        <v>1629</v>
      </c>
      <c r="G1638" s="420">
        <f t="shared" ca="1" si="33"/>
        <v>2.4431690048099895E-3</v>
      </c>
    </row>
    <row r="1639" spans="6:7" x14ac:dyDescent="0.2">
      <c r="F1639" s="591">
        <v>1630</v>
      </c>
      <c r="G1639" s="420">
        <f t="shared" ca="1" si="33"/>
        <v>-0.10888760069693026</v>
      </c>
    </row>
    <row r="1640" spans="6:7" x14ac:dyDescent="0.2">
      <c r="F1640" s="591">
        <v>1631</v>
      </c>
      <c r="G1640" s="420">
        <f t="shared" ca="1" si="33"/>
        <v>1.6874023726283854E-2</v>
      </c>
    </row>
    <row r="1641" spans="6:7" x14ac:dyDescent="0.2">
      <c r="F1641" s="591">
        <v>1632</v>
      </c>
      <c r="G1641" s="420">
        <f t="shared" ca="1" si="33"/>
        <v>1.2630066872481574E-2</v>
      </c>
    </row>
    <row r="1642" spans="6:7" x14ac:dyDescent="0.2">
      <c r="F1642" s="591">
        <v>1633</v>
      </c>
      <c r="G1642" s="420">
        <f t="shared" ca="1" si="33"/>
        <v>-4.5504626762657888E-2</v>
      </c>
    </row>
    <row r="1643" spans="6:7" x14ac:dyDescent="0.2">
      <c r="F1643" s="591">
        <v>1634</v>
      </c>
      <c r="G1643" s="420">
        <f t="shared" ca="1" si="33"/>
        <v>6.4780222508248773E-3</v>
      </c>
    </row>
    <row r="1644" spans="6:7" x14ac:dyDescent="0.2">
      <c r="F1644" s="591">
        <v>1635</v>
      </c>
      <c r="G1644" s="420">
        <f t="shared" ca="1" si="33"/>
        <v>-0.18011171150828056</v>
      </c>
    </row>
    <row r="1645" spans="6:7" x14ac:dyDescent="0.2">
      <c r="F1645" s="591">
        <v>1636</v>
      </c>
      <c r="G1645" s="420">
        <f t="shared" ca="1" si="33"/>
        <v>1.7595493346262266E-2</v>
      </c>
    </row>
    <row r="1646" spans="6:7" x14ac:dyDescent="0.2">
      <c r="F1646" s="591">
        <v>1637</v>
      </c>
      <c r="G1646" s="420">
        <f t="shared" ca="1" si="33"/>
        <v>-7.7509561202894053E-2</v>
      </c>
    </row>
    <row r="1647" spans="6:7" x14ac:dyDescent="0.2">
      <c r="F1647" s="591">
        <v>1638</v>
      </c>
      <c r="G1647" s="420">
        <f t="shared" ca="1" si="33"/>
        <v>4.2403453113253872E-2</v>
      </c>
    </row>
    <row r="1648" spans="6:7" x14ac:dyDescent="0.2">
      <c r="F1648" s="591">
        <v>1639</v>
      </c>
      <c r="G1648" s="420">
        <f t="shared" ca="1" si="33"/>
        <v>2.0981382702591617E-2</v>
      </c>
    </row>
    <row r="1649" spans="6:7" x14ac:dyDescent="0.2">
      <c r="F1649" s="591">
        <v>1640</v>
      </c>
      <c r="G1649" s="420">
        <f t="shared" ca="1" si="33"/>
        <v>-9.4773766820651958E-2</v>
      </c>
    </row>
    <row r="1650" spans="6:7" x14ac:dyDescent="0.2">
      <c r="F1650" s="591">
        <v>1641</v>
      </c>
      <c r="G1650" s="420">
        <f t="shared" ca="1" si="33"/>
        <v>3.0502518589447723E-2</v>
      </c>
    </row>
    <row r="1651" spans="6:7" x14ac:dyDescent="0.2">
      <c r="F1651" s="591">
        <v>1642</v>
      </c>
      <c r="G1651" s="420">
        <f t="shared" ca="1" si="33"/>
        <v>3.9862127940483508E-2</v>
      </c>
    </row>
    <row r="1652" spans="6:7" x14ac:dyDescent="0.2">
      <c r="F1652" s="591">
        <v>1643</v>
      </c>
      <c r="G1652" s="420">
        <f t="shared" ca="1" si="33"/>
        <v>8.4519244145829772E-2</v>
      </c>
    </row>
    <row r="1653" spans="6:7" x14ac:dyDescent="0.2">
      <c r="F1653" s="591">
        <v>1644</v>
      </c>
      <c r="G1653" s="420">
        <f t="shared" ca="1" si="33"/>
        <v>9.1132470481918956E-2</v>
      </c>
    </row>
    <row r="1654" spans="6:7" x14ac:dyDescent="0.2">
      <c r="F1654" s="591">
        <v>1645</v>
      </c>
      <c r="G1654" s="420">
        <f t="shared" ca="1" si="33"/>
        <v>6.6195896306697255E-2</v>
      </c>
    </row>
    <row r="1655" spans="6:7" x14ac:dyDescent="0.2">
      <c r="F1655" s="591">
        <v>1646</v>
      </c>
      <c r="G1655" s="420">
        <f t="shared" ca="1" si="33"/>
        <v>-6.0037294860440127E-2</v>
      </c>
    </row>
    <row r="1656" spans="6:7" x14ac:dyDescent="0.2">
      <c r="F1656" s="591">
        <v>1647</v>
      </c>
      <c r="G1656" s="420">
        <f t="shared" ca="1" si="33"/>
        <v>6.0355753475259996E-2</v>
      </c>
    </row>
    <row r="1657" spans="6:7" x14ac:dyDescent="0.2">
      <c r="F1657" s="591">
        <v>1648</v>
      </c>
      <c r="G1657" s="420">
        <f t="shared" ca="1" si="33"/>
        <v>-0.14058167595744595</v>
      </c>
    </row>
    <row r="1658" spans="6:7" x14ac:dyDescent="0.2">
      <c r="F1658" s="591">
        <v>1649</v>
      </c>
      <c r="G1658" s="420">
        <f t="shared" ca="1" si="33"/>
        <v>-6.0148515132076558E-2</v>
      </c>
    </row>
    <row r="1659" spans="6:7" x14ac:dyDescent="0.2">
      <c r="F1659" s="591">
        <v>1650</v>
      </c>
      <c r="G1659" s="420">
        <f t="shared" ca="1" si="33"/>
        <v>-2.9075166206416387E-2</v>
      </c>
    </row>
    <row r="1660" spans="6:7" x14ac:dyDescent="0.2">
      <c r="F1660" s="591">
        <v>1651</v>
      </c>
      <c r="G1660" s="420">
        <f t="shared" ca="1" si="33"/>
        <v>4.9544420843468287E-2</v>
      </c>
    </row>
    <row r="1661" spans="6:7" x14ac:dyDescent="0.2">
      <c r="F1661" s="591">
        <v>1652</v>
      </c>
      <c r="G1661" s="420">
        <f t="shared" ca="1" si="33"/>
        <v>9.9405779330479348E-3</v>
      </c>
    </row>
    <row r="1662" spans="6:7" x14ac:dyDescent="0.2">
      <c r="F1662" s="591">
        <v>1653</v>
      </c>
      <c r="G1662" s="420">
        <f t="shared" ca="1" si="33"/>
        <v>1.0423489977109037E-3</v>
      </c>
    </row>
    <row r="1663" spans="6:7" x14ac:dyDescent="0.2">
      <c r="F1663" s="591">
        <v>1654</v>
      </c>
      <c r="G1663" s="420">
        <f t="shared" ca="1" si="33"/>
        <v>-2.0386426439102722E-2</v>
      </c>
    </row>
    <row r="1664" spans="6:7" x14ac:dyDescent="0.2">
      <c r="F1664" s="591">
        <v>1655</v>
      </c>
      <c r="G1664" s="420">
        <f t="shared" ca="1" si="33"/>
        <v>-2.9359589954284292E-2</v>
      </c>
    </row>
    <row r="1665" spans="6:7" x14ac:dyDescent="0.2">
      <c r="F1665" s="591">
        <v>1656</v>
      </c>
      <c r="G1665" s="420">
        <f t="shared" ca="1" si="33"/>
        <v>1.1434900371791096E-2</v>
      </c>
    </row>
    <row r="1666" spans="6:7" x14ac:dyDescent="0.2">
      <c r="F1666" s="591">
        <v>1657</v>
      </c>
      <c r="G1666" s="420">
        <f t="shared" ca="1" si="33"/>
        <v>2.6431047719657493E-2</v>
      </c>
    </row>
    <row r="1667" spans="6:7" x14ac:dyDescent="0.2">
      <c r="F1667" s="591">
        <v>1658</v>
      </c>
      <c r="G1667" s="420">
        <f t="shared" ca="1" si="33"/>
        <v>8.7525022053543414E-2</v>
      </c>
    </row>
    <row r="1668" spans="6:7" x14ac:dyDescent="0.2">
      <c r="F1668" s="591">
        <v>1659</v>
      </c>
      <c r="G1668" s="420">
        <f t="shared" ca="1" si="33"/>
        <v>-1.6380199447027871E-2</v>
      </c>
    </row>
    <row r="1669" spans="6:7" x14ac:dyDescent="0.2">
      <c r="F1669" s="591">
        <v>1660</v>
      </c>
      <c r="G1669" s="420">
        <f t="shared" ca="1" si="33"/>
        <v>-9.0047656489886732E-2</v>
      </c>
    </row>
    <row r="1670" spans="6:7" x14ac:dyDescent="0.2">
      <c r="F1670" s="591">
        <v>1661</v>
      </c>
      <c r="G1670" s="420">
        <f t="shared" ca="1" si="33"/>
        <v>3.2386539957889281E-3</v>
      </c>
    </row>
    <row r="1671" spans="6:7" x14ac:dyDescent="0.2">
      <c r="F1671" s="591">
        <v>1662</v>
      </c>
      <c r="G1671" s="420">
        <f t="shared" ca="1" si="33"/>
        <v>3.7149723129877674E-2</v>
      </c>
    </row>
    <row r="1672" spans="6:7" x14ac:dyDescent="0.2">
      <c r="F1672" s="591">
        <v>1663</v>
      </c>
      <c r="G1672" s="420">
        <f t="shared" ca="1" si="33"/>
        <v>-2.9012396804037898E-2</v>
      </c>
    </row>
    <row r="1673" spans="6:7" x14ac:dyDescent="0.2">
      <c r="F1673" s="591">
        <v>1664</v>
      </c>
      <c r="G1673" s="420">
        <f t="shared" ca="1" si="33"/>
        <v>-2.6388451332094349E-2</v>
      </c>
    </row>
    <row r="1674" spans="6:7" x14ac:dyDescent="0.2">
      <c r="F1674" s="591">
        <v>1665</v>
      </c>
      <c r="G1674" s="420">
        <f t="shared" ca="1" si="33"/>
        <v>0.10275416019262636</v>
      </c>
    </row>
    <row r="1675" spans="6:7" x14ac:dyDescent="0.2">
      <c r="F1675" s="591">
        <v>1666</v>
      </c>
      <c r="G1675" s="420">
        <f t="shared" ref="G1675:G1738" ca="1" si="34">_xlfn.NORM.INV(RAND(), $M$11,$M$12)</f>
        <v>3.3345120502535755E-2</v>
      </c>
    </row>
    <row r="1676" spans="6:7" x14ac:dyDescent="0.2">
      <c r="F1676" s="591">
        <v>1667</v>
      </c>
      <c r="G1676" s="420">
        <f t="shared" ca="1" si="34"/>
        <v>0.10230161404716495</v>
      </c>
    </row>
    <row r="1677" spans="6:7" x14ac:dyDescent="0.2">
      <c r="F1677" s="591">
        <v>1668</v>
      </c>
      <c r="G1677" s="420">
        <f t="shared" ca="1" si="34"/>
        <v>-0.12336268947923633</v>
      </c>
    </row>
    <row r="1678" spans="6:7" x14ac:dyDescent="0.2">
      <c r="F1678" s="591">
        <v>1669</v>
      </c>
      <c r="G1678" s="420">
        <f t="shared" ca="1" si="34"/>
        <v>1.3266064931163854E-2</v>
      </c>
    </row>
    <row r="1679" spans="6:7" x14ac:dyDescent="0.2">
      <c r="F1679" s="591">
        <v>1670</v>
      </c>
      <c r="G1679" s="420">
        <f t="shared" ca="1" si="34"/>
        <v>1.5058271005399377E-2</v>
      </c>
    </row>
    <row r="1680" spans="6:7" x14ac:dyDescent="0.2">
      <c r="F1680" s="591">
        <v>1671</v>
      </c>
      <c r="G1680" s="420">
        <f t="shared" ca="1" si="34"/>
        <v>8.1797049143406048E-2</v>
      </c>
    </row>
    <row r="1681" spans="6:7" x14ac:dyDescent="0.2">
      <c r="F1681" s="591">
        <v>1672</v>
      </c>
      <c r="G1681" s="420">
        <f t="shared" ca="1" si="34"/>
        <v>3.2473556235828288E-2</v>
      </c>
    </row>
    <row r="1682" spans="6:7" x14ac:dyDescent="0.2">
      <c r="F1682" s="591">
        <v>1673</v>
      </c>
      <c r="G1682" s="420">
        <f t="shared" ca="1" si="34"/>
        <v>3.1444308745953484E-2</v>
      </c>
    </row>
    <row r="1683" spans="6:7" x14ac:dyDescent="0.2">
      <c r="F1683" s="591">
        <v>1674</v>
      </c>
      <c r="G1683" s="420">
        <f t="shared" ca="1" si="34"/>
        <v>-0.10613041472603513</v>
      </c>
    </row>
    <row r="1684" spans="6:7" x14ac:dyDescent="0.2">
      <c r="F1684" s="591">
        <v>1675</v>
      </c>
      <c r="G1684" s="420">
        <f t="shared" ca="1" si="34"/>
        <v>3.69573150454727E-2</v>
      </c>
    </row>
    <row r="1685" spans="6:7" x14ac:dyDescent="0.2">
      <c r="F1685" s="591">
        <v>1676</v>
      </c>
      <c r="G1685" s="420">
        <f t="shared" ca="1" si="34"/>
        <v>4.028922271041048E-2</v>
      </c>
    </row>
    <row r="1686" spans="6:7" x14ac:dyDescent="0.2">
      <c r="F1686" s="591">
        <v>1677</v>
      </c>
      <c r="G1686" s="420">
        <f t="shared" ca="1" si="34"/>
        <v>2.5059817874122127E-3</v>
      </c>
    </row>
    <row r="1687" spans="6:7" x14ac:dyDescent="0.2">
      <c r="F1687" s="591">
        <v>1678</v>
      </c>
      <c r="G1687" s="420">
        <f t="shared" ca="1" si="34"/>
        <v>0.1126860305453824</v>
      </c>
    </row>
    <row r="1688" spans="6:7" x14ac:dyDescent="0.2">
      <c r="F1688" s="591">
        <v>1679</v>
      </c>
      <c r="G1688" s="420">
        <f t="shared" ca="1" si="34"/>
        <v>-0.12601508527866645</v>
      </c>
    </row>
    <row r="1689" spans="6:7" x14ac:dyDescent="0.2">
      <c r="F1689" s="591">
        <v>1680</v>
      </c>
      <c r="G1689" s="420">
        <f t="shared" ca="1" si="34"/>
        <v>-6.4546715737781743E-2</v>
      </c>
    </row>
    <row r="1690" spans="6:7" x14ac:dyDescent="0.2">
      <c r="F1690" s="591">
        <v>1681</v>
      </c>
      <c r="G1690" s="420">
        <f t="shared" ca="1" si="34"/>
        <v>-3.7811516245100291E-2</v>
      </c>
    </row>
    <row r="1691" spans="6:7" x14ac:dyDescent="0.2">
      <c r="F1691" s="591">
        <v>1682</v>
      </c>
      <c r="G1691" s="420">
        <f t="shared" ca="1" si="34"/>
        <v>1.5304747924383575E-2</v>
      </c>
    </row>
    <row r="1692" spans="6:7" x14ac:dyDescent="0.2">
      <c r="F1692" s="591">
        <v>1683</v>
      </c>
      <c r="G1692" s="420">
        <f t="shared" ca="1" si="34"/>
        <v>0.11025865406351247</v>
      </c>
    </row>
    <row r="1693" spans="6:7" x14ac:dyDescent="0.2">
      <c r="F1693" s="591">
        <v>1684</v>
      </c>
      <c r="G1693" s="420">
        <f t="shared" ca="1" si="34"/>
        <v>-1.4062502957390442E-2</v>
      </c>
    </row>
    <row r="1694" spans="6:7" x14ac:dyDescent="0.2">
      <c r="F1694" s="591">
        <v>1685</v>
      </c>
      <c r="G1694" s="420">
        <f t="shared" ca="1" si="34"/>
        <v>0.12203935591406034</v>
      </c>
    </row>
    <row r="1695" spans="6:7" x14ac:dyDescent="0.2">
      <c r="F1695" s="591">
        <v>1686</v>
      </c>
      <c r="G1695" s="420">
        <f t="shared" ca="1" si="34"/>
        <v>-4.6633394825583541E-2</v>
      </c>
    </row>
    <row r="1696" spans="6:7" x14ac:dyDescent="0.2">
      <c r="F1696" s="591">
        <v>1687</v>
      </c>
      <c r="G1696" s="420">
        <f t="shared" ca="1" si="34"/>
        <v>-6.1231756849376255E-3</v>
      </c>
    </row>
    <row r="1697" spans="6:7" x14ac:dyDescent="0.2">
      <c r="F1697" s="591">
        <v>1688</v>
      </c>
      <c r="G1697" s="420">
        <f t="shared" ca="1" si="34"/>
        <v>-6.8704253525477654E-2</v>
      </c>
    </row>
    <row r="1698" spans="6:7" x14ac:dyDescent="0.2">
      <c r="F1698" s="591">
        <v>1689</v>
      </c>
      <c r="G1698" s="420">
        <f t="shared" ca="1" si="34"/>
        <v>3.1928935557530874E-2</v>
      </c>
    </row>
    <row r="1699" spans="6:7" x14ac:dyDescent="0.2">
      <c r="F1699" s="591">
        <v>1690</v>
      </c>
      <c r="G1699" s="420">
        <f t="shared" ca="1" si="34"/>
        <v>1.3508170961888014E-2</v>
      </c>
    </row>
    <row r="1700" spans="6:7" x14ac:dyDescent="0.2">
      <c r="F1700" s="591">
        <v>1691</v>
      </c>
      <c r="G1700" s="420">
        <f t="shared" ca="1" si="34"/>
        <v>5.8805522044332523E-2</v>
      </c>
    </row>
    <row r="1701" spans="6:7" x14ac:dyDescent="0.2">
      <c r="F1701" s="591">
        <v>1692</v>
      </c>
      <c r="G1701" s="420">
        <f t="shared" ca="1" si="34"/>
        <v>9.6432506367222001E-3</v>
      </c>
    </row>
    <row r="1702" spans="6:7" x14ac:dyDescent="0.2">
      <c r="F1702" s="591">
        <v>1693</v>
      </c>
      <c r="G1702" s="420">
        <f t="shared" ca="1" si="34"/>
        <v>-0.13061202653060933</v>
      </c>
    </row>
    <row r="1703" spans="6:7" x14ac:dyDescent="0.2">
      <c r="F1703" s="591">
        <v>1694</v>
      </c>
      <c r="G1703" s="420">
        <f t="shared" ca="1" si="34"/>
        <v>6.9400070741695186E-2</v>
      </c>
    </row>
    <row r="1704" spans="6:7" x14ac:dyDescent="0.2">
      <c r="F1704" s="591">
        <v>1695</v>
      </c>
      <c r="G1704" s="420">
        <f t="shared" ca="1" si="34"/>
        <v>6.4096574212508459E-2</v>
      </c>
    </row>
    <row r="1705" spans="6:7" x14ac:dyDescent="0.2">
      <c r="F1705" s="591">
        <v>1696</v>
      </c>
      <c r="G1705" s="420">
        <f t="shared" ca="1" si="34"/>
        <v>3.3066679986473752E-2</v>
      </c>
    </row>
    <row r="1706" spans="6:7" x14ac:dyDescent="0.2">
      <c r="F1706" s="591">
        <v>1697</v>
      </c>
      <c r="G1706" s="420">
        <f t="shared" ca="1" si="34"/>
        <v>-8.3910625169774211E-2</v>
      </c>
    </row>
    <row r="1707" spans="6:7" x14ac:dyDescent="0.2">
      <c r="F1707" s="591">
        <v>1698</v>
      </c>
      <c r="G1707" s="420">
        <f t="shared" ca="1" si="34"/>
        <v>0.19824560475352468</v>
      </c>
    </row>
    <row r="1708" spans="6:7" x14ac:dyDescent="0.2">
      <c r="F1708" s="591">
        <v>1699</v>
      </c>
      <c r="G1708" s="420">
        <f t="shared" ca="1" si="34"/>
        <v>-4.6656114528646986E-2</v>
      </c>
    </row>
    <row r="1709" spans="6:7" x14ac:dyDescent="0.2">
      <c r="F1709" s="591">
        <v>1700</v>
      </c>
      <c r="G1709" s="420">
        <f t="shared" ca="1" si="34"/>
        <v>-3.8724531075583393E-2</v>
      </c>
    </row>
    <row r="1710" spans="6:7" x14ac:dyDescent="0.2">
      <c r="F1710" s="591">
        <v>1701</v>
      </c>
      <c r="G1710" s="420">
        <f t="shared" ca="1" si="34"/>
        <v>2.9562930586220865E-2</v>
      </c>
    </row>
    <row r="1711" spans="6:7" x14ac:dyDescent="0.2">
      <c r="F1711" s="591">
        <v>1702</v>
      </c>
      <c r="G1711" s="420">
        <f t="shared" ca="1" si="34"/>
        <v>9.6809683443057279E-2</v>
      </c>
    </row>
    <row r="1712" spans="6:7" x14ac:dyDescent="0.2">
      <c r="F1712" s="591">
        <v>1703</v>
      </c>
      <c r="G1712" s="420">
        <f t="shared" ca="1" si="34"/>
        <v>6.5964078283150915E-2</v>
      </c>
    </row>
    <row r="1713" spans="6:7" x14ac:dyDescent="0.2">
      <c r="F1713" s="591">
        <v>1704</v>
      </c>
      <c r="G1713" s="420">
        <f t="shared" ca="1" si="34"/>
        <v>-5.5163984687932863E-2</v>
      </c>
    </row>
    <row r="1714" spans="6:7" x14ac:dyDescent="0.2">
      <c r="F1714" s="591">
        <v>1705</v>
      </c>
      <c r="G1714" s="420">
        <f t="shared" ca="1" si="34"/>
        <v>-4.2466976332406717E-2</v>
      </c>
    </row>
    <row r="1715" spans="6:7" x14ac:dyDescent="0.2">
      <c r="F1715" s="591">
        <v>1706</v>
      </c>
      <c r="G1715" s="420">
        <f t="shared" ca="1" si="34"/>
        <v>3.3731123553379871E-2</v>
      </c>
    </row>
    <row r="1716" spans="6:7" x14ac:dyDescent="0.2">
      <c r="F1716" s="591">
        <v>1707</v>
      </c>
      <c r="G1716" s="420">
        <f t="shared" ca="1" si="34"/>
        <v>-3.296650749123041E-2</v>
      </c>
    </row>
    <row r="1717" spans="6:7" x14ac:dyDescent="0.2">
      <c r="F1717" s="591">
        <v>1708</v>
      </c>
      <c r="G1717" s="420">
        <f t="shared" ca="1" si="34"/>
        <v>-1.2025490630381885E-2</v>
      </c>
    </row>
    <row r="1718" spans="6:7" x14ac:dyDescent="0.2">
      <c r="F1718" s="591">
        <v>1709</v>
      </c>
      <c r="G1718" s="420">
        <f t="shared" ca="1" si="34"/>
        <v>4.4941443041161738E-2</v>
      </c>
    </row>
    <row r="1719" spans="6:7" x14ac:dyDescent="0.2">
      <c r="F1719" s="591">
        <v>1710</v>
      </c>
      <c r="G1719" s="420">
        <f t="shared" ca="1" si="34"/>
        <v>5.361893571925265E-2</v>
      </c>
    </row>
    <row r="1720" spans="6:7" x14ac:dyDescent="0.2">
      <c r="F1720" s="591">
        <v>1711</v>
      </c>
      <c r="G1720" s="420">
        <f t="shared" ca="1" si="34"/>
        <v>-4.2885969832046317E-2</v>
      </c>
    </row>
    <row r="1721" spans="6:7" x14ac:dyDescent="0.2">
      <c r="F1721" s="591">
        <v>1712</v>
      </c>
      <c r="G1721" s="420">
        <f t="shared" ca="1" si="34"/>
        <v>2.4696328870785496E-2</v>
      </c>
    </row>
    <row r="1722" spans="6:7" x14ac:dyDescent="0.2">
      <c r="F1722" s="591">
        <v>1713</v>
      </c>
      <c r="G1722" s="420">
        <f t="shared" ca="1" si="34"/>
        <v>5.368160422048994E-2</v>
      </c>
    </row>
    <row r="1723" spans="6:7" x14ac:dyDescent="0.2">
      <c r="F1723" s="591">
        <v>1714</v>
      </c>
      <c r="G1723" s="420">
        <f t="shared" ca="1" si="34"/>
        <v>3.1197435098339818E-3</v>
      </c>
    </row>
    <row r="1724" spans="6:7" x14ac:dyDescent="0.2">
      <c r="F1724" s="591">
        <v>1715</v>
      </c>
      <c r="G1724" s="420">
        <f t="shared" ca="1" si="34"/>
        <v>1.4073386488220185E-2</v>
      </c>
    </row>
    <row r="1725" spans="6:7" x14ac:dyDescent="0.2">
      <c r="F1725" s="591">
        <v>1716</v>
      </c>
      <c r="G1725" s="420">
        <f t="shared" ca="1" si="34"/>
        <v>4.688182775945364E-2</v>
      </c>
    </row>
    <row r="1726" spans="6:7" x14ac:dyDescent="0.2">
      <c r="F1726" s="591">
        <v>1717</v>
      </c>
      <c r="G1726" s="420">
        <f t="shared" ca="1" si="34"/>
        <v>-2.4762616373862404E-2</v>
      </c>
    </row>
    <row r="1727" spans="6:7" x14ac:dyDescent="0.2">
      <c r="F1727" s="591">
        <v>1718</v>
      </c>
      <c r="G1727" s="420">
        <f t="shared" ca="1" si="34"/>
        <v>0.13500639798410846</v>
      </c>
    </row>
    <row r="1728" spans="6:7" x14ac:dyDescent="0.2">
      <c r="F1728" s="591">
        <v>1719</v>
      </c>
      <c r="G1728" s="420">
        <f t="shared" ca="1" si="34"/>
        <v>1.7879372666372999E-2</v>
      </c>
    </row>
    <row r="1729" spans="6:7" x14ac:dyDescent="0.2">
      <c r="F1729" s="591">
        <v>1720</v>
      </c>
      <c r="G1729" s="420">
        <f t="shared" ca="1" si="34"/>
        <v>-4.9475885638293554E-2</v>
      </c>
    </row>
    <row r="1730" spans="6:7" x14ac:dyDescent="0.2">
      <c r="F1730" s="591">
        <v>1721</v>
      </c>
      <c r="G1730" s="420">
        <f t="shared" ca="1" si="34"/>
        <v>0.13161885202275098</v>
      </c>
    </row>
    <row r="1731" spans="6:7" x14ac:dyDescent="0.2">
      <c r="F1731" s="591">
        <v>1722</v>
      </c>
      <c r="G1731" s="420">
        <f t="shared" ca="1" si="34"/>
        <v>3.9029618578998421E-2</v>
      </c>
    </row>
    <row r="1732" spans="6:7" x14ac:dyDescent="0.2">
      <c r="F1732" s="591">
        <v>1723</v>
      </c>
      <c r="G1732" s="420">
        <f t="shared" ca="1" si="34"/>
        <v>-2.6450350725544778E-2</v>
      </c>
    </row>
    <row r="1733" spans="6:7" x14ac:dyDescent="0.2">
      <c r="F1733" s="591">
        <v>1724</v>
      </c>
      <c r="G1733" s="420">
        <f t="shared" ca="1" si="34"/>
        <v>7.0336177994833757E-2</v>
      </c>
    </row>
    <row r="1734" spans="6:7" x14ac:dyDescent="0.2">
      <c r="F1734" s="591">
        <v>1725</v>
      </c>
      <c r="G1734" s="420">
        <f t="shared" ca="1" si="34"/>
        <v>2.7465949559674369E-3</v>
      </c>
    </row>
    <row r="1735" spans="6:7" x14ac:dyDescent="0.2">
      <c r="F1735" s="591">
        <v>1726</v>
      </c>
      <c r="G1735" s="420">
        <f t="shared" ca="1" si="34"/>
        <v>-9.1109886428086484E-2</v>
      </c>
    </row>
    <row r="1736" spans="6:7" x14ac:dyDescent="0.2">
      <c r="F1736" s="591">
        <v>1727</v>
      </c>
      <c r="G1736" s="420">
        <f t="shared" ca="1" si="34"/>
        <v>7.1710123941998549E-2</v>
      </c>
    </row>
    <row r="1737" spans="6:7" x14ac:dyDescent="0.2">
      <c r="F1737" s="591">
        <v>1728</v>
      </c>
      <c r="G1737" s="420">
        <f t="shared" ca="1" si="34"/>
        <v>0.16023878378191067</v>
      </c>
    </row>
    <row r="1738" spans="6:7" x14ac:dyDescent="0.2">
      <c r="F1738" s="591">
        <v>1729</v>
      </c>
      <c r="G1738" s="420">
        <f t="shared" ca="1" si="34"/>
        <v>-0.10790906245134867</v>
      </c>
    </row>
    <row r="1739" spans="6:7" x14ac:dyDescent="0.2">
      <c r="F1739" s="591">
        <v>1730</v>
      </c>
      <c r="G1739" s="420">
        <f t="shared" ref="G1739:G1802" ca="1" si="35">_xlfn.NORM.INV(RAND(), $M$11,$M$12)</f>
        <v>9.2181046009618836E-2</v>
      </c>
    </row>
    <row r="1740" spans="6:7" x14ac:dyDescent="0.2">
      <c r="F1740" s="591">
        <v>1731</v>
      </c>
      <c r="G1740" s="420">
        <f t="shared" ca="1" si="35"/>
        <v>8.6218004928448486E-2</v>
      </c>
    </row>
    <row r="1741" spans="6:7" x14ac:dyDescent="0.2">
      <c r="F1741" s="591">
        <v>1732</v>
      </c>
      <c r="G1741" s="420">
        <f t="shared" ca="1" si="35"/>
        <v>8.4978418985151502E-3</v>
      </c>
    </row>
    <row r="1742" spans="6:7" x14ac:dyDescent="0.2">
      <c r="F1742" s="591">
        <v>1733</v>
      </c>
      <c r="G1742" s="420">
        <f t="shared" ca="1" si="35"/>
        <v>5.3025442544001114E-2</v>
      </c>
    </row>
    <row r="1743" spans="6:7" x14ac:dyDescent="0.2">
      <c r="F1743" s="591">
        <v>1734</v>
      </c>
      <c r="G1743" s="420">
        <f t="shared" ca="1" si="35"/>
        <v>1.4944639820575423E-2</v>
      </c>
    </row>
    <row r="1744" spans="6:7" x14ac:dyDescent="0.2">
      <c r="F1744" s="591">
        <v>1735</v>
      </c>
      <c r="G1744" s="420">
        <f t="shared" ca="1" si="35"/>
        <v>-1.3539594647833594E-2</v>
      </c>
    </row>
    <row r="1745" spans="6:7" x14ac:dyDescent="0.2">
      <c r="F1745" s="591">
        <v>1736</v>
      </c>
      <c r="G1745" s="420">
        <f t="shared" ca="1" si="35"/>
        <v>-5.4166615415961905E-2</v>
      </c>
    </row>
    <row r="1746" spans="6:7" x14ac:dyDescent="0.2">
      <c r="F1746" s="591">
        <v>1737</v>
      </c>
      <c r="G1746" s="420">
        <f t="shared" ca="1" si="35"/>
        <v>-0.15896662229988157</v>
      </c>
    </row>
    <row r="1747" spans="6:7" x14ac:dyDescent="0.2">
      <c r="F1747" s="591">
        <v>1738</v>
      </c>
      <c r="G1747" s="420">
        <f t="shared" ca="1" si="35"/>
        <v>-2.4289187953543973E-2</v>
      </c>
    </row>
    <row r="1748" spans="6:7" x14ac:dyDescent="0.2">
      <c r="F1748" s="591">
        <v>1739</v>
      </c>
      <c r="G1748" s="420">
        <f t="shared" ca="1" si="35"/>
        <v>3.6608617841732791E-2</v>
      </c>
    </row>
    <row r="1749" spans="6:7" x14ac:dyDescent="0.2">
      <c r="F1749" s="591">
        <v>1740</v>
      </c>
      <c r="G1749" s="420">
        <f t="shared" ca="1" si="35"/>
        <v>0.10467421588084794</v>
      </c>
    </row>
    <row r="1750" spans="6:7" x14ac:dyDescent="0.2">
      <c r="F1750" s="591">
        <v>1741</v>
      </c>
      <c r="G1750" s="420">
        <f t="shared" ca="1" si="35"/>
        <v>5.4209949896652398E-2</v>
      </c>
    </row>
    <row r="1751" spans="6:7" x14ac:dyDescent="0.2">
      <c r="F1751" s="591">
        <v>1742</v>
      </c>
      <c r="G1751" s="420">
        <f t="shared" ca="1" si="35"/>
        <v>0.12926126739465307</v>
      </c>
    </row>
    <row r="1752" spans="6:7" x14ac:dyDescent="0.2">
      <c r="F1752" s="591">
        <v>1743</v>
      </c>
      <c r="G1752" s="420">
        <f t="shared" ca="1" si="35"/>
        <v>0.10182096846703428</v>
      </c>
    </row>
    <row r="1753" spans="6:7" x14ac:dyDescent="0.2">
      <c r="F1753" s="591">
        <v>1744</v>
      </c>
      <c r="G1753" s="420">
        <f t="shared" ca="1" si="35"/>
        <v>5.8747916514758081E-2</v>
      </c>
    </row>
    <row r="1754" spans="6:7" x14ac:dyDescent="0.2">
      <c r="F1754" s="591">
        <v>1745</v>
      </c>
      <c r="G1754" s="420">
        <f t="shared" ca="1" si="35"/>
        <v>-5.3517429532959002E-2</v>
      </c>
    </row>
    <row r="1755" spans="6:7" x14ac:dyDescent="0.2">
      <c r="F1755" s="591">
        <v>1746</v>
      </c>
      <c r="G1755" s="420">
        <f t="shared" ca="1" si="35"/>
        <v>1.3539030891200973E-2</v>
      </c>
    </row>
    <row r="1756" spans="6:7" x14ac:dyDescent="0.2">
      <c r="F1756" s="591">
        <v>1747</v>
      </c>
      <c r="G1756" s="420">
        <f t="shared" ca="1" si="35"/>
        <v>-6.8949631897399943E-2</v>
      </c>
    </row>
    <row r="1757" spans="6:7" x14ac:dyDescent="0.2">
      <c r="F1757" s="591">
        <v>1748</v>
      </c>
      <c r="G1757" s="420">
        <f t="shared" ca="1" si="35"/>
        <v>4.8382078112154725E-2</v>
      </c>
    </row>
    <row r="1758" spans="6:7" x14ac:dyDescent="0.2">
      <c r="F1758" s="591">
        <v>1749</v>
      </c>
      <c r="G1758" s="420">
        <f t="shared" ca="1" si="35"/>
        <v>-2.3018770605578897E-2</v>
      </c>
    </row>
    <row r="1759" spans="6:7" x14ac:dyDescent="0.2">
      <c r="F1759" s="591">
        <v>1750</v>
      </c>
      <c r="G1759" s="420">
        <f t="shared" ca="1" si="35"/>
        <v>-3.9164013454919322E-2</v>
      </c>
    </row>
    <row r="1760" spans="6:7" x14ac:dyDescent="0.2">
      <c r="F1760" s="591">
        <v>1751</v>
      </c>
      <c r="G1760" s="420">
        <f t="shared" ca="1" si="35"/>
        <v>2.0311735339919451E-2</v>
      </c>
    </row>
    <row r="1761" spans="6:7" x14ac:dyDescent="0.2">
      <c r="F1761" s="591">
        <v>1752</v>
      </c>
      <c r="G1761" s="420">
        <f t="shared" ca="1" si="35"/>
        <v>8.4824627277316059E-2</v>
      </c>
    </row>
    <row r="1762" spans="6:7" x14ac:dyDescent="0.2">
      <c r="F1762" s="591">
        <v>1753</v>
      </c>
      <c r="G1762" s="420">
        <f t="shared" ca="1" si="35"/>
        <v>4.7171900566933087E-2</v>
      </c>
    </row>
    <row r="1763" spans="6:7" x14ac:dyDescent="0.2">
      <c r="F1763" s="591">
        <v>1754</v>
      </c>
      <c r="G1763" s="420">
        <f t="shared" ca="1" si="35"/>
        <v>-1.5324781468744351E-2</v>
      </c>
    </row>
    <row r="1764" spans="6:7" x14ac:dyDescent="0.2">
      <c r="F1764" s="591">
        <v>1755</v>
      </c>
      <c r="G1764" s="420">
        <f t="shared" ca="1" si="35"/>
        <v>9.7029939727256542E-2</v>
      </c>
    </row>
    <row r="1765" spans="6:7" x14ac:dyDescent="0.2">
      <c r="F1765" s="591">
        <v>1756</v>
      </c>
      <c r="G1765" s="420">
        <f t="shared" ca="1" si="35"/>
        <v>-9.694690523759087E-3</v>
      </c>
    </row>
    <row r="1766" spans="6:7" x14ac:dyDescent="0.2">
      <c r="F1766" s="591">
        <v>1757</v>
      </c>
      <c r="G1766" s="420">
        <f t="shared" ca="1" si="35"/>
        <v>-0.11954251405456943</v>
      </c>
    </row>
    <row r="1767" spans="6:7" x14ac:dyDescent="0.2">
      <c r="F1767" s="591">
        <v>1758</v>
      </c>
      <c r="G1767" s="420">
        <f t="shared" ca="1" si="35"/>
        <v>-3.3946205722462694E-2</v>
      </c>
    </row>
    <row r="1768" spans="6:7" x14ac:dyDescent="0.2">
      <c r="F1768" s="591">
        <v>1759</v>
      </c>
      <c r="G1768" s="420">
        <f t="shared" ca="1" si="35"/>
        <v>0.10196219670355183</v>
      </c>
    </row>
    <row r="1769" spans="6:7" x14ac:dyDescent="0.2">
      <c r="F1769" s="591">
        <v>1760</v>
      </c>
      <c r="G1769" s="420">
        <f t="shared" ca="1" si="35"/>
        <v>7.9093041305028991E-2</v>
      </c>
    </row>
    <row r="1770" spans="6:7" x14ac:dyDescent="0.2">
      <c r="F1770" s="591">
        <v>1761</v>
      </c>
      <c r="G1770" s="420">
        <f t="shared" ca="1" si="35"/>
        <v>0.17593349035236505</v>
      </c>
    </row>
    <row r="1771" spans="6:7" x14ac:dyDescent="0.2">
      <c r="F1771" s="591">
        <v>1762</v>
      </c>
      <c r="G1771" s="420">
        <f t="shared" ca="1" si="35"/>
        <v>-1.3196861678095556E-2</v>
      </c>
    </row>
    <row r="1772" spans="6:7" x14ac:dyDescent="0.2">
      <c r="F1772" s="591">
        <v>1763</v>
      </c>
      <c r="G1772" s="420">
        <f t="shared" ca="1" si="35"/>
        <v>-2.1774726318226533E-2</v>
      </c>
    </row>
    <row r="1773" spans="6:7" x14ac:dyDescent="0.2">
      <c r="F1773" s="591">
        <v>1764</v>
      </c>
      <c r="G1773" s="420">
        <f t="shared" ca="1" si="35"/>
        <v>3.6588355388588741E-2</v>
      </c>
    </row>
    <row r="1774" spans="6:7" x14ac:dyDescent="0.2">
      <c r="F1774" s="591">
        <v>1765</v>
      </c>
      <c r="G1774" s="420">
        <f t="shared" ca="1" si="35"/>
        <v>6.325431760098324E-2</v>
      </c>
    </row>
    <row r="1775" spans="6:7" x14ac:dyDescent="0.2">
      <c r="F1775" s="591">
        <v>1766</v>
      </c>
      <c r="G1775" s="420">
        <f t="shared" ca="1" si="35"/>
        <v>1.2558373900135816E-2</v>
      </c>
    </row>
    <row r="1776" spans="6:7" x14ac:dyDescent="0.2">
      <c r="F1776" s="591">
        <v>1767</v>
      </c>
      <c r="G1776" s="420">
        <f t="shared" ca="1" si="35"/>
        <v>-0.12515377983950057</v>
      </c>
    </row>
    <row r="1777" spans="6:7" x14ac:dyDescent="0.2">
      <c r="F1777" s="591">
        <v>1768</v>
      </c>
      <c r="G1777" s="420">
        <f t="shared" ca="1" si="35"/>
        <v>-7.5463482602576917E-3</v>
      </c>
    </row>
    <row r="1778" spans="6:7" x14ac:dyDescent="0.2">
      <c r="F1778" s="591">
        <v>1769</v>
      </c>
      <c r="G1778" s="420">
        <f t="shared" ca="1" si="35"/>
        <v>-3.8767519157886079E-2</v>
      </c>
    </row>
    <row r="1779" spans="6:7" x14ac:dyDescent="0.2">
      <c r="F1779" s="591">
        <v>1770</v>
      </c>
      <c r="G1779" s="420">
        <f t="shared" ca="1" si="35"/>
        <v>5.9899822115588641E-2</v>
      </c>
    </row>
    <row r="1780" spans="6:7" x14ac:dyDescent="0.2">
      <c r="F1780" s="591">
        <v>1771</v>
      </c>
      <c r="G1780" s="420">
        <f t="shared" ca="1" si="35"/>
        <v>0.1296733891132977</v>
      </c>
    </row>
    <row r="1781" spans="6:7" x14ac:dyDescent="0.2">
      <c r="F1781" s="591">
        <v>1772</v>
      </c>
      <c r="G1781" s="420">
        <f t="shared" ca="1" si="35"/>
        <v>1.6063460858710302E-2</v>
      </c>
    </row>
    <row r="1782" spans="6:7" x14ac:dyDescent="0.2">
      <c r="F1782" s="591">
        <v>1773</v>
      </c>
      <c r="G1782" s="420">
        <f t="shared" ca="1" si="35"/>
        <v>7.8857050449832031E-2</v>
      </c>
    </row>
    <row r="1783" spans="6:7" x14ac:dyDescent="0.2">
      <c r="F1783" s="591">
        <v>1774</v>
      </c>
      <c r="G1783" s="420">
        <f t="shared" ca="1" si="35"/>
        <v>6.9411163812849411E-2</v>
      </c>
    </row>
    <row r="1784" spans="6:7" x14ac:dyDescent="0.2">
      <c r="F1784" s="591">
        <v>1775</v>
      </c>
      <c r="G1784" s="420">
        <f t="shared" ca="1" si="35"/>
        <v>1.821573264011566E-2</v>
      </c>
    </row>
    <row r="1785" spans="6:7" x14ac:dyDescent="0.2">
      <c r="F1785" s="591">
        <v>1776</v>
      </c>
      <c r="G1785" s="420">
        <f t="shared" ca="1" si="35"/>
        <v>-0.10387455236665342</v>
      </c>
    </row>
    <row r="1786" spans="6:7" x14ac:dyDescent="0.2">
      <c r="F1786" s="591">
        <v>1777</v>
      </c>
      <c r="G1786" s="420">
        <f t="shared" ca="1" si="35"/>
        <v>6.8425389734531647E-2</v>
      </c>
    </row>
    <row r="1787" spans="6:7" x14ac:dyDescent="0.2">
      <c r="F1787" s="591">
        <v>1778</v>
      </c>
      <c r="G1787" s="420">
        <f t="shared" ca="1" si="35"/>
        <v>5.6862290318860795E-2</v>
      </c>
    </row>
    <row r="1788" spans="6:7" x14ac:dyDescent="0.2">
      <c r="F1788" s="591">
        <v>1779</v>
      </c>
      <c r="G1788" s="420">
        <f t="shared" ca="1" si="35"/>
        <v>-9.240296412930421E-2</v>
      </c>
    </row>
    <row r="1789" spans="6:7" x14ac:dyDescent="0.2">
      <c r="F1789" s="591">
        <v>1780</v>
      </c>
      <c r="G1789" s="420">
        <f t="shared" ca="1" si="35"/>
        <v>-5.1774718973909034E-2</v>
      </c>
    </row>
    <row r="1790" spans="6:7" x14ac:dyDescent="0.2">
      <c r="F1790" s="591">
        <v>1781</v>
      </c>
      <c r="G1790" s="420">
        <f t="shared" ca="1" si="35"/>
        <v>-0.10056005693609503</v>
      </c>
    </row>
    <row r="1791" spans="6:7" x14ac:dyDescent="0.2">
      <c r="F1791" s="591">
        <v>1782</v>
      </c>
      <c r="G1791" s="420">
        <f t="shared" ca="1" si="35"/>
        <v>-0.11688184459255314</v>
      </c>
    </row>
    <row r="1792" spans="6:7" x14ac:dyDescent="0.2">
      <c r="F1792" s="591">
        <v>1783</v>
      </c>
      <c r="G1792" s="420">
        <f t="shared" ca="1" si="35"/>
        <v>7.0989169210219999E-2</v>
      </c>
    </row>
    <row r="1793" spans="6:7" x14ac:dyDescent="0.2">
      <c r="F1793" s="591">
        <v>1784</v>
      </c>
      <c r="G1793" s="420">
        <f t="shared" ca="1" si="35"/>
        <v>7.439716967144494E-2</v>
      </c>
    </row>
    <row r="1794" spans="6:7" x14ac:dyDescent="0.2">
      <c r="F1794" s="591">
        <v>1785</v>
      </c>
      <c r="G1794" s="420">
        <f t="shared" ca="1" si="35"/>
        <v>9.9361252892377957E-3</v>
      </c>
    </row>
    <row r="1795" spans="6:7" x14ac:dyDescent="0.2">
      <c r="F1795" s="591">
        <v>1786</v>
      </c>
      <c r="G1795" s="420">
        <f t="shared" ca="1" si="35"/>
        <v>1.8799131598637608E-2</v>
      </c>
    </row>
    <row r="1796" spans="6:7" x14ac:dyDescent="0.2">
      <c r="F1796" s="591">
        <v>1787</v>
      </c>
      <c r="G1796" s="420">
        <f t="shared" ca="1" si="35"/>
        <v>-4.1135475328555413E-3</v>
      </c>
    </row>
    <row r="1797" spans="6:7" x14ac:dyDescent="0.2">
      <c r="F1797" s="591">
        <v>1788</v>
      </c>
      <c r="G1797" s="420">
        <f t="shared" ca="1" si="35"/>
        <v>0.13402638780806486</v>
      </c>
    </row>
    <row r="1798" spans="6:7" x14ac:dyDescent="0.2">
      <c r="F1798" s="591">
        <v>1789</v>
      </c>
      <c r="G1798" s="420">
        <f t="shared" ca="1" si="35"/>
        <v>-0.11617270907700412</v>
      </c>
    </row>
    <row r="1799" spans="6:7" x14ac:dyDescent="0.2">
      <c r="F1799" s="591">
        <v>1790</v>
      </c>
      <c r="G1799" s="420">
        <f t="shared" ca="1" si="35"/>
        <v>-1.3675731818893488E-2</v>
      </c>
    </row>
    <row r="1800" spans="6:7" x14ac:dyDescent="0.2">
      <c r="F1800" s="591">
        <v>1791</v>
      </c>
      <c r="G1800" s="420">
        <f t="shared" ca="1" si="35"/>
        <v>8.8334319169039791E-2</v>
      </c>
    </row>
    <row r="1801" spans="6:7" x14ac:dyDescent="0.2">
      <c r="F1801" s="591">
        <v>1792</v>
      </c>
      <c r="G1801" s="420">
        <f t="shared" ca="1" si="35"/>
        <v>2.7445414257214543E-3</v>
      </c>
    </row>
    <row r="1802" spans="6:7" x14ac:dyDescent="0.2">
      <c r="F1802" s="591">
        <v>1793</v>
      </c>
      <c r="G1802" s="420">
        <f t="shared" ca="1" si="35"/>
        <v>-3.1660640200913179E-2</v>
      </c>
    </row>
    <row r="1803" spans="6:7" x14ac:dyDescent="0.2">
      <c r="F1803" s="591">
        <v>1794</v>
      </c>
      <c r="G1803" s="420">
        <f t="shared" ref="G1803:G1866" ca="1" si="36">_xlfn.NORM.INV(RAND(), $M$11,$M$12)</f>
        <v>5.3111069648408393E-2</v>
      </c>
    </row>
    <row r="1804" spans="6:7" x14ac:dyDescent="0.2">
      <c r="F1804" s="591">
        <v>1795</v>
      </c>
      <c r="G1804" s="420">
        <f t="shared" ca="1" si="36"/>
        <v>0.1011869987412946</v>
      </c>
    </row>
    <row r="1805" spans="6:7" x14ac:dyDescent="0.2">
      <c r="F1805" s="591">
        <v>1796</v>
      </c>
      <c r="G1805" s="420">
        <f t="shared" ca="1" si="36"/>
        <v>-5.3078781098367223E-2</v>
      </c>
    </row>
    <row r="1806" spans="6:7" x14ac:dyDescent="0.2">
      <c r="F1806" s="591">
        <v>1797</v>
      </c>
      <c r="G1806" s="420">
        <f t="shared" ca="1" si="36"/>
        <v>5.4633836851752798E-2</v>
      </c>
    </row>
    <row r="1807" spans="6:7" x14ac:dyDescent="0.2">
      <c r="F1807" s="591">
        <v>1798</v>
      </c>
      <c r="G1807" s="420">
        <f t="shared" ca="1" si="36"/>
        <v>0.12000984091574876</v>
      </c>
    </row>
    <row r="1808" spans="6:7" x14ac:dyDescent="0.2">
      <c r="F1808" s="591">
        <v>1799</v>
      </c>
      <c r="G1808" s="420">
        <f t="shared" ca="1" si="36"/>
        <v>-2.2162428955543437E-2</v>
      </c>
    </row>
    <row r="1809" spans="6:7" x14ac:dyDescent="0.2">
      <c r="F1809" s="591">
        <v>1800</v>
      </c>
      <c r="G1809" s="420">
        <f t="shared" ca="1" si="36"/>
        <v>-4.9083617263076085E-2</v>
      </c>
    </row>
    <row r="1810" spans="6:7" x14ac:dyDescent="0.2">
      <c r="F1810" s="591">
        <v>1801</v>
      </c>
      <c r="G1810" s="420">
        <f t="shared" ca="1" si="36"/>
        <v>-7.0705322663312496E-3</v>
      </c>
    </row>
    <row r="1811" spans="6:7" x14ac:dyDescent="0.2">
      <c r="F1811" s="591">
        <v>1802</v>
      </c>
      <c r="G1811" s="420">
        <f t="shared" ca="1" si="36"/>
        <v>-8.4967605146671857E-2</v>
      </c>
    </row>
    <row r="1812" spans="6:7" x14ac:dyDescent="0.2">
      <c r="F1812" s="591">
        <v>1803</v>
      </c>
      <c r="G1812" s="420">
        <f t="shared" ca="1" si="36"/>
        <v>3.379476074067609E-2</v>
      </c>
    </row>
    <row r="1813" spans="6:7" x14ac:dyDescent="0.2">
      <c r="F1813" s="591">
        <v>1804</v>
      </c>
      <c r="G1813" s="420">
        <f t="shared" ca="1" si="36"/>
        <v>-2.7055766832789069E-3</v>
      </c>
    </row>
    <row r="1814" spans="6:7" x14ac:dyDescent="0.2">
      <c r="F1814" s="591">
        <v>1805</v>
      </c>
      <c r="G1814" s="420">
        <f t="shared" ca="1" si="36"/>
        <v>8.1991495570036627E-2</v>
      </c>
    </row>
    <row r="1815" spans="6:7" x14ac:dyDescent="0.2">
      <c r="F1815" s="591">
        <v>1806</v>
      </c>
      <c r="G1815" s="420">
        <f t="shared" ca="1" si="36"/>
        <v>-3.9055822835655798E-2</v>
      </c>
    </row>
    <row r="1816" spans="6:7" x14ac:dyDescent="0.2">
      <c r="F1816" s="591">
        <v>1807</v>
      </c>
      <c r="G1816" s="420">
        <f t="shared" ca="1" si="36"/>
        <v>-9.3415275594542407E-2</v>
      </c>
    </row>
    <row r="1817" spans="6:7" x14ac:dyDescent="0.2">
      <c r="F1817" s="591">
        <v>1808</v>
      </c>
      <c r="G1817" s="420">
        <f t="shared" ca="1" si="36"/>
        <v>-4.9606348125069158E-2</v>
      </c>
    </row>
    <row r="1818" spans="6:7" x14ac:dyDescent="0.2">
      <c r="F1818" s="591">
        <v>1809</v>
      </c>
      <c r="G1818" s="420">
        <f t="shared" ca="1" si="36"/>
        <v>5.464806496592256E-2</v>
      </c>
    </row>
    <row r="1819" spans="6:7" x14ac:dyDescent="0.2">
      <c r="F1819" s="591">
        <v>1810</v>
      </c>
      <c r="G1819" s="420">
        <f t="shared" ca="1" si="36"/>
        <v>-1.6557100108448044E-2</v>
      </c>
    </row>
    <row r="1820" spans="6:7" x14ac:dyDescent="0.2">
      <c r="F1820" s="591">
        <v>1811</v>
      </c>
      <c r="G1820" s="420">
        <f t="shared" ca="1" si="36"/>
        <v>8.5100540535872168E-2</v>
      </c>
    </row>
    <row r="1821" spans="6:7" x14ac:dyDescent="0.2">
      <c r="F1821" s="591">
        <v>1812</v>
      </c>
      <c r="G1821" s="420">
        <f t="shared" ca="1" si="36"/>
        <v>-7.5459189602072888E-2</v>
      </c>
    </row>
    <row r="1822" spans="6:7" x14ac:dyDescent="0.2">
      <c r="F1822" s="591">
        <v>1813</v>
      </c>
      <c r="G1822" s="420">
        <f t="shared" ca="1" si="36"/>
        <v>-8.1815931545731364E-4</v>
      </c>
    </row>
    <row r="1823" spans="6:7" x14ac:dyDescent="0.2">
      <c r="F1823" s="591">
        <v>1814</v>
      </c>
      <c r="G1823" s="420">
        <f t="shared" ca="1" si="36"/>
        <v>-4.6031428173317471E-2</v>
      </c>
    </row>
    <row r="1824" spans="6:7" x14ac:dyDescent="0.2">
      <c r="F1824" s="591">
        <v>1815</v>
      </c>
      <c r="G1824" s="420">
        <f t="shared" ca="1" si="36"/>
        <v>2.6457559317770368E-2</v>
      </c>
    </row>
    <row r="1825" spans="6:7" x14ac:dyDescent="0.2">
      <c r="F1825" s="591">
        <v>1816</v>
      </c>
      <c r="G1825" s="420">
        <f t="shared" ca="1" si="36"/>
        <v>9.8077195032329867E-2</v>
      </c>
    </row>
    <row r="1826" spans="6:7" x14ac:dyDescent="0.2">
      <c r="F1826" s="591">
        <v>1817</v>
      </c>
      <c r="G1826" s="420">
        <f t="shared" ca="1" si="36"/>
        <v>-3.6771276498998251E-2</v>
      </c>
    </row>
    <row r="1827" spans="6:7" x14ac:dyDescent="0.2">
      <c r="F1827" s="591">
        <v>1818</v>
      </c>
      <c r="G1827" s="420">
        <f t="shared" ca="1" si="36"/>
        <v>6.1568538874607032E-2</v>
      </c>
    </row>
    <row r="1828" spans="6:7" x14ac:dyDescent="0.2">
      <c r="F1828" s="591">
        <v>1819</v>
      </c>
      <c r="G1828" s="420">
        <f t="shared" ca="1" si="36"/>
        <v>9.205987990092512E-3</v>
      </c>
    </row>
    <row r="1829" spans="6:7" x14ac:dyDescent="0.2">
      <c r="F1829" s="591">
        <v>1820</v>
      </c>
      <c r="G1829" s="420">
        <f t="shared" ca="1" si="36"/>
        <v>-4.9232806219447117E-2</v>
      </c>
    </row>
    <row r="1830" spans="6:7" x14ac:dyDescent="0.2">
      <c r="F1830" s="591">
        <v>1821</v>
      </c>
      <c r="G1830" s="420">
        <f t="shared" ca="1" si="36"/>
        <v>1.364885756726161E-2</v>
      </c>
    </row>
    <row r="1831" spans="6:7" x14ac:dyDescent="0.2">
      <c r="F1831" s="591">
        <v>1822</v>
      </c>
      <c r="G1831" s="420">
        <f t="shared" ca="1" si="36"/>
        <v>2.5893618896376154E-2</v>
      </c>
    </row>
    <row r="1832" spans="6:7" x14ac:dyDescent="0.2">
      <c r="F1832" s="591">
        <v>1823</v>
      </c>
      <c r="G1832" s="420">
        <f t="shared" ca="1" si="36"/>
        <v>-4.2611463944983718E-3</v>
      </c>
    </row>
    <row r="1833" spans="6:7" x14ac:dyDescent="0.2">
      <c r="F1833" s="591">
        <v>1824</v>
      </c>
      <c r="G1833" s="420">
        <f t="shared" ca="1" si="36"/>
        <v>4.9177967530383587E-2</v>
      </c>
    </row>
    <row r="1834" spans="6:7" x14ac:dyDescent="0.2">
      <c r="F1834" s="591">
        <v>1825</v>
      </c>
      <c r="G1834" s="420">
        <f t="shared" ca="1" si="36"/>
        <v>-0.10811798765896395</v>
      </c>
    </row>
    <row r="1835" spans="6:7" x14ac:dyDescent="0.2">
      <c r="F1835" s="591">
        <v>1826</v>
      </c>
      <c r="G1835" s="420">
        <f t="shared" ca="1" si="36"/>
        <v>4.4923330342409709E-2</v>
      </c>
    </row>
    <row r="1836" spans="6:7" x14ac:dyDescent="0.2">
      <c r="F1836" s="591">
        <v>1827</v>
      </c>
      <c r="G1836" s="420">
        <f t="shared" ca="1" si="36"/>
        <v>-5.7139560997555378E-2</v>
      </c>
    </row>
    <row r="1837" spans="6:7" x14ac:dyDescent="0.2">
      <c r="F1837" s="591">
        <v>1828</v>
      </c>
      <c r="G1837" s="420">
        <f t="shared" ca="1" si="36"/>
        <v>9.6853797350044974E-3</v>
      </c>
    </row>
    <row r="1838" spans="6:7" x14ac:dyDescent="0.2">
      <c r="F1838" s="591">
        <v>1829</v>
      </c>
      <c r="G1838" s="420">
        <f t="shared" ca="1" si="36"/>
        <v>-6.6356554375158361E-2</v>
      </c>
    </row>
    <row r="1839" spans="6:7" x14ac:dyDescent="0.2">
      <c r="F1839" s="591">
        <v>1830</v>
      </c>
      <c r="G1839" s="420">
        <f t="shared" ca="1" si="36"/>
        <v>4.3884835875950762E-3</v>
      </c>
    </row>
    <row r="1840" spans="6:7" x14ac:dyDescent="0.2">
      <c r="F1840" s="591">
        <v>1831</v>
      </c>
      <c r="G1840" s="420">
        <f t="shared" ca="1" si="36"/>
        <v>0.12870624135394651</v>
      </c>
    </row>
    <row r="1841" spans="6:7" x14ac:dyDescent="0.2">
      <c r="F1841" s="591">
        <v>1832</v>
      </c>
      <c r="G1841" s="420">
        <f t="shared" ca="1" si="36"/>
        <v>2.4122984818355883E-2</v>
      </c>
    </row>
    <row r="1842" spans="6:7" x14ac:dyDescent="0.2">
      <c r="F1842" s="591">
        <v>1833</v>
      </c>
      <c r="G1842" s="420">
        <f t="shared" ca="1" si="36"/>
        <v>-0.13022872113074438</v>
      </c>
    </row>
    <row r="1843" spans="6:7" x14ac:dyDescent="0.2">
      <c r="F1843" s="591">
        <v>1834</v>
      </c>
      <c r="G1843" s="420">
        <f t="shared" ca="1" si="36"/>
        <v>2.0511224537119611E-2</v>
      </c>
    </row>
    <row r="1844" spans="6:7" x14ac:dyDescent="0.2">
      <c r="F1844" s="591">
        <v>1835</v>
      </c>
      <c r="G1844" s="420">
        <f t="shared" ca="1" si="36"/>
        <v>-8.6247344267718559E-4</v>
      </c>
    </row>
    <row r="1845" spans="6:7" x14ac:dyDescent="0.2">
      <c r="F1845" s="591">
        <v>1836</v>
      </c>
      <c r="G1845" s="420">
        <f t="shared" ca="1" si="36"/>
        <v>-9.4145316843440401E-3</v>
      </c>
    </row>
    <row r="1846" spans="6:7" x14ac:dyDescent="0.2">
      <c r="F1846" s="591">
        <v>1837</v>
      </c>
      <c r="G1846" s="420">
        <f t="shared" ca="1" si="36"/>
        <v>6.4344666604316605E-2</v>
      </c>
    </row>
    <row r="1847" spans="6:7" x14ac:dyDescent="0.2">
      <c r="F1847" s="591">
        <v>1838</v>
      </c>
      <c r="G1847" s="420">
        <f t="shared" ca="1" si="36"/>
        <v>4.8958847305623179E-2</v>
      </c>
    </row>
    <row r="1848" spans="6:7" x14ac:dyDescent="0.2">
      <c r="F1848" s="591">
        <v>1839</v>
      </c>
      <c r="G1848" s="420">
        <f t="shared" ca="1" si="36"/>
        <v>-2.3097358151186336E-2</v>
      </c>
    </row>
    <row r="1849" spans="6:7" x14ac:dyDescent="0.2">
      <c r="F1849" s="591">
        <v>1840</v>
      </c>
      <c r="G1849" s="420">
        <f t="shared" ca="1" si="36"/>
        <v>0.11095683835637943</v>
      </c>
    </row>
    <row r="1850" spans="6:7" x14ac:dyDescent="0.2">
      <c r="F1850" s="591">
        <v>1841</v>
      </c>
      <c r="G1850" s="420">
        <f t="shared" ca="1" si="36"/>
        <v>1.6119549532707476E-2</v>
      </c>
    </row>
    <row r="1851" spans="6:7" x14ac:dyDescent="0.2">
      <c r="F1851" s="591">
        <v>1842</v>
      </c>
      <c r="G1851" s="420">
        <f t="shared" ca="1" si="36"/>
        <v>8.0026101188586204E-2</v>
      </c>
    </row>
    <row r="1852" spans="6:7" x14ac:dyDescent="0.2">
      <c r="F1852" s="591">
        <v>1843</v>
      </c>
      <c r="G1852" s="420">
        <f t="shared" ca="1" si="36"/>
        <v>2.8896572818024789E-2</v>
      </c>
    </row>
    <row r="1853" spans="6:7" x14ac:dyDescent="0.2">
      <c r="F1853" s="591">
        <v>1844</v>
      </c>
      <c r="G1853" s="420">
        <f t="shared" ca="1" si="36"/>
        <v>-0.12148415061141658</v>
      </c>
    </row>
    <row r="1854" spans="6:7" x14ac:dyDescent="0.2">
      <c r="F1854" s="591">
        <v>1845</v>
      </c>
      <c r="G1854" s="420">
        <f t="shared" ca="1" si="36"/>
        <v>2.0971193011375261E-3</v>
      </c>
    </row>
    <row r="1855" spans="6:7" x14ac:dyDescent="0.2">
      <c r="F1855" s="591">
        <v>1846</v>
      </c>
      <c r="G1855" s="420">
        <f t="shared" ca="1" si="36"/>
        <v>-2.7863755084193597E-2</v>
      </c>
    </row>
    <row r="1856" spans="6:7" x14ac:dyDescent="0.2">
      <c r="F1856" s="591">
        <v>1847</v>
      </c>
      <c r="G1856" s="420">
        <f t="shared" ca="1" si="36"/>
        <v>8.9994673508598903E-3</v>
      </c>
    </row>
    <row r="1857" spans="6:7" x14ac:dyDescent="0.2">
      <c r="F1857" s="591">
        <v>1848</v>
      </c>
      <c r="G1857" s="420">
        <f t="shared" ca="1" si="36"/>
        <v>3.1642918717729694E-2</v>
      </c>
    </row>
    <row r="1858" spans="6:7" x14ac:dyDescent="0.2">
      <c r="F1858" s="591">
        <v>1849</v>
      </c>
      <c r="G1858" s="420">
        <f t="shared" ca="1" si="36"/>
        <v>0.12148657384981297</v>
      </c>
    </row>
    <row r="1859" spans="6:7" x14ac:dyDescent="0.2">
      <c r="F1859" s="591">
        <v>1850</v>
      </c>
      <c r="G1859" s="420">
        <f t="shared" ca="1" si="36"/>
        <v>0.14537793902120852</v>
      </c>
    </row>
    <row r="1860" spans="6:7" x14ac:dyDescent="0.2">
      <c r="F1860" s="591">
        <v>1851</v>
      </c>
      <c r="G1860" s="420">
        <f t="shared" ca="1" si="36"/>
        <v>-0.11097362714589884</v>
      </c>
    </row>
    <row r="1861" spans="6:7" x14ac:dyDescent="0.2">
      <c r="F1861" s="591">
        <v>1852</v>
      </c>
      <c r="G1861" s="420">
        <f t="shared" ca="1" si="36"/>
        <v>3.8352046567920073E-2</v>
      </c>
    </row>
    <row r="1862" spans="6:7" x14ac:dyDescent="0.2">
      <c r="F1862" s="591">
        <v>1853</v>
      </c>
      <c r="G1862" s="420">
        <f t="shared" ca="1" si="36"/>
        <v>-1.0324621960396359E-2</v>
      </c>
    </row>
    <row r="1863" spans="6:7" x14ac:dyDescent="0.2">
      <c r="F1863" s="591">
        <v>1854</v>
      </c>
      <c r="G1863" s="420">
        <f t="shared" ca="1" si="36"/>
        <v>-8.8741195189431923E-2</v>
      </c>
    </row>
    <row r="1864" spans="6:7" x14ac:dyDescent="0.2">
      <c r="F1864" s="591">
        <v>1855</v>
      </c>
      <c r="G1864" s="420">
        <f t="shared" ca="1" si="36"/>
        <v>-0.17494615453503881</v>
      </c>
    </row>
    <row r="1865" spans="6:7" x14ac:dyDescent="0.2">
      <c r="F1865" s="591">
        <v>1856</v>
      </c>
      <c r="G1865" s="420">
        <f t="shared" ca="1" si="36"/>
        <v>-9.8003101095299014E-2</v>
      </c>
    </row>
    <row r="1866" spans="6:7" x14ac:dyDescent="0.2">
      <c r="F1866" s="591">
        <v>1857</v>
      </c>
      <c r="G1866" s="420">
        <f t="shared" ca="1" si="36"/>
        <v>-4.5363214196524324E-2</v>
      </c>
    </row>
    <row r="1867" spans="6:7" x14ac:dyDescent="0.2">
      <c r="F1867" s="591">
        <v>1858</v>
      </c>
      <c r="G1867" s="420">
        <f t="shared" ref="G1867:G1930" ca="1" si="37">_xlfn.NORM.INV(RAND(), $M$11,$M$12)</f>
        <v>1.5852966363791885E-2</v>
      </c>
    </row>
    <row r="1868" spans="6:7" x14ac:dyDescent="0.2">
      <c r="F1868" s="591">
        <v>1859</v>
      </c>
      <c r="G1868" s="420">
        <f t="shared" ca="1" si="37"/>
        <v>6.1528660493963522E-2</v>
      </c>
    </row>
    <row r="1869" spans="6:7" x14ac:dyDescent="0.2">
      <c r="F1869" s="591">
        <v>1860</v>
      </c>
      <c r="G1869" s="420">
        <f t="shared" ca="1" si="37"/>
        <v>1.352386338668635E-2</v>
      </c>
    </row>
    <row r="1870" spans="6:7" x14ac:dyDescent="0.2">
      <c r="F1870" s="591">
        <v>1861</v>
      </c>
      <c r="G1870" s="420">
        <f t="shared" ca="1" si="37"/>
        <v>-4.0407095150384917E-2</v>
      </c>
    </row>
    <row r="1871" spans="6:7" x14ac:dyDescent="0.2">
      <c r="F1871" s="591">
        <v>1862</v>
      </c>
      <c r="G1871" s="420">
        <f t="shared" ca="1" si="37"/>
        <v>-4.7109117676810246E-3</v>
      </c>
    </row>
    <row r="1872" spans="6:7" x14ac:dyDescent="0.2">
      <c r="F1872" s="591">
        <v>1863</v>
      </c>
      <c r="G1872" s="420">
        <f t="shared" ca="1" si="37"/>
        <v>1.550635269149591E-2</v>
      </c>
    </row>
    <row r="1873" spans="6:7" x14ac:dyDescent="0.2">
      <c r="F1873" s="591">
        <v>1864</v>
      </c>
      <c r="G1873" s="420">
        <f t="shared" ca="1" si="37"/>
        <v>2.8187648796834625E-2</v>
      </c>
    </row>
    <row r="1874" spans="6:7" x14ac:dyDescent="0.2">
      <c r="F1874" s="591">
        <v>1865</v>
      </c>
      <c r="G1874" s="420">
        <f t="shared" ca="1" si="37"/>
        <v>6.8814815487529796E-2</v>
      </c>
    </row>
    <row r="1875" spans="6:7" x14ac:dyDescent="0.2">
      <c r="F1875" s="591">
        <v>1866</v>
      </c>
      <c r="G1875" s="420">
        <f t="shared" ca="1" si="37"/>
        <v>-4.4465266119167415E-2</v>
      </c>
    </row>
    <row r="1876" spans="6:7" x14ac:dyDescent="0.2">
      <c r="F1876" s="591">
        <v>1867</v>
      </c>
      <c r="G1876" s="420">
        <f t="shared" ca="1" si="37"/>
        <v>0.11733119032818429</v>
      </c>
    </row>
    <row r="1877" spans="6:7" x14ac:dyDescent="0.2">
      <c r="F1877" s="591">
        <v>1868</v>
      </c>
      <c r="G1877" s="420">
        <f t="shared" ca="1" si="37"/>
        <v>-0.10275796545465164</v>
      </c>
    </row>
    <row r="1878" spans="6:7" x14ac:dyDescent="0.2">
      <c r="F1878" s="591">
        <v>1869</v>
      </c>
      <c r="G1878" s="420">
        <f t="shared" ca="1" si="37"/>
        <v>3.8786148432718784E-2</v>
      </c>
    </row>
    <row r="1879" spans="6:7" x14ac:dyDescent="0.2">
      <c r="F1879" s="591">
        <v>1870</v>
      </c>
      <c r="G1879" s="420">
        <f t="shared" ca="1" si="37"/>
        <v>-3.2303541878497155E-2</v>
      </c>
    </row>
    <row r="1880" spans="6:7" x14ac:dyDescent="0.2">
      <c r="F1880" s="591">
        <v>1871</v>
      </c>
      <c r="G1880" s="420">
        <f t="shared" ca="1" si="37"/>
        <v>-5.5067392395065251E-2</v>
      </c>
    </row>
    <row r="1881" spans="6:7" x14ac:dyDescent="0.2">
      <c r="F1881" s="591">
        <v>1872</v>
      </c>
      <c r="G1881" s="420">
        <f t="shared" ca="1" si="37"/>
        <v>4.5217861491024469E-2</v>
      </c>
    </row>
    <row r="1882" spans="6:7" x14ac:dyDescent="0.2">
      <c r="F1882" s="591">
        <v>1873</v>
      </c>
      <c r="G1882" s="420">
        <f t="shared" ca="1" si="37"/>
        <v>3.2219558800846163E-2</v>
      </c>
    </row>
    <row r="1883" spans="6:7" x14ac:dyDescent="0.2">
      <c r="F1883" s="591">
        <v>1874</v>
      </c>
      <c r="G1883" s="420">
        <f t="shared" ca="1" si="37"/>
        <v>-0.16784526448955989</v>
      </c>
    </row>
    <row r="1884" spans="6:7" x14ac:dyDescent="0.2">
      <c r="F1884" s="591">
        <v>1875</v>
      </c>
      <c r="G1884" s="420">
        <f t="shared" ca="1" si="37"/>
        <v>0.10973948793346276</v>
      </c>
    </row>
    <row r="1885" spans="6:7" x14ac:dyDescent="0.2">
      <c r="F1885" s="591">
        <v>1876</v>
      </c>
      <c r="G1885" s="420">
        <f t="shared" ca="1" si="37"/>
        <v>-4.7276546545964131E-3</v>
      </c>
    </row>
    <row r="1886" spans="6:7" x14ac:dyDescent="0.2">
      <c r="F1886" s="591">
        <v>1877</v>
      </c>
      <c r="G1886" s="420">
        <f t="shared" ca="1" si="37"/>
        <v>1.0577844573427277E-2</v>
      </c>
    </row>
    <row r="1887" spans="6:7" x14ac:dyDescent="0.2">
      <c r="F1887" s="591">
        <v>1878</v>
      </c>
      <c r="G1887" s="420">
        <f t="shared" ca="1" si="37"/>
        <v>-5.281731623902361E-2</v>
      </c>
    </row>
    <row r="1888" spans="6:7" x14ac:dyDescent="0.2">
      <c r="F1888" s="591">
        <v>1879</v>
      </c>
      <c r="G1888" s="420">
        <f t="shared" ca="1" si="37"/>
        <v>7.990074910072234E-2</v>
      </c>
    </row>
    <row r="1889" spans="6:7" x14ac:dyDescent="0.2">
      <c r="F1889" s="591">
        <v>1880</v>
      </c>
      <c r="G1889" s="420">
        <f t="shared" ca="1" si="37"/>
        <v>-1.1587656560576223E-3</v>
      </c>
    </row>
    <row r="1890" spans="6:7" x14ac:dyDescent="0.2">
      <c r="F1890" s="591">
        <v>1881</v>
      </c>
      <c r="G1890" s="420">
        <f t="shared" ca="1" si="37"/>
        <v>-3.4847165992212617E-2</v>
      </c>
    </row>
    <row r="1891" spans="6:7" x14ac:dyDescent="0.2">
      <c r="F1891" s="591">
        <v>1882</v>
      </c>
      <c r="G1891" s="420">
        <f t="shared" ca="1" si="37"/>
        <v>-0.11653757263612187</v>
      </c>
    </row>
    <row r="1892" spans="6:7" x14ac:dyDescent="0.2">
      <c r="F1892" s="591">
        <v>1883</v>
      </c>
      <c r="G1892" s="420">
        <f t="shared" ca="1" si="37"/>
        <v>-2.8752775214514362E-2</v>
      </c>
    </row>
    <row r="1893" spans="6:7" x14ac:dyDescent="0.2">
      <c r="F1893" s="591">
        <v>1884</v>
      </c>
      <c r="G1893" s="420">
        <f t="shared" ca="1" si="37"/>
        <v>6.0188795133441761E-2</v>
      </c>
    </row>
    <row r="1894" spans="6:7" x14ac:dyDescent="0.2">
      <c r="F1894" s="591">
        <v>1885</v>
      </c>
      <c r="G1894" s="420">
        <f t="shared" ca="1" si="37"/>
        <v>-6.8259992526014626E-2</v>
      </c>
    </row>
    <row r="1895" spans="6:7" x14ac:dyDescent="0.2">
      <c r="F1895" s="591">
        <v>1886</v>
      </c>
      <c r="G1895" s="420">
        <f t="shared" ca="1" si="37"/>
        <v>0.13750027321984604</v>
      </c>
    </row>
    <row r="1896" spans="6:7" x14ac:dyDescent="0.2">
      <c r="F1896" s="591">
        <v>1887</v>
      </c>
      <c r="G1896" s="420">
        <f t="shared" ca="1" si="37"/>
        <v>0.12196862394260796</v>
      </c>
    </row>
    <row r="1897" spans="6:7" x14ac:dyDescent="0.2">
      <c r="F1897" s="591">
        <v>1888</v>
      </c>
      <c r="G1897" s="420">
        <f t="shared" ca="1" si="37"/>
        <v>9.8426269731527308E-2</v>
      </c>
    </row>
    <row r="1898" spans="6:7" x14ac:dyDescent="0.2">
      <c r="F1898" s="591">
        <v>1889</v>
      </c>
      <c r="G1898" s="420">
        <f t="shared" ca="1" si="37"/>
        <v>-7.6544132511670721E-2</v>
      </c>
    </row>
    <row r="1899" spans="6:7" x14ac:dyDescent="0.2">
      <c r="F1899" s="591">
        <v>1890</v>
      </c>
      <c r="G1899" s="420">
        <f t="shared" ca="1" si="37"/>
        <v>-3.2799672533759816E-2</v>
      </c>
    </row>
    <row r="1900" spans="6:7" x14ac:dyDescent="0.2">
      <c r="F1900" s="591">
        <v>1891</v>
      </c>
      <c r="G1900" s="420">
        <f t="shared" ca="1" si="37"/>
        <v>-1.7436204486631739E-2</v>
      </c>
    </row>
    <row r="1901" spans="6:7" x14ac:dyDescent="0.2">
      <c r="F1901" s="591">
        <v>1892</v>
      </c>
      <c r="G1901" s="420">
        <f t="shared" ca="1" si="37"/>
        <v>6.1301205748404308E-2</v>
      </c>
    </row>
    <row r="1902" spans="6:7" x14ac:dyDescent="0.2">
      <c r="F1902" s="591">
        <v>1893</v>
      </c>
      <c r="G1902" s="420">
        <f t="shared" ca="1" si="37"/>
        <v>2.4179541101695998E-2</v>
      </c>
    </row>
    <row r="1903" spans="6:7" x14ac:dyDescent="0.2">
      <c r="F1903" s="591">
        <v>1894</v>
      </c>
      <c r="G1903" s="420">
        <f t="shared" ca="1" si="37"/>
        <v>7.5642176197535479E-2</v>
      </c>
    </row>
    <row r="1904" spans="6:7" x14ac:dyDescent="0.2">
      <c r="F1904" s="591">
        <v>1895</v>
      </c>
      <c r="G1904" s="420">
        <f t="shared" ca="1" si="37"/>
        <v>-6.299486112218361E-2</v>
      </c>
    </row>
    <row r="1905" spans="6:7" x14ac:dyDescent="0.2">
      <c r="F1905" s="591">
        <v>1896</v>
      </c>
      <c r="G1905" s="420">
        <f t="shared" ca="1" si="37"/>
        <v>9.1289824412567888E-3</v>
      </c>
    </row>
    <row r="1906" spans="6:7" x14ac:dyDescent="0.2">
      <c r="F1906" s="591">
        <v>1897</v>
      </c>
      <c r="G1906" s="420">
        <f t="shared" ca="1" si="37"/>
        <v>-2.7601308535153409E-2</v>
      </c>
    </row>
    <row r="1907" spans="6:7" x14ac:dyDescent="0.2">
      <c r="F1907" s="591">
        <v>1898</v>
      </c>
      <c r="G1907" s="420">
        <f t="shared" ca="1" si="37"/>
        <v>6.6915840057750142E-2</v>
      </c>
    </row>
    <row r="1908" spans="6:7" x14ac:dyDescent="0.2">
      <c r="F1908" s="591">
        <v>1899</v>
      </c>
      <c r="G1908" s="420">
        <f t="shared" ca="1" si="37"/>
        <v>7.4032814454278936E-3</v>
      </c>
    </row>
    <row r="1909" spans="6:7" x14ac:dyDescent="0.2">
      <c r="F1909" s="591">
        <v>1900</v>
      </c>
      <c r="G1909" s="420">
        <f t="shared" ca="1" si="37"/>
        <v>1.0113163274423336E-3</v>
      </c>
    </row>
    <row r="1910" spans="6:7" x14ac:dyDescent="0.2">
      <c r="F1910" s="591">
        <v>1901</v>
      </c>
      <c r="G1910" s="420">
        <f t="shared" ca="1" si="37"/>
        <v>5.1571522185672736E-2</v>
      </c>
    </row>
    <row r="1911" spans="6:7" x14ac:dyDescent="0.2">
      <c r="F1911" s="591">
        <v>1902</v>
      </c>
      <c r="G1911" s="420">
        <f t="shared" ca="1" si="37"/>
        <v>-7.9028689955601E-3</v>
      </c>
    </row>
    <row r="1912" spans="6:7" x14ac:dyDescent="0.2">
      <c r="F1912" s="591">
        <v>1903</v>
      </c>
      <c r="G1912" s="420">
        <f t="shared" ca="1" si="37"/>
        <v>-3.622610033626078E-2</v>
      </c>
    </row>
    <row r="1913" spans="6:7" x14ac:dyDescent="0.2">
      <c r="F1913" s="591">
        <v>1904</v>
      </c>
      <c r="G1913" s="420">
        <f t="shared" ca="1" si="37"/>
        <v>-5.2690549273075607E-2</v>
      </c>
    </row>
    <row r="1914" spans="6:7" x14ac:dyDescent="0.2">
      <c r="F1914" s="591">
        <v>1905</v>
      </c>
      <c r="G1914" s="420">
        <f t="shared" ca="1" si="37"/>
        <v>2.2379933521215402E-2</v>
      </c>
    </row>
    <row r="1915" spans="6:7" x14ac:dyDescent="0.2">
      <c r="F1915" s="591">
        <v>1906</v>
      </c>
      <c r="G1915" s="420">
        <f t="shared" ca="1" si="37"/>
        <v>-9.8284885978241601E-2</v>
      </c>
    </row>
    <row r="1916" spans="6:7" x14ac:dyDescent="0.2">
      <c r="F1916" s="591">
        <v>1907</v>
      </c>
      <c r="G1916" s="420">
        <f t="shared" ca="1" si="37"/>
        <v>-1.3816583858560504E-2</v>
      </c>
    </row>
    <row r="1917" spans="6:7" x14ac:dyDescent="0.2">
      <c r="F1917" s="591">
        <v>1908</v>
      </c>
      <c r="G1917" s="420">
        <f t="shared" ca="1" si="37"/>
        <v>3.8665758452504737E-2</v>
      </c>
    </row>
    <row r="1918" spans="6:7" x14ac:dyDescent="0.2">
      <c r="F1918" s="591">
        <v>1909</v>
      </c>
      <c r="G1918" s="420">
        <f t="shared" ca="1" si="37"/>
        <v>-3.355592978643436E-2</v>
      </c>
    </row>
    <row r="1919" spans="6:7" x14ac:dyDescent="0.2">
      <c r="F1919" s="591">
        <v>1910</v>
      </c>
      <c r="G1919" s="420">
        <f t="shared" ca="1" si="37"/>
        <v>6.9001275492531933E-2</v>
      </c>
    </row>
    <row r="1920" spans="6:7" x14ac:dyDescent="0.2">
      <c r="F1920" s="591">
        <v>1911</v>
      </c>
      <c r="G1920" s="420">
        <f t="shared" ca="1" si="37"/>
        <v>5.063533166777337E-2</v>
      </c>
    </row>
    <row r="1921" spans="6:7" x14ac:dyDescent="0.2">
      <c r="F1921" s="591">
        <v>1912</v>
      </c>
      <c r="G1921" s="420">
        <f t="shared" ca="1" si="37"/>
        <v>2.2868452478111961E-2</v>
      </c>
    </row>
    <row r="1922" spans="6:7" x14ac:dyDescent="0.2">
      <c r="F1922" s="591">
        <v>1913</v>
      </c>
      <c r="G1922" s="420">
        <f t="shared" ca="1" si="37"/>
        <v>-2.2899840054704888E-2</v>
      </c>
    </row>
    <row r="1923" spans="6:7" x14ac:dyDescent="0.2">
      <c r="F1923" s="591">
        <v>1914</v>
      </c>
      <c r="G1923" s="420">
        <f t="shared" ca="1" si="37"/>
        <v>5.4315123559947262E-2</v>
      </c>
    </row>
    <row r="1924" spans="6:7" x14ac:dyDescent="0.2">
      <c r="F1924" s="591">
        <v>1915</v>
      </c>
      <c r="G1924" s="420">
        <f t="shared" ca="1" si="37"/>
        <v>-7.674243862219933E-2</v>
      </c>
    </row>
    <row r="1925" spans="6:7" x14ac:dyDescent="0.2">
      <c r="F1925" s="591">
        <v>1916</v>
      </c>
      <c r="G1925" s="420">
        <f t="shared" ca="1" si="37"/>
        <v>5.2282890358890985E-2</v>
      </c>
    </row>
    <row r="1926" spans="6:7" x14ac:dyDescent="0.2">
      <c r="F1926" s="591">
        <v>1917</v>
      </c>
      <c r="G1926" s="420">
        <f t="shared" ca="1" si="37"/>
        <v>5.5872682156334313E-2</v>
      </c>
    </row>
    <row r="1927" spans="6:7" x14ac:dyDescent="0.2">
      <c r="F1927" s="591">
        <v>1918</v>
      </c>
      <c r="G1927" s="420">
        <f t="shared" ca="1" si="37"/>
        <v>1.909083529091438E-3</v>
      </c>
    </row>
    <row r="1928" spans="6:7" x14ac:dyDescent="0.2">
      <c r="F1928" s="591">
        <v>1919</v>
      </c>
      <c r="G1928" s="420">
        <f t="shared" ca="1" si="37"/>
        <v>0.1260116617521447</v>
      </c>
    </row>
    <row r="1929" spans="6:7" x14ac:dyDescent="0.2">
      <c r="F1929" s="591">
        <v>1920</v>
      </c>
      <c r="G1929" s="420">
        <f t="shared" ca="1" si="37"/>
        <v>2.755249061007805E-2</v>
      </c>
    </row>
    <row r="1930" spans="6:7" x14ac:dyDescent="0.2">
      <c r="F1930" s="591">
        <v>1921</v>
      </c>
      <c r="G1930" s="420">
        <f t="shared" ca="1" si="37"/>
        <v>2.2491782919934492E-2</v>
      </c>
    </row>
    <row r="1931" spans="6:7" x14ac:dyDescent="0.2">
      <c r="F1931" s="591">
        <v>1922</v>
      </c>
      <c r="G1931" s="420">
        <f t="shared" ref="G1931:G1994" ca="1" si="38">_xlfn.NORM.INV(RAND(), $M$11,$M$12)</f>
        <v>-5.7986693930194996E-2</v>
      </c>
    </row>
    <row r="1932" spans="6:7" x14ac:dyDescent="0.2">
      <c r="F1932" s="591">
        <v>1923</v>
      </c>
      <c r="G1932" s="420">
        <f t="shared" ca="1" si="38"/>
        <v>-6.2406493458192533E-2</v>
      </c>
    </row>
    <row r="1933" spans="6:7" x14ac:dyDescent="0.2">
      <c r="F1933" s="591">
        <v>1924</v>
      </c>
      <c r="G1933" s="420">
        <f t="shared" ca="1" si="38"/>
        <v>-7.3236744539236009E-2</v>
      </c>
    </row>
    <row r="1934" spans="6:7" x14ac:dyDescent="0.2">
      <c r="F1934" s="591">
        <v>1925</v>
      </c>
      <c r="G1934" s="420">
        <f t="shared" ca="1" si="38"/>
        <v>-3.7485299740474584E-2</v>
      </c>
    </row>
    <row r="1935" spans="6:7" x14ac:dyDescent="0.2">
      <c r="F1935" s="591">
        <v>1926</v>
      </c>
      <c r="G1935" s="420">
        <f t="shared" ca="1" si="38"/>
        <v>-0.14777350443579343</v>
      </c>
    </row>
    <row r="1936" spans="6:7" x14ac:dyDescent="0.2">
      <c r="F1936" s="591">
        <v>1927</v>
      </c>
      <c r="G1936" s="420">
        <f t="shared" ca="1" si="38"/>
        <v>-5.2839724581596206E-2</v>
      </c>
    </row>
    <row r="1937" spans="6:7" x14ac:dyDescent="0.2">
      <c r="F1937" s="591">
        <v>1928</v>
      </c>
      <c r="G1937" s="420">
        <f t="shared" ca="1" si="38"/>
        <v>0.22645465028703299</v>
      </c>
    </row>
    <row r="1938" spans="6:7" x14ac:dyDescent="0.2">
      <c r="F1938" s="591">
        <v>1929</v>
      </c>
      <c r="G1938" s="420">
        <f t="shared" ca="1" si="38"/>
        <v>3.9578036425749162E-3</v>
      </c>
    </row>
    <row r="1939" spans="6:7" x14ac:dyDescent="0.2">
      <c r="F1939" s="591">
        <v>1930</v>
      </c>
      <c r="G1939" s="420">
        <f t="shared" ca="1" si="38"/>
        <v>0.12193636486977612</v>
      </c>
    </row>
    <row r="1940" spans="6:7" x14ac:dyDescent="0.2">
      <c r="F1940" s="591">
        <v>1931</v>
      </c>
      <c r="G1940" s="420">
        <f t="shared" ca="1" si="38"/>
        <v>5.0672336430063164E-2</v>
      </c>
    </row>
    <row r="1941" spans="6:7" x14ac:dyDescent="0.2">
      <c r="F1941" s="591">
        <v>1932</v>
      </c>
      <c r="G1941" s="420">
        <f t="shared" ca="1" si="38"/>
        <v>-3.554516793501579E-2</v>
      </c>
    </row>
    <row r="1942" spans="6:7" x14ac:dyDescent="0.2">
      <c r="F1942" s="591">
        <v>1933</v>
      </c>
      <c r="G1942" s="420">
        <f t="shared" ca="1" si="38"/>
        <v>-8.7273069199276521E-3</v>
      </c>
    </row>
    <row r="1943" spans="6:7" x14ac:dyDescent="0.2">
      <c r="F1943" s="591">
        <v>1934</v>
      </c>
      <c r="G1943" s="420">
        <f t="shared" ca="1" si="38"/>
        <v>-8.6033332718332661E-2</v>
      </c>
    </row>
    <row r="1944" spans="6:7" x14ac:dyDescent="0.2">
      <c r="F1944" s="591">
        <v>1935</v>
      </c>
      <c r="G1944" s="420">
        <f t="shared" ca="1" si="38"/>
        <v>5.4714860006305766E-2</v>
      </c>
    </row>
    <row r="1945" spans="6:7" x14ac:dyDescent="0.2">
      <c r="F1945" s="591">
        <v>1936</v>
      </c>
      <c r="G1945" s="420">
        <f t="shared" ca="1" si="38"/>
        <v>4.9320808917003398E-2</v>
      </c>
    </row>
    <row r="1946" spans="6:7" x14ac:dyDescent="0.2">
      <c r="F1946" s="591">
        <v>1937</v>
      </c>
      <c r="G1946" s="420">
        <f t="shared" ca="1" si="38"/>
        <v>-1.3553800824639115E-2</v>
      </c>
    </row>
    <row r="1947" spans="6:7" x14ac:dyDescent="0.2">
      <c r="F1947" s="591">
        <v>1938</v>
      </c>
      <c r="G1947" s="420">
        <f t="shared" ca="1" si="38"/>
        <v>-0.19349108033857704</v>
      </c>
    </row>
    <row r="1948" spans="6:7" x14ac:dyDescent="0.2">
      <c r="F1948" s="591">
        <v>1939</v>
      </c>
      <c r="G1948" s="420">
        <f t="shared" ca="1" si="38"/>
        <v>5.8361738113589107E-2</v>
      </c>
    </row>
    <row r="1949" spans="6:7" x14ac:dyDescent="0.2">
      <c r="F1949" s="591">
        <v>1940</v>
      </c>
      <c r="G1949" s="420">
        <f t="shared" ca="1" si="38"/>
        <v>8.0566767893575322E-2</v>
      </c>
    </row>
    <row r="1950" spans="6:7" x14ac:dyDescent="0.2">
      <c r="F1950" s="591">
        <v>1941</v>
      </c>
      <c r="G1950" s="420">
        <f t="shared" ca="1" si="38"/>
        <v>4.7214172592267289E-2</v>
      </c>
    </row>
    <row r="1951" spans="6:7" x14ac:dyDescent="0.2">
      <c r="F1951" s="591">
        <v>1942</v>
      </c>
      <c r="G1951" s="420">
        <f t="shared" ca="1" si="38"/>
        <v>-4.9472789337130327E-2</v>
      </c>
    </row>
    <row r="1952" spans="6:7" x14ac:dyDescent="0.2">
      <c r="F1952" s="591">
        <v>1943</v>
      </c>
      <c r="G1952" s="420">
        <f t="shared" ca="1" si="38"/>
        <v>7.8267515076333782E-2</v>
      </c>
    </row>
    <row r="1953" spans="6:7" x14ac:dyDescent="0.2">
      <c r="F1953" s="591">
        <v>1944</v>
      </c>
      <c r="G1953" s="420">
        <f t="shared" ca="1" si="38"/>
        <v>0.11997672821979563</v>
      </c>
    </row>
    <row r="1954" spans="6:7" x14ac:dyDescent="0.2">
      <c r="F1954" s="591">
        <v>1945</v>
      </c>
      <c r="G1954" s="420">
        <f t="shared" ca="1" si="38"/>
        <v>3.8558880020262282E-2</v>
      </c>
    </row>
    <row r="1955" spans="6:7" x14ac:dyDescent="0.2">
      <c r="F1955" s="591">
        <v>1946</v>
      </c>
      <c r="G1955" s="420">
        <f t="shared" ca="1" si="38"/>
        <v>-4.3330530015964569E-2</v>
      </c>
    </row>
    <row r="1956" spans="6:7" x14ac:dyDescent="0.2">
      <c r="F1956" s="591">
        <v>1947</v>
      </c>
      <c r="G1956" s="420">
        <f t="shared" ca="1" si="38"/>
        <v>-3.8249810889963404E-2</v>
      </c>
    </row>
    <row r="1957" spans="6:7" x14ac:dyDescent="0.2">
      <c r="F1957" s="591">
        <v>1948</v>
      </c>
      <c r="G1957" s="420">
        <f t="shared" ca="1" si="38"/>
        <v>-5.0027469577108158E-3</v>
      </c>
    </row>
    <row r="1958" spans="6:7" x14ac:dyDescent="0.2">
      <c r="F1958" s="591">
        <v>1949</v>
      </c>
      <c r="G1958" s="420">
        <f t="shared" ca="1" si="38"/>
        <v>-2.6262635698683309E-2</v>
      </c>
    </row>
    <row r="1959" spans="6:7" x14ac:dyDescent="0.2">
      <c r="F1959" s="591">
        <v>1950</v>
      </c>
      <c r="G1959" s="420">
        <f t="shared" ca="1" si="38"/>
        <v>-0.14578409966112948</v>
      </c>
    </row>
    <row r="1960" spans="6:7" x14ac:dyDescent="0.2">
      <c r="F1960" s="591">
        <v>1951</v>
      </c>
      <c r="G1960" s="420">
        <f t="shared" ca="1" si="38"/>
        <v>3.9381992258498102E-2</v>
      </c>
    </row>
    <row r="1961" spans="6:7" x14ac:dyDescent="0.2">
      <c r="F1961" s="591">
        <v>1952</v>
      </c>
      <c r="G1961" s="420">
        <f t="shared" ca="1" si="38"/>
        <v>-4.2624911347239655E-2</v>
      </c>
    </row>
    <row r="1962" spans="6:7" x14ac:dyDescent="0.2">
      <c r="F1962" s="591">
        <v>1953</v>
      </c>
      <c r="G1962" s="420">
        <f t="shared" ca="1" si="38"/>
        <v>4.177159745756423E-2</v>
      </c>
    </row>
    <row r="1963" spans="6:7" x14ac:dyDescent="0.2">
      <c r="F1963" s="591">
        <v>1954</v>
      </c>
      <c r="G1963" s="420">
        <f t="shared" ca="1" si="38"/>
        <v>-0.10326880339494195</v>
      </c>
    </row>
    <row r="1964" spans="6:7" x14ac:dyDescent="0.2">
      <c r="F1964" s="591">
        <v>1955</v>
      </c>
      <c r="G1964" s="420">
        <f t="shared" ca="1" si="38"/>
        <v>6.4555586857606255E-3</v>
      </c>
    </row>
    <row r="1965" spans="6:7" x14ac:dyDescent="0.2">
      <c r="F1965" s="591">
        <v>1956</v>
      </c>
      <c r="G1965" s="420">
        <f t="shared" ca="1" si="38"/>
        <v>6.0076216295779417E-2</v>
      </c>
    </row>
    <row r="1966" spans="6:7" x14ac:dyDescent="0.2">
      <c r="F1966" s="591">
        <v>1957</v>
      </c>
      <c r="G1966" s="420">
        <f t="shared" ca="1" si="38"/>
        <v>6.1741855540806981E-2</v>
      </c>
    </row>
    <row r="1967" spans="6:7" x14ac:dyDescent="0.2">
      <c r="F1967" s="591">
        <v>1958</v>
      </c>
      <c r="G1967" s="420">
        <f t="shared" ca="1" si="38"/>
        <v>7.7601002314456866E-2</v>
      </c>
    </row>
    <row r="1968" spans="6:7" x14ac:dyDescent="0.2">
      <c r="F1968" s="591">
        <v>1959</v>
      </c>
      <c r="G1968" s="420">
        <f t="shared" ca="1" si="38"/>
        <v>4.4704169627229852E-3</v>
      </c>
    </row>
    <row r="1969" spans="6:7" x14ac:dyDescent="0.2">
      <c r="F1969" s="591">
        <v>1960</v>
      </c>
      <c r="G1969" s="420">
        <f t="shared" ca="1" si="38"/>
        <v>0.10831721531005364</v>
      </c>
    </row>
    <row r="1970" spans="6:7" x14ac:dyDescent="0.2">
      <c r="F1970" s="591">
        <v>1961</v>
      </c>
      <c r="G1970" s="420">
        <f t="shared" ca="1" si="38"/>
        <v>-0.17459655494329585</v>
      </c>
    </row>
    <row r="1971" spans="6:7" x14ac:dyDescent="0.2">
      <c r="F1971" s="591">
        <v>1962</v>
      </c>
      <c r="G1971" s="420">
        <f t="shared" ca="1" si="38"/>
        <v>1.582178730315555E-2</v>
      </c>
    </row>
    <row r="1972" spans="6:7" x14ac:dyDescent="0.2">
      <c r="F1972" s="591">
        <v>1963</v>
      </c>
      <c r="G1972" s="420">
        <f t="shared" ca="1" si="38"/>
        <v>-3.7337297657241558E-2</v>
      </c>
    </row>
    <row r="1973" spans="6:7" x14ac:dyDescent="0.2">
      <c r="F1973" s="591">
        <v>1964</v>
      </c>
      <c r="G1973" s="420">
        <f t="shared" ca="1" si="38"/>
        <v>1.141721900462E-2</v>
      </c>
    </row>
    <row r="1974" spans="6:7" x14ac:dyDescent="0.2">
      <c r="F1974" s="591">
        <v>1965</v>
      </c>
      <c r="G1974" s="420">
        <f t="shared" ca="1" si="38"/>
        <v>0.13056455169551623</v>
      </c>
    </row>
    <row r="1975" spans="6:7" x14ac:dyDescent="0.2">
      <c r="F1975" s="591">
        <v>1966</v>
      </c>
      <c r="G1975" s="420">
        <f t="shared" ca="1" si="38"/>
        <v>-1.4659443554934599E-2</v>
      </c>
    </row>
    <row r="1976" spans="6:7" x14ac:dyDescent="0.2">
      <c r="F1976" s="591">
        <v>1967</v>
      </c>
      <c r="G1976" s="420">
        <f t="shared" ca="1" si="38"/>
        <v>-1.5716514764283141E-2</v>
      </c>
    </row>
    <row r="1977" spans="6:7" x14ac:dyDescent="0.2">
      <c r="F1977" s="591">
        <v>1968</v>
      </c>
      <c r="G1977" s="420">
        <f t="shared" ca="1" si="38"/>
        <v>-6.1933616808761721E-2</v>
      </c>
    </row>
    <row r="1978" spans="6:7" x14ac:dyDescent="0.2">
      <c r="F1978" s="591">
        <v>1969</v>
      </c>
      <c r="G1978" s="420">
        <f t="shared" ca="1" si="38"/>
        <v>0.11933519036818824</v>
      </c>
    </row>
    <row r="1979" spans="6:7" x14ac:dyDescent="0.2">
      <c r="F1979" s="591">
        <v>1970</v>
      </c>
      <c r="G1979" s="420">
        <f t="shared" ca="1" si="38"/>
        <v>-3.7689181084353374E-2</v>
      </c>
    </row>
    <row r="1980" spans="6:7" x14ac:dyDescent="0.2">
      <c r="F1980" s="591">
        <v>1971</v>
      </c>
      <c r="G1980" s="420">
        <f t="shared" ca="1" si="38"/>
        <v>3.8273555711209476E-3</v>
      </c>
    </row>
    <row r="1981" spans="6:7" x14ac:dyDescent="0.2">
      <c r="F1981" s="591">
        <v>1972</v>
      </c>
      <c r="G1981" s="420">
        <f t="shared" ca="1" si="38"/>
        <v>-2.5666663186175224E-2</v>
      </c>
    </row>
    <row r="1982" spans="6:7" x14ac:dyDescent="0.2">
      <c r="F1982" s="591">
        <v>1973</v>
      </c>
      <c r="G1982" s="420">
        <f t="shared" ca="1" si="38"/>
        <v>2.9522844274552578E-2</v>
      </c>
    </row>
    <row r="1983" spans="6:7" x14ac:dyDescent="0.2">
      <c r="F1983" s="591">
        <v>1974</v>
      </c>
      <c r="G1983" s="420">
        <f t="shared" ca="1" si="38"/>
        <v>-4.9262528652018786E-2</v>
      </c>
    </row>
    <row r="1984" spans="6:7" x14ac:dyDescent="0.2">
      <c r="F1984" s="591">
        <v>1975</v>
      </c>
      <c r="G1984" s="420">
        <f t="shared" ca="1" si="38"/>
        <v>-1.6007865180623356E-2</v>
      </c>
    </row>
    <row r="1985" spans="6:7" x14ac:dyDescent="0.2">
      <c r="F1985" s="591">
        <v>1976</v>
      </c>
      <c r="G1985" s="420">
        <f t="shared" ca="1" si="38"/>
        <v>6.0883069848073817E-2</v>
      </c>
    </row>
    <row r="1986" spans="6:7" x14ac:dyDescent="0.2">
      <c r="F1986" s="591">
        <v>1977</v>
      </c>
      <c r="G1986" s="420">
        <f t="shared" ca="1" si="38"/>
        <v>-8.1943852246600335E-2</v>
      </c>
    </row>
    <row r="1987" spans="6:7" x14ac:dyDescent="0.2">
      <c r="F1987" s="591">
        <v>1978</v>
      </c>
      <c r="G1987" s="420">
        <f t="shared" ca="1" si="38"/>
        <v>-4.1939046441138612E-3</v>
      </c>
    </row>
    <row r="1988" spans="6:7" x14ac:dyDescent="0.2">
      <c r="F1988" s="591">
        <v>1979</v>
      </c>
      <c r="G1988" s="420">
        <f t="shared" ca="1" si="38"/>
        <v>-3.3251410198113243E-2</v>
      </c>
    </row>
    <row r="1989" spans="6:7" x14ac:dyDescent="0.2">
      <c r="F1989" s="591">
        <v>1980</v>
      </c>
      <c r="G1989" s="420">
        <f t="shared" ca="1" si="38"/>
        <v>-6.7448319331295428E-2</v>
      </c>
    </row>
    <row r="1990" spans="6:7" x14ac:dyDescent="0.2">
      <c r="F1990" s="591">
        <v>1981</v>
      </c>
      <c r="G1990" s="420">
        <f t="shared" ca="1" si="38"/>
        <v>0.16967495171551955</v>
      </c>
    </row>
    <row r="1991" spans="6:7" x14ac:dyDescent="0.2">
      <c r="F1991" s="591">
        <v>1982</v>
      </c>
      <c r="G1991" s="420">
        <f t="shared" ca="1" si="38"/>
        <v>-2.2924712367444543E-2</v>
      </c>
    </row>
    <row r="1992" spans="6:7" x14ac:dyDescent="0.2">
      <c r="F1992" s="591">
        <v>1983</v>
      </c>
      <c r="G1992" s="420">
        <f t="shared" ca="1" si="38"/>
        <v>9.5863332761808084E-2</v>
      </c>
    </row>
    <row r="1993" spans="6:7" x14ac:dyDescent="0.2">
      <c r="F1993" s="591">
        <v>1984</v>
      </c>
      <c r="G1993" s="420">
        <f t="shared" ca="1" si="38"/>
        <v>2.6599828433412947E-2</v>
      </c>
    </row>
    <row r="1994" spans="6:7" x14ac:dyDescent="0.2">
      <c r="F1994" s="591">
        <v>1985</v>
      </c>
      <c r="G1994" s="420">
        <f t="shared" ca="1" si="38"/>
        <v>-0.13374462246412464</v>
      </c>
    </row>
    <row r="1995" spans="6:7" x14ac:dyDescent="0.2">
      <c r="F1995" s="591">
        <v>1986</v>
      </c>
      <c r="G1995" s="420">
        <f t="shared" ref="G1995:G2058" ca="1" si="39">_xlfn.NORM.INV(RAND(), $M$11,$M$12)</f>
        <v>0.10387855669042846</v>
      </c>
    </row>
    <row r="1996" spans="6:7" x14ac:dyDescent="0.2">
      <c r="F1996" s="591">
        <v>1987</v>
      </c>
      <c r="G1996" s="420">
        <f t="shared" ca="1" si="39"/>
        <v>-7.183347225340618E-2</v>
      </c>
    </row>
    <row r="1997" spans="6:7" x14ac:dyDescent="0.2">
      <c r="F1997" s="591">
        <v>1988</v>
      </c>
      <c r="G1997" s="420">
        <f t="shared" ca="1" si="39"/>
        <v>5.0953097643983121E-3</v>
      </c>
    </row>
    <row r="1998" spans="6:7" x14ac:dyDescent="0.2">
      <c r="F1998" s="591">
        <v>1989</v>
      </c>
      <c r="G1998" s="420">
        <f t="shared" ca="1" si="39"/>
        <v>4.6059354501284339E-3</v>
      </c>
    </row>
    <row r="1999" spans="6:7" x14ac:dyDescent="0.2">
      <c r="F1999" s="591">
        <v>1990</v>
      </c>
      <c r="G1999" s="420">
        <f t="shared" ca="1" si="39"/>
        <v>-1.5835161194216792E-2</v>
      </c>
    </row>
    <row r="2000" spans="6:7" x14ac:dyDescent="0.2">
      <c r="F2000" s="591">
        <v>1991</v>
      </c>
      <c r="G2000" s="420">
        <f t="shared" ca="1" si="39"/>
        <v>-7.1677005491510543E-2</v>
      </c>
    </row>
    <row r="2001" spans="6:7" x14ac:dyDescent="0.2">
      <c r="F2001" s="591">
        <v>1992</v>
      </c>
      <c r="G2001" s="420">
        <f t="shared" ca="1" si="39"/>
        <v>4.1790351139132714E-3</v>
      </c>
    </row>
    <row r="2002" spans="6:7" x14ac:dyDescent="0.2">
      <c r="F2002" s="591">
        <v>1993</v>
      </c>
      <c r="G2002" s="420">
        <f t="shared" ca="1" si="39"/>
        <v>1.7685673517815196E-2</v>
      </c>
    </row>
    <row r="2003" spans="6:7" x14ac:dyDescent="0.2">
      <c r="F2003" s="591">
        <v>1994</v>
      </c>
      <c r="G2003" s="420">
        <f t="shared" ca="1" si="39"/>
        <v>0.10196398018386151</v>
      </c>
    </row>
    <row r="2004" spans="6:7" x14ac:dyDescent="0.2">
      <c r="F2004" s="591">
        <v>1995</v>
      </c>
      <c r="G2004" s="420">
        <f t="shared" ca="1" si="39"/>
        <v>-2.1113545710126361E-2</v>
      </c>
    </row>
    <row r="2005" spans="6:7" x14ac:dyDescent="0.2">
      <c r="F2005" s="591">
        <v>1996</v>
      </c>
      <c r="G2005" s="420">
        <f t="shared" ca="1" si="39"/>
        <v>0.14802152264615229</v>
      </c>
    </row>
    <row r="2006" spans="6:7" x14ac:dyDescent="0.2">
      <c r="F2006" s="591">
        <v>1997</v>
      </c>
      <c r="G2006" s="420">
        <f t="shared" ca="1" si="39"/>
        <v>-7.5531975785463806E-2</v>
      </c>
    </row>
    <row r="2007" spans="6:7" x14ac:dyDescent="0.2">
      <c r="F2007" s="591">
        <v>1998</v>
      </c>
      <c r="G2007" s="420">
        <f t="shared" ca="1" si="39"/>
        <v>-7.9538199931370582E-2</v>
      </c>
    </row>
    <row r="2008" spans="6:7" x14ac:dyDescent="0.2">
      <c r="F2008" s="591">
        <v>1999</v>
      </c>
      <c r="G2008" s="420">
        <f t="shared" ca="1" si="39"/>
        <v>0.13182658972332345</v>
      </c>
    </row>
    <row r="2009" spans="6:7" x14ac:dyDescent="0.2">
      <c r="F2009" s="591">
        <v>2000</v>
      </c>
      <c r="G2009" s="420">
        <f t="shared" ca="1" si="39"/>
        <v>-2.2147535353171762E-2</v>
      </c>
    </row>
    <row r="2010" spans="6:7" x14ac:dyDescent="0.2">
      <c r="F2010" s="591">
        <v>2001</v>
      </c>
      <c r="G2010" s="420">
        <f t="shared" ca="1" si="39"/>
        <v>-1.5689981708806568E-2</v>
      </c>
    </row>
    <row r="2011" spans="6:7" x14ac:dyDescent="0.2">
      <c r="F2011" s="591">
        <v>2002</v>
      </c>
      <c r="G2011" s="420">
        <f t="shared" ca="1" si="39"/>
        <v>4.2276144308785776E-2</v>
      </c>
    </row>
    <row r="2012" spans="6:7" x14ac:dyDescent="0.2">
      <c r="F2012" s="591">
        <v>2003</v>
      </c>
      <c r="G2012" s="420">
        <f t="shared" ca="1" si="39"/>
        <v>-2.3274544270457855E-2</v>
      </c>
    </row>
    <row r="2013" spans="6:7" x14ac:dyDescent="0.2">
      <c r="F2013" s="591">
        <v>2004</v>
      </c>
      <c r="G2013" s="420">
        <f t="shared" ca="1" si="39"/>
        <v>-3.385540839599939E-2</v>
      </c>
    </row>
    <row r="2014" spans="6:7" x14ac:dyDescent="0.2">
      <c r="F2014" s="591">
        <v>2005</v>
      </c>
      <c r="G2014" s="420">
        <f t="shared" ca="1" si="39"/>
        <v>7.6261614575644579E-2</v>
      </c>
    </row>
    <row r="2015" spans="6:7" x14ac:dyDescent="0.2">
      <c r="F2015" s="591">
        <v>2006</v>
      </c>
      <c r="G2015" s="420">
        <f t="shared" ca="1" si="39"/>
        <v>6.8229467594662654E-2</v>
      </c>
    </row>
    <row r="2016" spans="6:7" x14ac:dyDescent="0.2">
      <c r="F2016" s="591">
        <v>2007</v>
      </c>
      <c r="G2016" s="420">
        <f t="shared" ca="1" si="39"/>
        <v>7.0325675999684784E-2</v>
      </c>
    </row>
    <row r="2017" spans="6:7" x14ac:dyDescent="0.2">
      <c r="F2017" s="591">
        <v>2008</v>
      </c>
      <c r="G2017" s="420">
        <f t="shared" ca="1" si="39"/>
        <v>2.2513301166439903E-2</v>
      </c>
    </row>
    <row r="2018" spans="6:7" x14ac:dyDescent="0.2">
      <c r="F2018" s="591">
        <v>2009</v>
      </c>
      <c r="G2018" s="420">
        <f t="shared" ca="1" si="39"/>
        <v>-4.6613877772923758E-3</v>
      </c>
    </row>
    <row r="2019" spans="6:7" x14ac:dyDescent="0.2">
      <c r="F2019" s="591">
        <v>2010</v>
      </c>
      <c r="G2019" s="420">
        <f t="shared" ca="1" si="39"/>
        <v>-3.4728714915818939E-3</v>
      </c>
    </row>
    <row r="2020" spans="6:7" x14ac:dyDescent="0.2">
      <c r="F2020" s="591">
        <v>2011</v>
      </c>
      <c r="G2020" s="420">
        <f t="shared" ca="1" si="39"/>
        <v>3.2807031170423703E-2</v>
      </c>
    </row>
    <row r="2021" spans="6:7" x14ac:dyDescent="0.2">
      <c r="F2021" s="591">
        <v>2012</v>
      </c>
      <c r="G2021" s="420">
        <f t="shared" ca="1" si="39"/>
        <v>3.5615286289239434E-2</v>
      </c>
    </row>
    <row r="2022" spans="6:7" x14ac:dyDescent="0.2">
      <c r="F2022" s="591">
        <v>2013</v>
      </c>
      <c r="G2022" s="420">
        <f t="shared" ca="1" si="39"/>
        <v>0.10034892249418302</v>
      </c>
    </row>
    <row r="2023" spans="6:7" x14ac:dyDescent="0.2">
      <c r="F2023" s="591">
        <v>2014</v>
      </c>
      <c r="G2023" s="420">
        <f t="shared" ca="1" si="39"/>
        <v>8.3616916941031127E-3</v>
      </c>
    </row>
    <row r="2024" spans="6:7" x14ac:dyDescent="0.2">
      <c r="F2024" s="591">
        <v>2015</v>
      </c>
      <c r="G2024" s="420">
        <f t="shared" ca="1" si="39"/>
        <v>-3.6271914133289423E-2</v>
      </c>
    </row>
    <row r="2025" spans="6:7" x14ac:dyDescent="0.2">
      <c r="F2025" s="591">
        <v>2016</v>
      </c>
      <c r="G2025" s="420">
        <f t="shared" ca="1" si="39"/>
        <v>-8.1179966420373666E-3</v>
      </c>
    </row>
    <row r="2026" spans="6:7" x14ac:dyDescent="0.2">
      <c r="F2026" s="591">
        <v>2017</v>
      </c>
      <c r="G2026" s="420">
        <f t="shared" ca="1" si="39"/>
        <v>2.519091017153181E-3</v>
      </c>
    </row>
    <row r="2027" spans="6:7" x14ac:dyDescent="0.2">
      <c r="F2027" s="591">
        <v>2018</v>
      </c>
      <c r="G2027" s="420">
        <f t="shared" ca="1" si="39"/>
        <v>-4.882937404322836E-2</v>
      </c>
    </row>
    <row r="2028" spans="6:7" x14ac:dyDescent="0.2">
      <c r="F2028" s="591">
        <v>2019</v>
      </c>
      <c r="G2028" s="420">
        <f t="shared" ca="1" si="39"/>
        <v>-1.7416213329128311E-2</v>
      </c>
    </row>
    <row r="2029" spans="6:7" x14ac:dyDescent="0.2">
      <c r="F2029" s="591">
        <v>2020</v>
      </c>
      <c r="G2029" s="420">
        <f t="shared" ca="1" si="39"/>
        <v>-6.374702074119698E-2</v>
      </c>
    </row>
    <row r="2030" spans="6:7" x14ac:dyDescent="0.2">
      <c r="F2030" s="591">
        <v>2021</v>
      </c>
      <c r="G2030" s="420">
        <f t="shared" ca="1" si="39"/>
        <v>-6.7965988262011209E-2</v>
      </c>
    </row>
    <row r="2031" spans="6:7" x14ac:dyDescent="0.2">
      <c r="F2031" s="591">
        <v>2022</v>
      </c>
      <c r="G2031" s="420">
        <f t="shared" ca="1" si="39"/>
        <v>-2.0022485023787801E-2</v>
      </c>
    </row>
    <row r="2032" spans="6:7" x14ac:dyDescent="0.2">
      <c r="F2032" s="591">
        <v>2023</v>
      </c>
      <c r="G2032" s="420">
        <f t="shared" ca="1" si="39"/>
        <v>0.10044034875761562</v>
      </c>
    </row>
    <row r="2033" spans="6:7" x14ac:dyDescent="0.2">
      <c r="F2033" s="591">
        <v>2024</v>
      </c>
      <c r="G2033" s="420">
        <f t="shared" ca="1" si="39"/>
        <v>-6.1532355631913518E-2</v>
      </c>
    </row>
    <row r="2034" spans="6:7" x14ac:dyDescent="0.2">
      <c r="F2034" s="591">
        <v>2025</v>
      </c>
      <c r="G2034" s="420">
        <f t="shared" ca="1" si="39"/>
        <v>1.5932281576021973E-2</v>
      </c>
    </row>
    <row r="2035" spans="6:7" x14ac:dyDescent="0.2">
      <c r="F2035" s="591">
        <v>2026</v>
      </c>
      <c r="G2035" s="420">
        <f t="shared" ca="1" si="39"/>
        <v>-5.6338717133139024E-2</v>
      </c>
    </row>
    <row r="2036" spans="6:7" x14ac:dyDescent="0.2">
      <c r="F2036" s="591">
        <v>2027</v>
      </c>
      <c r="G2036" s="420">
        <f t="shared" ca="1" si="39"/>
        <v>-3.7630264871471114E-2</v>
      </c>
    </row>
    <row r="2037" spans="6:7" x14ac:dyDescent="0.2">
      <c r="F2037" s="591">
        <v>2028</v>
      </c>
      <c r="G2037" s="420">
        <f t="shared" ca="1" si="39"/>
        <v>9.2553701009295622E-2</v>
      </c>
    </row>
    <row r="2038" spans="6:7" x14ac:dyDescent="0.2">
      <c r="F2038" s="591">
        <v>2029</v>
      </c>
      <c r="G2038" s="420">
        <f t="shared" ca="1" si="39"/>
        <v>0.12774391248367661</v>
      </c>
    </row>
    <row r="2039" spans="6:7" x14ac:dyDescent="0.2">
      <c r="F2039" s="591">
        <v>2030</v>
      </c>
      <c r="G2039" s="420">
        <f t="shared" ca="1" si="39"/>
        <v>-5.4183935463227501E-2</v>
      </c>
    </row>
    <row r="2040" spans="6:7" x14ac:dyDescent="0.2">
      <c r="F2040" s="591">
        <v>2031</v>
      </c>
      <c r="G2040" s="420">
        <f t="shared" ca="1" si="39"/>
        <v>1.1997215328984553E-3</v>
      </c>
    </row>
    <row r="2041" spans="6:7" x14ac:dyDescent="0.2">
      <c r="F2041" s="591">
        <v>2032</v>
      </c>
      <c r="G2041" s="420">
        <f t="shared" ca="1" si="39"/>
        <v>1.7951722976570078E-2</v>
      </c>
    </row>
    <row r="2042" spans="6:7" x14ac:dyDescent="0.2">
      <c r="F2042" s="591">
        <v>2033</v>
      </c>
      <c r="G2042" s="420">
        <f t="shared" ca="1" si="39"/>
        <v>8.8794568724254938E-2</v>
      </c>
    </row>
    <row r="2043" spans="6:7" x14ac:dyDescent="0.2">
      <c r="F2043" s="591">
        <v>2034</v>
      </c>
      <c r="G2043" s="420">
        <f t="shared" ca="1" si="39"/>
        <v>-8.4986278287174262E-3</v>
      </c>
    </row>
    <row r="2044" spans="6:7" x14ac:dyDescent="0.2">
      <c r="F2044" s="591">
        <v>2035</v>
      </c>
      <c r="G2044" s="420">
        <f t="shared" ca="1" si="39"/>
        <v>3.1137920896605002E-2</v>
      </c>
    </row>
    <row r="2045" spans="6:7" x14ac:dyDescent="0.2">
      <c r="F2045" s="591">
        <v>2036</v>
      </c>
      <c r="G2045" s="420">
        <f t="shared" ca="1" si="39"/>
        <v>-2.1882599659227158E-2</v>
      </c>
    </row>
    <row r="2046" spans="6:7" x14ac:dyDescent="0.2">
      <c r="F2046" s="591">
        <v>2037</v>
      </c>
      <c r="G2046" s="420">
        <f t="shared" ca="1" si="39"/>
        <v>-3.3651524923985918E-2</v>
      </c>
    </row>
    <row r="2047" spans="6:7" x14ac:dyDescent="0.2">
      <c r="F2047" s="591">
        <v>2038</v>
      </c>
      <c r="G2047" s="420">
        <f t="shared" ca="1" si="39"/>
        <v>3.7119150371382019E-3</v>
      </c>
    </row>
    <row r="2048" spans="6:7" x14ac:dyDescent="0.2">
      <c r="F2048" s="591">
        <v>2039</v>
      </c>
      <c r="G2048" s="420">
        <f t="shared" ca="1" si="39"/>
        <v>4.8172821576814004E-2</v>
      </c>
    </row>
    <row r="2049" spans="6:7" x14ac:dyDescent="0.2">
      <c r="F2049" s="591">
        <v>2040</v>
      </c>
      <c r="G2049" s="420">
        <f t="shared" ca="1" si="39"/>
        <v>-7.5240436914438505E-2</v>
      </c>
    </row>
    <row r="2050" spans="6:7" x14ac:dyDescent="0.2">
      <c r="F2050" s="591">
        <v>2041</v>
      </c>
      <c r="G2050" s="420">
        <f t="shared" ca="1" si="39"/>
        <v>0.11410670646294901</v>
      </c>
    </row>
    <row r="2051" spans="6:7" x14ac:dyDescent="0.2">
      <c r="F2051" s="591">
        <v>2042</v>
      </c>
      <c r="G2051" s="420">
        <f t="shared" ca="1" si="39"/>
        <v>-1.800102502066565E-3</v>
      </c>
    </row>
    <row r="2052" spans="6:7" x14ac:dyDescent="0.2">
      <c r="F2052" s="591">
        <v>2043</v>
      </c>
      <c r="G2052" s="420">
        <f t="shared" ca="1" si="39"/>
        <v>-0.11940566398851592</v>
      </c>
    </row>
    <row r="2053" spans="6:7" x14ac:dyDescent="0.2">
      <c r="F2053" s="591">
        <v>2044</v>
      </c>
      <c r="G2053" s="420">
        <f t="shared" ca="1" si="39"/>
        <v>-5.1956008757432698E-2</v>
      </c>
    </row>
    <row r="2054" spans="6:7" x14ac:dyDescent="0.2">
      <c r="F2054" s="591">
        <v>2045</v>
      </c>
      <c r="G2054" s="420">
        <f t="shared" ca="1" si="39"/>
        <v>7.9952393449026632E-2</v>
      </c>
    </row>
    <row r="2055" spans="6:7" x14ac:dyDescent="0.2">
      <c r="F2055" s="591">
        <v>2046</v>
      </c>
      <c r="G2055" s="420">
        <f t="shared" ca="1" si="39"/>
        <v>-5.1376178826525454E-3</v>
      </c>
    </row>
    <row r="2056" spans="6:7" x14ac:dyDescent="0.2">
      <c r="F2056" s="591">
        <v>2047</v>
      </c>
      <c r="G2056" s="420">
        <f t="shared" ca="1" si="39"/>
        <v>-4.4863878959261028E-2</v>
      </c>
    </row>
    <row r="2057" spans="6:7" x14ac:dyDescent="0.2">
      <c r="F2057" s="591">
        <v>2048</v>
      </c>
      <c r="G2057" s="420">
        <f t="shared" ca="1" si="39"/>
        <v>2.892290471092572E-2</v>
      </c>
    </row>
    <row r="2058" spans="6:7" x14ac:dyDescent="0.2">
      <c r="F2058" s="591">
        <v>2049</v>
      </c>
      <c r="G2058" s="420">
        <f t="shared" ca="1" si="39"/>
        <v>2.4925499557969244E-2</v>
      </c>
    </row>
    <row r="2059" spans="6:7" x14ac:dyDescent="0.2">
      <c r="F2059" s="591">
        <v>2050</v>
      </c>
      <c r="G2059" s="420">
        <f t="shared" ref="G2059:G2122" ca="1" si="40">_xlfn.NORM.INV(RAND(), $M$11,$M$12)</f>
        <v>-7.3368940512088462E-2</v>
      </c>
    </row>
    <row r="2060" spans="6:7" x14ac:dyDescent="0.2">
      <c r="F2060" s="591">
        <v>2051</v>
      </c>
      <c r="G2060" s="420">
        <f t="shared" ca="1" si="40"/>
        <v>7.2684248745573915E-2</v>
      </c>
    </row>
    <row r="2061" spans="6:7" x14ac:dyDescent="0.2">
      <c r="F2061" s="591">
        <v>2052</v>
      </c>
      <c r="G2061" s="420">
        <f t="shared" ca="1" si="40"/>
        <v>3.1108657695832095E-2</v>
      </c>
    </row>
    <row r="2062" spans="6:7" x14ac:dyDescent="0.2">
      <c r="F2062" s="591">
        <v>2053</v>
      </c>
      <c r="G2062" s="420">
        <f t="shared" ca="1" si="40"/>
        <v>-7.0097440038488154E-3</v>
      </c>
    </row>
    <row r="2063" spans="6:7" x14ac:dyDescent="0.2">
      <c r="F2063" s="591">
        <v>2054</v>
      </c>
      <c r="G2063" s="420">
        <f t="shared" ca="1" si="40"/>
        <v>4.8885502685468041E-2</v>
      </c>
    </row>
    <row r="2064" spans="6:7" x14ac:dyDescent="0.2">
      <c r="F2064" s="591">
        <v>2055</v>
      </c>
      <c r="G2064" s="420">
        <f t="shared" ca="1" si="40"/>
        <v>4.7017649721159932E-2</v>
      </c>
    </row>
    <row r="2065" spans="6:7" x14ac:dyDescent="0.2">
      <c r="F2065" s="591">
        <v>2056</v>
      </c>
      <c r="G2065" s="420">
        <f t="shared" ca="1" si="40"/>
        <v>-2.612622941112697E-2</v>
      </c>
    </row>
    <row r="2066" spans="6:7" x14ac:dyDescent="0.2">
      <c r="F2066" s="591">
        <v>2057</v>
      </c>
      <c r="G2066" s="420">
        <f t="shared" ca="1" si="40"/>
        <v>-3.8037014509927053E-2</v>
      </c>
    </row>
    <row r="2067" spans="6:7" x14ac:dyDescent="0.2">
      <c r="F2067" s="591">
        <v>2058</v>
      </c>
      <c r="G2067" s="420">
        <f t="shared" ca="1" si="40"/>
        <v>5.1307928852732887E-2</v>
      </c>
    </row>
    <row r="2068" spans="6:7" x14ac:dyDescent="0.2">
      <c r="F2068" s="591">
        <v>2059</v>
      </c>
      <c r="G2068" s="420">
        <f t="shared" ca="1" si="40"/>
        <v>1.2957166248283476E-2</v>
      </c>
    </row>
    <row r="2069" spans="6:7" x14ac:dyDescent="0.2">
      <c r="F2069" s="591">
        <v>2060</v>
      </c>
      <c r="G2069" s="420">
        <f t="shared" ca="1" si="40"/>
        <v>-3.2139778840428651E-2</v>
      </c>
    </row>
    <row r="2070" spans="6:7" x14ac:dyDescent="0.2">
      <c r="F2070" s="591">
        <v>2061</v>
      </c>
      <c r="G2070" s="420">
        <f t="shared" ca="1" si="40"/>
        <v>-7.1078841411202805E-3</v>
      </c>
    </row>
    <row r="2071" spans="6:7" x14ac:dyDescent="0.2">
      <c r="F2071" s="591">
        <v>2062</v>
      </c>
      <c r="G2071" s="420">
        <f t="shared" ca="1" si="40"/>
        <v>0.12885700200926278</v>
      </c>
    </row>
    <row r="2072" spans="6:7" x14ac:dyDescent="0.2">
      <c r="F2072" s="591">
        <v>2063</v>
      </c>
      <c r="G2072" s="420">
        <f t="shared" ca="1" si="40"/>
        <v>6.4460132231880157E-2</v>
      </c>
    </row>
    <row r="2073" spans="6:7" x14ac:dyDescent="0.2">
      <c r="F2073" s="591">
        <v>2064</v>
      </c>
      <c r="G2073" s="420">
        <f t="shared" ca="1" si="40"/>
        <v>5.1431078545117026E-2</v>
      </c>
    </row>
    <row r="2074" spans="6:7" x14ac:dyDescent="0.2">
      <c r="F2074" s="591">
        <v>2065</v>
      </c>
      <c r="G2074" s="420">
        <f t="shared" ca="1" si="40"/>
        <v>5.1981249181439593E-2</v>
      </c>
    </row>
    <row r="2075" spans="6:7" x14ac:dyDescent="0.2">
      <c r="F2075" s="591">
        <v>2066</v>
      </c>
      <c r="G2075" s="420">
        <f t="shared" ca="1" si="40"/>
        <v>-4.8789019858386046E-2</v>
      </c>
    </row>
    <row r="2076" spans="6:7" x14ac:dyDescent="0.2">
      <c r="F2076" s="591">
        <v>2067</v>
      </c>
      <c r="G2076" s="420">
        <f t="shared" ca="1" si="40"/>
        <v>7.094643962309008E-2</v>
      </c>
    </row>
    <row r="2077" spans="6:7" x14ac:dyDescent="0.2">
      <c r="F2077" s="591">
        <v>2068</v>
      </c>
      <c r="G2077" s="420">
        <f t="shared" ca="1" si="40"/>
        <v>-4.4804115100719674E-2</v>
      </c>
    </row>
    <row r="2078" spans="6:7" x14ac:dyDescent="0.2">
      <c r="F2078" s="591">
        <v>2069</v>
      </c>
      <c r="G2078" s="420">
        <f t="shared" ca="1" si="40"/>
        <v>-6.3685930518049619E-2</v>
      </c>
    </row>
    <row r="2079" spans="6:7" x14ac:dyDescent="0.2">
      <c r="F2079" s="591">
        <v>2070</v>
      </c>
      <c r="G2079" s="420">
        <f t="shared" ca="1" si="40"/>
        <v>8.0605447246698436E-2</v>
      </c>
    </row>
    <row r="2080" spans="6:7" x14ac:dyDescent="0.2">
      <c r="F2080" s="591">
        <v>2071</v>
      </c>
      <c r="G2080" s="420">
        <f t="shared" ca="1" si="40"/>
        <v>-2.2279654187393232E-2</v>
      </c>
    </row>
    <row r="2081" spans="6:7" x14ac:dyDescent="0.2">
      <c r="F2081" s="591">
        <v>2072</v>
      </c>
      <c r="G2081" s="420">
        <f t="shared" ca="1" si="40"/>
        <v>-7.994408390126953E-3</v>
      </c>
    </row>
    <row r="2082" spans="6:7" x14ac:dyDescent="0.2">
      <c r="F2082" s="591">
        <v>2073</v>
      </c>
      <c r="G2082" s="420">
        <f t="shared" ca="1" si="40"/>
        <v>-3.4562883460492522E-2</v>
      </c>
    </row>
    <row r="2083" spans="6:7" x14ac:dyDescent="0.2">
      <c r="F2083" s="591">
        <v>2074</v>
      </c>
      <c r="G2083" s="420">
        <f t="shared" ca="1" si="40"/>
        <v>9.2971735879898744E-3</v>
      </c>
    </row>
    <row r="2084" spans="6:7" x14ac:dyDescent="0.2">
      <c r="F2084" s="591">
        <v>2075</v>
      </c>
      <c r="G2084" s="420">
        <f t="shared" ca="1" si="40"/>
        <v>1.3010836972031264E-2</v>
      </c>
    </row>
    <row r="2085" spans="6:7" x14ac:dyDescent="0.2">
      <c r="F2085" s="591">
        <v>2076</v>
      </c>
      <c r="G2085" s="420">
        <f t="shared" ca="1" si="40"/>
        <v>0.11660920317868705</v>
      </c>
    </row>
    <row r="2086" spans="6:7" x14ac:dyDescent="0.2">
      <c r="F2086" s="591">
        <v>2077</v>
      </c>
      <c r="G2086" s="420">
        <f t="shared" ca="1" si="40"/>
        <v>9.3873071379578371E-2</v>
      </c>
    </row>
    <row r="2087" spans="6:7" x14ac:dyDescent="0.2">
      <c r="F2087" s="591">
        <v>2078</v>
      </c>
      <c r="G2087" s="420">
        <f t="shared" ca="1" si="40"/>
        <v>-1.9918387202342219E-2</v>
      </c>
    </row>
    <row r="2088" spans="6:7" x14ac:dyDescent="0.2">
      <c r="F2088" s="591">
        <v>2079</v>
      </c>
      <c r="G2088" s="420">
        <f t="shared" ca="1" si="40"/>
        <v>-4.2394331447840647E-2</v>
      </c>
    </row>
    <row r="2089" spans="6:7" x14ac:dyDescent="0.2">
      <c r="F2089" s="591">
        <v>2080</v>
      </c>
      <c r="G2089" s="420">
        <f t="shared" ca="1" si="40"/>
        <v>7.7155388872497288E-2</v>
      </c>
    </row>
    <row r="2090" spans="6:7" x14ac:dyDescent="0.2">
      <c r="F2090" s="591">
        <v>2081</v>
      </c>
      <c r="G2090" s="420">
        <f t="shared" ca="1" si="40"/>
        <v>7.0300459428549678E-2</v>
      </c>
    </row>
    <row r="2091" spans="6:7" x14ac:dyDescent="0.2">
      <c r="F2091" s="591">
        <v>2082</v>
      </c>
      <c r="G2091" s="420">
        <f t="shared" ca="1" si="40"/>
        <v>-4.9441703946541932E-2</v>
      </c>
    </row>
    <row r="2092" spans="6:7" x14ac:dyDescent="0.2">
      <c r="F2092" s="591">
        <v>2083</v>
      </c>
      <c r="G2092" s="420">
        <f t="shared" ca="1" si="40"/>
        <v>-1.8632685814152831E-2</v>
      </c>
    </row>
    <row r="2093" spans="6:7" x14ac:dyDescent="0.2">
      <c r="F2093" s="591">
        <v>2084</v>
      </c>
      <c r="G2093" s="420">
        <f t="shared" ca="1" si="40"/>
        <v>2.8694883021323541E-2</v>
      </c>
    </row>
    <row r="2094" spans="6:7" x14ac:dyDescent="0.2">
      <c r="F2094" s="591">
        <v>2085</v>
      </c>
      <c r="G2094" s="420">
        <f t="shared" ca="1" si="40"/>
        <v>6.8377884930183328E-3</v>
      </c>
    </row>
    <row r="2095" spans="6:7" x14ac:dyDescent="0.2">
      <c r="F2095" s="591">
        <v>2086</v>
      </c>
      <c r="G2095" s="420">
        <f t="shared" ca="1" si="40"/>
        <v>2.5555273509037295E-2</v>
      </c>
    </row>
    <row r="2096" spans="6:7" x14ac:dyDescent="0.2">
      <c r="F2096" s="591">
        <v>2087</v>
      </c>
      <c r="G2096" s="420">
        <f t="shared" ca="1" si="40"/>
        <v>8.4875403860427481E-2</v>
      </c>
    </row>
    <row r="2097" spans="6:7" x14ac:dyDescent="0.2">
      <c r="F2097" s="591">
        <v>2088</v>
      </c>
      <c r="G2097" s="420">
        <f t="shared" ca="1" si="40"/>
        <v>3.680728311062623E-3</v>
      </c>
    </row>
    <row r="2098" spans="6:7" x14ac:dyDescent="0.2">
      <c r="F2098" s="591">
        <v>2089</v>
      </c>
      <c r="G2098" s="420">
        <f t="shared" ca="1" si="40"/>
        <v>4.8977192753561119E-2</v>
      </c>
    </row>
    <row r="2099" spans="6:7" x14ac:dyDescent="0.2">
      <c r="F2099" s="591">
        <v>2090</v>
      </c>
      <c r="G2099" s="420">
        <f t="shared" ca="1" si="40"/>
        <v>0.15217408433095433</v>
      </c>
    </row>
    <row r="2100" spans="6:7" x14ac:dyDescent="0.2">
      <c r="F2100" s="591">
        <v>2091</v>
      </c>
      <c r="G2100" s="420">
        <f t="shared" ca="1" si="40"/>
        <v>-7.0803378083824225E-3</v>
      </c>
    </row>
    <row r="2101" spans="6:7" x14ac:dyDescent="0.2">
      <c r="F2101" s="591">
        <v>2092</v>
      </c>
      <c r="G2101" s="420">
        <f t="shared" ca="1" si="40"/>
        <v>1.1742744517589934E-2</v>
      </c>
    </row>
    <row r="2102" spans="6:7" x14ac:dyDescent="0.2">
      <c r="F2102" s="591">
        <v>2093</v>
      </c>
      <c r="G2102" s="420">
        <f t="shared" ca="1" si="40"/>
        <v>4.0434516692146052E-2</v>
      </c>
    </row>
    <row r="2103" spans="6:7" x14ac:dyDescent="0.2">
      <c r="F2103" s="591">
        <v>2094</v>
      </c>
      <c r="G2103" s="420">
        <f t="shared" ca="1" si="40"/>
        <v>0.16517746955515802</v>
      </c>
    </row>
    <row r="2104" spans="6:7" x14ac:dyDescent="0.2">
      <c r="F2104" s="591">
        <v>2095</v>
      </c>
      <c r="G2104" s="420">
        <f t="shared" ca="1" si="40"/>
        <v>6.1738277092518043E-2</v>
      </c>
    </row>
    <row r="2105" spans="6:7" x14ac:dyDescent="0.2">
      <c r="F2105" s="591">
        <v>2096</v>
      </c>
      <c r="G2105" s="420">
        <f t="shared" ca="1" si="40"/>
        <v>7.0908293843029158E-4</v>
      </c>
    </row>
    <row r="2106" spans="6:7" x14ac:dyDescent="0.2">
      <c r="F2106" s="591">
        <v>2097</v>
      </c>
      <c r="G2106" s="420">
        <f t="shared" ca="1" si="40"/>
        <v>8.9194784959343007E-2</v>
      </c>
    </row>
    <row r="2107" spans="6:7" x14ac:dyDescent="0.2">
      <c r="F2107" s="591">
        <v>2098</v>
      </c>
      <c r="G2107" s="420">
        <f t="shared" ca="1" si="40"/>
        <v>-7.4843910681483425E-2</v>
      </c>
    </row>
    <row r="2108" spans="6:7" x14ac:dyDescent="0.2">
      <c r="F2108" s="591">
        <v>2099</v>
      </c>
      <c r="G2108" s="420">
        <f t="shared" ca="1" si="40"/>
        <v>8.3588398444338796E-2</v>
      </c>
    </row>
    <row r="2109" spans="6:7" x14ac:dyDescent="0.2">
      <c r="F2109" s="591">
        <v>2100</v>
      </c>
      <c r="G2109" s="420">
        <f t="shared" ca="1" si="40"/>
        <v>7.957867443934756E-2</v>
      </c>
    </row>
    <row r="2110" spans="6:7" x14ac:dyDescent="0.2">
      <c r="F2110" s="591">
        <v>2101</v>
      </c>
      <c r="G2110" s="420">
        <f t="shared" ca="1" si="40"/>
        <v>6.6098003804815911E-2</v>
      </c>
    </row>
    <row r="2111" spans="6:7" x14ac:dyDescent="0.2">
      <c r="F2111" s="591">
        <v>2102</v>
      </c>
      <c r="G2111" s="420">
        <f t="shared" ca="1" si="40"/>
        <v>-9.1009421400433527E-2</v>
      </c>
    </row>
    <row r="2112" spans="6:7" x14ac:dyDescent="0.2">
      <c r="F2112" s="591">
        <v>2103</v>
      </c>
      <c r="G2112" s="420">
        <f t="shared" ca="1" si="40"/>
        <v>3.3224043079204547E-2</v>
      </c>
    </row>
    <row r="2113" spans="6:7" x14ac:dyDescent="0.2">
      <c r="F2113" s="591">
        <v>2104</v>
      </c>
      <c r="G2113" s="420">
        <f t="shared" ca="1" si="40"/>
        <v>-0.11798309978469183</v>
      </c>
    </row>
    <row r="2114" spans="6:7" x14ac:dyDescent="0.2">
      <c r="F2114" s="591">
        <v>2105</v>
      </c>
      <c r="G2114" s="420">
        <f t="shared" ca="1" si="40"/>
        <v>-9.2585710229989335E-2</v>
      </c>
    </row>
    <row r="2115" spans="6:7" x14ac:dyDescent="0.2">
      <c r="F2115" s="591">
        <v>2106</v>
      </c>
      <c r="G2115" s="420">
        <f t="shared" ca="1" si="40"/>
        <v>-0.21970509220438553</v>
      </c>
    </row>
    <row r="2116" spans="6:7" x14ac:dyDescent="0.2">
      <c r="F2116" s="591">
        <v>2107</v>
      </c>
      <c r="G2116" s="420">
        <f t="shared" ca="1" si="40"/>
        <v>8.8508454807635403E-2</v>
      </c>
    </row>
    <row r="2117" spans="6:7" x14ac:dyDescent="0.2">
      <c r="F2117" s="591">
        <v>2108</v>
      </c>
      <c r="G2117" s="420">
        <f t="shared" ca="1" si="40"/>
        <v>-3.3703564364733124E-2</v>
      </c>
    </row>
    <row r="2118" spans="6:7" x14ac:dyDescent="0.2">
      <c r="F2118" s="591">
        <v>2109</v>
      </c>
      <c r="G2118" s="420">
        <f t="shared" ca="1" si="40"/>
        <v>1.073232916312953E-2</v>
      </c>
    </row>
    <row r="2119" spans="6:7" x14ac:dyDescent="0.2">
      <c r="F2119" s="591">
        <v>2110</v>
      </c>
      <c r="G2119" s="420">
        <f t="shared" ca="1" si="40"/>
        <v>5.4378274216662262E-2</v>
      </c>
    </row>
    <row r="2120" spans="6:7" x14ac:dyDescent="0.2">
      <c r="F2120" s="591">
        <v>2111</v>
      </c>
      <c r="G2120" s="420">
        <f t="shared" ca="1" si="40"/>
        <v>-9.0252227948676052E-3</v>
      </c>
    </row>
    <row r="2121" spans="6:7" x14ac:dyDescent="0.2">
      <c r="F2121" s="591">
        <v>2112</v>
      </c>
      <c r="G2121" s="420">
        <f t="shared" ca="1" si="40"/>
        <v>0.11353510826077834</v>
      </c>
    </row>
    <row r="2122" spans="6:7" x14ac:dyDescent="0.2">
      <c r="F2122" s="591">
        <v>2113</v>
      </c>
      <c r="G2122" s="420">
        <f t="shared" ca="1" si="40"/>
        <v>-4.4891107148016918E-2</v>
      </c>
    </row>
    <row r="2123" spans="6:7" x14ac:dyDescent="0.2">
      <c r="F2123" s="591">
        <v>2114</v>
      </c>
      <c r="G2123" s="420">
        <f t="shared" ref="G2123:G2186" ca="1" si="41">_xlfn.NORM.INV(RAND(), $M$11,$M$12)</f>
        <v>1.3993350004828795E-2</v>
      </c>
    </row>
    <row r="2124" spans="6:7" x14ac:dyDescent="0.2">
      <c r="F2124" s="591">
        <v>2115</v>
      </c>
      <c r="G2124" s="420">
        <f t="shared" ca="1" si="41"/>
        <v>-7.1940134440377737E-2</v>
      </c>
    </row>
    <row r="2125" spans="6:7" x14ac:dyDescent="0.2">
      <c r="F2125" s="591">
        <v>2116</v>
      </c>
      <c r="G2125" s="420">
        <f t="shared" ca="1" si="41"/>
        <v>-6.4227333699354211E-2</v>
      </c>
    </row>
    <row r="2126" spans="6:7" x14ac:dyDescent="0.2">
      <c r="F2126" s="591">
        <v>2117</v>
      </c>
      <c r="G2126" s="420">
        <f t="shared" ca="1" si="41"/>
        <v>-1.4161237625164143E-2</v>
      </c>
    </row>
    <row r="2127" spans="6:7" x14ac:dyDescent="0.2">
      <c r="F2127" s="591">
        <v>2118</v>
      </c>
      <c r="G2127" s="420">
        <f t="shared" ca="1" si="41"/>
        <v>1.9419176722207006E-2</v>
      </c>
    </row>
    <row r="2128" spans="6:7" x14ac:dyDescent="0.2">
      <c r="F2128" s="591">
        <v>2119</v>
      </c>
      <c r="G2128" s="420">
        <f t="shared" ca="1" si="41"/>
        <v>-2.3990314748473868E-2</v>
      </c>
    </row>
    <row r="2129" spans="6:7" x14ac:dyDescent="0.2">
      <c r="F2129" s="591">
        <v>2120</v>
      </c>
      <c r="G2129" s="420">
        <f t="shared" ca="1" si="41"/>
        <v>-2.654774164095158E-2</v>
      </c>
    </row>
    <row r="2130" spans="6:7" x14ac:dyDescent="0.2">
      <c r="F2130" s="591">
        <v>2121</v>
      </c>
      <c r="G2130" s="420">
        <f t="shared" ca="1" si="41"/>
        <v>0.13050760132655062</v>
      </c>
    </row>
    <row r="2131" spans="6:7" x14ac:dyDescent="0.2">
      <c r="F2131" s="591">
        <v>2122</v>
      </c>
      <c r="G2131" s="420">
        <f t="shared" ca="1" si="41"/>
        <v>-2.8320911965284728E-2</v>
      </c>
    </row>
    <row r="2132" spans="6:7" x14ac:dyDescent="0.2">
      <c r="F2132" s="591">
        <v>2123</v>
      </c>
      <c r="G2132" s="420">
        <f t="shared" ca="1" si="41"/>
        <v>9.2674750683296322E-2</v>
      </c>
    </row>
    <row r="2133" spans="6:7" x14ac:dyDescent="0.2">
      <c r="F2133" s="591">
        <v>2124</v>
      </c>
      <c r="G2133" s="420">
        <f t="shared" ca="1" si="41"/>
        <v>-1.4090781707697796E-2</v>
      </c>
    </row>
    <row r="2134" spans="6:7" x14ac:dyDescent="0.2">
      <c r="F2134" s="591">
        <v>2125</v>
      </c>
      <c r="G2134" s="420">
        <f t="shared" ca="1" si="41"/>
        <v>5.5037611148463384E-3</v>
      </c>
    </row>
    <row r="2135" spans="6:7" x14ac:dyDescent="0.2">
      <c r="F2135" s="591">
        <v>2126</v>
      </c>
      <c r="G2135" s="420">
        <f t="shared" ca="1" si="41"/>
        <v>9.6050886223857365E-2</v>
      </c>
    </row>
    <row r="2136" spans="6:7" x14ac:dyDescent="0.2">
      <c r="F2136" s="591">
        <v>2127</v>
      </c>
      <c r="G2136" s="420">
        <f t="shared" ca="1" si="41"/>
        <v>-5.5857923873765869E-2</v>
      </c>
    </row>
    <row r="2137" spans="6:7" x14ac:dyDescent="0.2">
      <c r="F2137" s="591">
        <v>2128</v>
      </c>
      <c r="G2137" s="420">
        <f t="shared" ca="1" si="41"/>
        <v>0.12649308597373954</v>
      </c>
    </row>
    <row r="2138" spans="6:7" x14ac:dyDescent="0.2">
      <c r="F2138" s="591">
        <v>2129</v>
      </c>
      <c r="G2138" s="420">
        <f t="shared" ca="1" si="41"/>
        <v>0.15414987423948029</v>
      </c>
    </row>
    <row r="2139" spans="6:7" x14ac:dyDescent="0.2">
      <c r="F2139" s="591">
        <v>2130</v>
      </c>
      <c r="G2139" s="420">
        <f t="shared" ca="1" si="41"/>
        <v>-4.3845772507929676E-2</v>
      </c>
    </row>
    <row r="2140" spans="6:7" x14ac:dyDescent="0.2">
      <c r="F2140" s="591">
        <v>2131</v>
      </c>
      <c r="G2140" s="420">
        <f t="shared" ca="1" si="41"/>
        <v>2.6110150330464994E-2</v>
      </c>
    </row>
    <row r="2141" spans="6:7" x14ac:dyDescent="0.2">
      <c r="F2141" s="591">
        <v>2132</v>
      </c>
      <c r="G2141" s="420">
        <f t="shared" ca="1" si="41"/>
        <v>-6.8901610071710438E-3</v>
      </c>
    </row>
    <row r="2142" spans="6:7" x14ac:dyDescent="0.2">
      <c r="F2142" s="591">
        <v>2133</v>
      </c>
      <c r="G2142" s="420">
        <f t="shared" ca="1" si="41"/>
        <v>-7.0870631333921227E-2</v>
      </c>
    </row>
    <row r="2143" spans="6:7" x14ac:dyDescent="0.2">
      <c r="F2143" s="591">
        <v>2134</v>
      </c>
      <c r="G2143" s="420">
        <f t="shared" ca="1" si="41"/>
        <v>-2.4104383413645243E-4</v>
      </c>
    </row>
    <row r="2144" spans="6:7" x14ac:dyDescent="0.2">
      <c r="F2144" s="591">
        <v>2135</v>
      </c>
      <c r="G2144" s="420">
        <f t="shared" ca="1" si="41"/>
        <v>-4.7788518536131808E-2</v>
      </c>
    </row>
    <row r="2145" spans="6:7" x14ac:dyDescent="0.2">
      <c r="F2145" s="591">
        <v>2136</v>
      </c>
      <c r="G2145" s="420">
        <f t="shared" ca="1" si="41"/>
        <v>0.16159983337070871</v>
      </c>
    </row>
    <row r="2146" spans="6:7" x14ac:dyDescent="0.2">
      <c r="F2146" s="591">
        <v>2137</v>
      </c>
      <c r="G2146" s="420">
        <f t="shared" ca="1" si="41"/>
        <v>3.4992606688873322E-2</v>
      </c>
    </row>
    <row r="2147" spans="6:7" x14ac:dyDescent="0.2">
      <c r="F2147" s="591">
        <v>2138</v>
      </c>
      <c r="G2147" s="420">
        <f t="shared" ca="1" si="41"/>
        <v>-1.6004903673423655E-2</v>
      </c>
    </row>
    <row r="2148" spans="6:7" x14ac:dyDescent="0.2">
      <c r="F2148" s="591">
        <v>2139</v>
      </c>
      <c r="G2148" s="420">
        <f t="shared" ca="1" si="41"/>
        <v>1.0903557754669961E-2</v>
      </c>
    </row>
    <row r="2149" spans="6:7" x14ac:dyDescent="0.2">
      <c r="F2149" s="591">
        <v>2140</v>
      </c>
      <c r="G2149" s="420">
        <f t="shared" ca="1" si="41"/>
        <v>4.8163183951395586E-2</v>
      </c>
    </row>
    <row r="2150" spans="6:7" x14ac:dyDescent="0.2">
      <c r="F2150" s="591">
        <v>2141</v>
      </c>
      <c r="G2150" s="420">
        <f t="shared" ca="1" si="41"/>
        <v>-2.4662285119717294E-2</v>
      </c>
    </row>
    <row r="2151" spans="6:7" x14ac:dyDescent="0.2">
      <c r="F2151" s="591">
        <v>2142</v>
      </c>
      <c r="G2151" s="420">
        <f t="shared" ca="1" si="41"/>
        <v>-7.5994128823631234E-3</v>
      </c>
    </row>
    <row r="2152" spans="6:7" x14ac:dyDescent="0.2">
      <c r="F2152" s="591">
        <v>2143</v>
      </c>
      <c r="G2152" s="420">
        <f t="shared" ca="1" si="41"/>
        <v>-3.1321510616710999E-2</v>
      </c>
    </row>
    <row r="2153" spans="6:7" x14ac:dyDescent="0.2">
      <c r="F2153" s="591">
        <v>2144</v>
      </c>
      <c r="G2153" s="420">
        <f t="shared" ca="1" si="41"/>
        <v>6.3270677778472117E-2</v>
      </c>
    </row>
    <row r="2154" spans="6:7" x14ac:dyDescent="0.2">
      <c r="F2154" s="591">
        <v>2145</v>
      </c>
      <c r="G2154" s="420">
        <f t="shared" ca="1" si="41"/>
        <v>-0.19209910167693539</v>
      </c>
    </row>
    <row r="2155" spans="6:7" x14ac:dyDescent="0.2">
      <c r="F2155" s="591">
        <v>2146</v>
      </c>
      <c r="G2155" s="420">
        <f t="shared" ca="1" si="41"/>
        <v>-4.436480752967846E-2</v>
      </c>
    </row>
    <row r="2156" spans="6:7" x14ac:dyDescent="0.2">
      <c r="F2156" s="591">
        <v>2147</v>
      </c>
      <c r="G2156" s="420">
        <f t="shared" ca="1" si="41"/>
        <v>-3.1428069271214665E-2</v>
      </c>
    </row>
    <row r="2157" spans="6:7" x14ac:dyDescent="0.2">
      <c r="F2157" s="591">
        <v>2148</v>
      </c>
      <c r="G2157" s="420">
        <f t="shared" ca="1" si="41"/>
        <v>-7.4873028004687307E-3</v>
      </c>
    </row>
    <row r="2158" spans="6:7" x14ac:dyDescent="0.2">
      <c r="F2158" s="591">
        <v>2149</v>
      </c>
      <c r="G2158" s="420">
        <f t="shared" ca="1" si="41"/>
        <v>-9.8097520656683021E-3</v>
      </c>
    </row>
    <row r="2159" spans="6:7" x14ac:dyDescent="0.2">
      <c r="F2159" s="591">
        <v>2150</v>
      </c>
      <c r="G2159" s="420">
        <f t="shared" ca="1" si="41"/>
        <v>0.14568448118487728</v>
      </c>
    </row>
    <row r="2160" spans="6:7" x14ac:dyDescent="0.2">
      <c r="F2160" s="591">
        <v>2151</v>
      </c>
      <c r="G2160" s="420">
        <f t="shared" ca="1" si="41"/>
        <v>-4.8569911111429567E-2</v>
      </c>
    </row>
    <row r="2161" spans="6:7" x14ac:dyDescent="0.2">
      <c r="F2161" s="591">
        <v>2152</v>
      </c>
      <c r="G2161" s="420">
        <f t="shared" ca="1" si="41"/>
        <v>-1.5961546684025298E-2</v>
      </c>
    </row>
    <row r="2162" spans="6:7" x14ac:dyDescent="0.2">
      <c r="F2162" s="591">
        <v>2153</v>
      </c>
      <c r="G2162" s="420">
        <f t="shared" ca="1" si="41"/>
        <v>-6.2934891941884841E-3</v>
      </c>
    </row>
    <row r="2163" spans="6:7" x14ac:dyDescent="0.2">
      <c r="F2163" s="591">
        <v>2154</v>
      </c>
      <c r="G2163" s="420">
        <f t="shared" ca="1" si="41"/>
        <v>6.4785791313853369E-2</v>
      </c>
    </row>
    <row r="2164" spans="6:7" x14ac:dyDescent="0.2">
      <c r="F2164" s="591">
        <v>2155</v>
      </c>
      <c r="G2164" s="420">
        <f t="shared" ca="1" si="41"/>
        <v>5.6869212496128696E-4</v>
      </c>
    </row>
    <row r="2165" spans="6:7" x14ac:dyDescent="0.2">
      <c r="F2165" s="591">
        <v>2156</v>
      </c>
      <c r="G2165" s="420">
        <f t="shared" ca="1" si="41"/>
        <v>-5.555916910130379E-2</v>
      </c>
    </row>
    <row r="2166" spans="6:7" x14ac:dyDescent="0.2">
      <c r="F2166" s="591">
        <v>2157</v>
      </c>
      <c r="G2166" s="420">
        <f t="shared" ca="1" si="41"/>
        <v>0.12240102219396962</v>
      </c>
    </row>
    <row r="2167" spans="6:7" x14ac:dyDescent="0.2">
      <c r="F2167" s="591">
        <v>2158</v>
      </c>
      <c r="G2167" s="420">
        <f t="shared" ca="1" si="41"/>
        <v>6.7813213920286941E-2</v>
      </c>
    </row>
    <row r="2168" spans="6:7" x14ac:dyDescent="0.2">
      <c r="F2168" s="591">
        <v>2159</v>
      </c>
      <c r="G2168" s="420">
        <f t="shared" ca="1" si="41"/>
        <v>2.228069775435769E-2</v>
      </c>
    </row>
    <row r="2169" spans="6:7" x14ac:dyDescent="0.2">
      <c r="F2169" s="591">
        <v>2160</v>
      </c>
      <c r="G2169" s="420">
        <f t="shared" ca="1" si="41"/>
        <v>5.2066019483326412E-2</v>
      </c>
    </row>
    <row r="2170" spans="6:7" x14ac:dyDescent="0.2">
      <c r="F2170" s="591">
        <v>2161</v>
      </c>
      <c r="G2170" s="420">
        <f t="shared" ca="1" si="41"/>
        <v>-1.5637680204673557E-2</v>
      </c>
    </row>
    <row r="2171" spans="6:7" x14ac:dyDescent="0.2">
      <c r="F2171" s="591">
        <v>2162</v>
      </c>
      <c r="G2171" s="420">
        <f t="shared" ca="1" si="41"/>
        <v>-1.3519299116876035E-2</v>
      </c>
    </row>
    <row r="2172" spans="6:7" x14ac:dyDescent="0.2">
      <c r="F2172" s="591">
        <v>2163</v>
      </c>
      <c r="G2172" s="420">
        <f t="shared" ca="1" si="41"/>
        <v>1.6342922181166609E-2</v>
      </c>
    </row>
    <row r="2173" spans="6:7" x14ac:dyDescent="0.2">
      <c r="F2173" s="591">
        <v>2164</v>
      </c>
      <c r="G2173" s="420">
        <f t="shared" ca="1" si="41"/>
        <v>-7.5509621223582082E-3</v>
      </c>
    </row>
    <row r="2174" spans="6:7" x14ac:dyDescent="0.2">
      <c r="F2174" s="591">
        <v>2165</v>
      </c>
      <c r="G2174" s="420">
        <f t="shared" ca="1" si="41"/>
        <v>3.3605385328400648E-2</v>
      </c>
    </row>
    <row r="2175" spans="6:7" x14ac:dyDescent="0.2">
      <c r="F2175" s="591">
        <v>2166</v>
      </c>
      <c r="G2175" s="420">
        <f t="shared" ca="1" si="41"/>
        <v>-1.0868168747125297E-2</v>
      </c>
    </row>
    <row r="2176" spans="6:7" x14ac:dyDescent="0.2">
      <c r="F2176" s="591">
        <v>2167</v>
      </c>
      <c r="G2176" s="420">
        <f t="shared" ca="1" si="41"/>
        <v>-1.226873741571349E-2</v>
      </c>
    </row>
    <row r="2177" spans="6:7" x14ac:dyDescent="0.2">
      <c r="F2177" s="591">
        <v>2168</v>
      </c>
      <c r="G2177" s="420">
        <f t="shared" ca="1" si="41"/>
        <v>1.5644362645242889E-2</v>
      </c>
    </row>
    <row r="2178" spans="6:7" x14ac:dyDescent="0.2">
      <c r="F2178" s="591">
        <v>2169</v>
      </c>
      <c r="G2178" s="420">
        <f t="shared" ca="1" si="41"/>
        <v>-0.14835608864662245</v>
      </c>
    </row>
    <row r="2179" spans="6:7" x14ac:dyDescent="0.2">
      <c r="F2179" s="591">
        <v>2170</v>
      </c>
      <c r="G2179" s="420">
        <f t="shared" ca="1" si="41"/>
        <v>0.15591589157866967</v>
      </c>
    </row>
    <row r="2180" spans="6:7" x14ac:dyDescent="0.2">
      <c r="F2180" s="591">
        <v>2171</v>
      </c>
      <c r="G2180" s="420">
        <f t="shared" ca="1" si="41"/>
        <v>-7.2486358232355372E-2</v>
      </c>
    </row>
    <row r="2181" spans="6:7" x14ac:dyDescent="0.2">
      <c r="F2181" s="591">
        <v>2172</v>
      </c>
      <c r="G2181" s="420">
        <f t="shared" ca="1" si="41"/>
        <v>6.8726761096910824E-2</v>
      </c>
    </row>
    <row r="2182" spans="6:7" x14ac:dyDescent="0.2">
      <c r="F2182" s="591">
        <v>2173</v>
      </c>
      <c r="G2182" s="420">
        <f t="shared" ca="1" si="41"/>
        <v>7.4094223717201924E-2</v>
      </c>
    </row>
    <row r="2183" spans="6:7" x14ac:dyDescent="0.2">
      <c r="F2183" s="591">
        <v>2174</v>
      </c>
      <c r="G2183" s="420">
        <f t="shared" ca="1" si="41"/>
        <v>-6.7393756192842949E-2</v>
      </c>
    </row>
    <row r="2184" spans="6:7" x14ac:dyDescent="0.2">
      <c r="F2184" s="591">
        <v>2175</v>
      </c>
      <c r="G2184" s="420">
        <f t="shared" ca="1" si="41"/>
        <v>3.5357922291301996E-2</v>
      </c>
    </row>
    <row r="2185" spans="6:7" x14ac:dyDescent="0.2">
      <c r="F2185" s="591">
        <v>2176</v>
      </c>
      <c r="G2185" s="420">
        <f t="shared" ca="1" si="41"/>
        <v>5.6672797672464026E-2</v>
      </c>
    </row>
    <row r="2186" spans="6:7" x14ac:dyDescent="0.2">
      <c r="F2186" s="591">
        <v>2177</v>
      </c>
      <c r="G2186" s="420">
        <f t="shared" ca="1" si="41"/>
        <v>-0.13042654368924655</v>
      </c>
    </row>
    <row r="2187" spans="6:7" x14ac:dyDescent="0.2">
      <c r="F2187" s="591">
        <v>2178</v>
      </c>
      <c r="G2187" s="420">
        <f t="shared" ref="G2187:G2250" ca="1" si="42">_xlfn.NORM.INV(RAND(), $M$11,$M$12)</f>
        <v>-6.3460308547092281E-2</v>
      </c>
    </row>
    <row r="2188" spans="6:7" x14ac:dyDescent="0.2">
      <c r="F2188" s="591">
        <v>2179</v>
      </c>
      <c r="G2188" s="420">
        <f t="shared" ca="1" si="42"/>
        <v>-3.5407764618978418E-3</v>
      </c>
    </row>
    <row r="2189" spans="6:7" x14ac:dyDescent="0.2">
      <c r="F2189" s="591">
        <v>2180</v>
      </c>
      <c r="G2189" s="420">
        <f t="shared" ca="1" si="42"/>
        <v>-4.9463523076165805E-2</v>
      </c>
    </row>
    <row r="2190" spans="6:7" x14ac:dyDescent="0.2">
      <c r="F2190" s="591">
        <v>2181</v>
      </c>
      <c r="G2190" s="420">
        <f t="shared" ca="1" si="42"/>
        <v>2.6400417646900487E-2</v>
      </c>
    </row>
    <row r="2191" spans="6:7" x14ac:dyDescent="0.2">
      <c r="F2191" s="591">
        <v>2182</v>
      </c>
      <c r="G2191" s="420">
        <f t="shared" ca="1" si="42"/>
        <v>-7.902552589363214E-2</v>
      </c>
    </row>
    <row r="2192" spans="6:7" x14ac:dyDescent="0.2">
      <c r="F2192" s="591">
        <v>2183</v>
      </c>
      <c r="G2192" s="420">
        <f t="shared" ca="1" si="42"/>
        <v>6.0458425708306535E-2</v>
      </c>
    </row>
    <row r="2193" spans="6:7" x14ac:dyDescent="0.2">
      <c r="F2193" s="591">
        <v>2184</v>
      </c>
      <c r="G2193" s="420">
        <f t="shared" ca="1" si="42"/>
        <v>-0.12770417409216461</v>
      </c>
    </row>
    <row r="2194" spans="6:7" x14ac:dyDescent="0.2">
      <c r="F2194" s="591">
        <v>2185</v>
      </c>
      <c r="G2194" s="420">
        <f t="shared" ca="1" si="42"/>
        <v>-3.3617616952445417E-2</v>
      </c>
    </row>
    <row r="2195" spans="6:7" x14ac:dyDescent="0.2">
      <c r="F2195" s="591">
        <v>2186</v>
      </c>
      <c r="G2195" s="420">
        <f t="shared" ca="1" si="42"/>
        <v>9.7426961617961647E-2</v>
      </c>
    </row>
    <row r="2196" spans="6:7" x14ac:dyDescent="0.2">
      <c r="F2196" s="591">
        <v>2187</v>
      </c>
      <c r="G2196" s="420">
        <f t="shared" ca="1" si="42"/>
        <v>-8.1948860236780496E-2</v>
      </c>
    </row>
    <row r="2197" spans="6:7" x14ac:dyDescent="0.2">
      <c r="F2197" s="591">
        <v>2188</v>
      </c>
      <c r="G2197" s="420">
        <f t="shared" ca="1" si="42"/>
        <v>5.3823017283509507E-3</v>
      </c>
    </row>
    <row r="2198" spans="6:7" x14ac:dyDescent="0.2">
      <c r="F2198" s="591">
        <v>2189</v>
      </c>
      <c r="G2198" s="420">
        <f t="shared" ca="1" si="42"/>
        <v>-4.1050401310795695E-2</v>
      </c>
    </row>
    <row r="2199" spans="6:7" x14ac:dyDescent="0.2">
      <c r="F2199" s="591">
        <v>2190</v>
      </c>
      <c r="G2199" s="420">
        <f t="shared" ca="1" si="42"/>
        <v>0.10257517317986019</v>
      </c>
    </row>
    <row r="2200" spans="6:7" x14ac:dyDescent="0.2">
      <c r="F2200" s="591">
        <v>2191</v>
      </c>
      <c r="G2200" s="420">
        <f t="shared" ca="1" si="42"/>
        <v>-4.321077780331524E-2</v>
      </c>
    </row>
    <row r="2201" spans="6:7" x14ac:dyDescent="0.2">
      <c r="F2201" s="591">
        <v>2192</v>
      </c>
      <c r="G2201" s="420">
        <f t="shared" ca="1" si="42"/>
        <v>9.3253341708645493E-3</v>
      </c>
    </row>
    <row r="2202" spans="6:7" x14ac:dyDescent="0.2">
      <c r="F2202" s="591">
        <v>2193</v>
      </c>
      <c r="G2202" s="420">
        <f t="shared" ca="1" si="42"/>
        <v>-0.17225410765247562</v>
      </c>
    </row>
    <row r="2203" spans="6:7" x14ac:dyDescent="0.2">
      <c r="F2203" s="591">
        <v>2194</v>
      </c>
      <c r="G2203" s="420">
        <f t="shared" ca="1" si="42"/>
        <v>-0.14105679915265468</v>
      </c>
    </row>
    <row r="2204" spans="6:7" x14ac:dyDescent="0.2">
      <c r="F2204" s="591">
        <v>2195</v>
      </c>
      <c r="G2204" s="420">
        <f t="shared" ca="1" si="42"/>
        <v>6.7179290322575261E-2</v>
      </c>
    </row>
    <row r="2205" spans="6:7" x14ac:dyDescent="0.2">
      <c r="F2205" s="591">
        <v>2196</v>
      </c>
      <c r="G2205" s="420">
        <f t="shared" ca="1" si="42"/>
        <v>-2.5438833547986175E-2</v>
      </c>
    </row>
    <row r="2206" spans="6:7" x14ac:dyDescent="0.2">
      <c r="F2206" s="591">
        <v>2197</v>
      </c>
      <c r="G2206" s="420">
        <f t="shared" ca="1" si="42"/>
        <v>-9.1887256226492048E-2</v>
      </c>
    </row>
    <row r="2207" spans="6:7" x14ac:dyDescent="0.2">
      <c r="F2207" s="591">
        <v>2198</v>
      </c>
      <c r="G2207" s="420">
        <f t="shared" ca="1" si="42"/>
        <v>-2.4943330958193035E-2</v>
      </c>
    </row>
    <row r="2208" spans="6:7" x14ac:dyDescent="0.2">
      <c r="F2208" s="591">
        <v>2199</v>
      </c>
      <c r="G2208" s="420">
        <f t="shared" ca="1" si="42"/>
        <v>2.8904983745013747E-2</v>
      </c>
    </row>
    <row r="2209" spans="6:7" x14ac:dyDescent="0.2">
      <c r="F2209" s="591">
        <v>2200</v>
      </c>
      <c r="G2209" s="420">
        <f t="shared" ca="1" si="42"/>
        <v>7.5158210462904412E-2</v>
      </c>
    </row>
    <row r="2210" spans="6:7" x14ac:dyDescent="0.2">
      <c r="F2210" s="591">
        <v>2201</v>
      </c>
      <c r="G2210" s="420">
        <f t="shared" ca="1" si="42"/>
        <v>0.11756191873462923</v>
      </c>
    </row>
    <row r="2211" spans="6:7" x14ac:dyDescent="0.2">
      <c r="F2211" s="591">
        <v>2202</v>
      </c>
      <c r="G2211" s="420">
        <f t="shared" ca="1" si="42"/>
        <v>-8.9331809343353552E-2</v>
      </c>
    </row>
    <row r="2212" spans="6:7" x14ac:dyDescent="0.2">
      <c r="F2212" s="591">
        <v>2203</v>
      </c>
      <c r="G2212" s="420">
        <f t="shared" ca="1" si="42"/>
        <v>3.8080790617819743E-2</v>
      </c>
    </row>
    <row r="2213" spans="6:7" x14ac:dyDescent="0.2">
      <c r="F2213" s="591">
        <v>2204</v>
      </c>
      <c r="G2213" s="420">
        <f t="shared" ca="1" si="42"/>
        <v>-2.1348252061580107E-3</v>
      </c>
    </row>
    <row r="2214" spans="6:7" x14ac:dyDescent="0.2">
      <c r="F2214" s="591">
        <v>2205</v>
      </c>
      <c r="G2214" s="420">
        <f t="shared" ca="1" si="42"/>
        <v>-2.2878972357291704E-2</v>
      </c>
    </row>
    <row r="2215" spans="6:7" x14ac:dyDescent="0.2">
      <c r="F2215" s="591">
        <v>2206</v>
      </c>
      <c r="G2215" s="420">
        <f t="shared" ca="1" si="42"/>
        <v>0.18603675609340392</v>
      </c>
    </row>
    <row r="2216" spans="6:7" x14ac:dyDescent="0.2">
      <c r="F2216" s="591">
        <v>2207</v>
      </c>
      <c r="G2216" s="420">
        <f t="shared" ca="1" si="42"/>
        <v>8.0733623682617217E-2</v>
      </c>
    </row>
    <row r="2217" spans="6:7" x14ac:dyDescent="0.2">
      <c r="F2217" s="591">
        <v>2208</v>
      </c>
      <c r="G2217" s="420">
        <f t="shared" ca="1" si="42"/>
        <v>3.1846360742416174E-2</v>
      </c>
    </row>
    <row r="2218" spans="6:7" x14ac:dyDescent="0.2">
      <c r="F2218" s="591">
        <v>2209</v>
      </c>
      <c r="G2218" s="420">
        <f t="shared" ca="1" si="42"/>
        <v>2.8921311167811777E-2</v>
      </c>
    </row>
    <row r="2219" spans="6:7" x14ac:dyDescent="0.2">
      <c r="F2219" s="591">
        <v>2210</v>
      </c>
      <c r="G2219" s="420">
        <f t="shared" ca="1" si="42"/>
        <v>-1.6343340161432605E-2</v>
      </c>
    </row>
    <row r="2220" spans="6:7" x14ac:dyDescent="0.2">
      <c r="F2220" s="591">
        <v>2211</v>
      </c>
      <c r="G2220" s="420">
        <f t="shared" ca="1" si="42"/>
        <v>9.837100698525085E-2</v>
      </c>
    </row>
    <row r="2221" spans="6:7" x14ac:dyDescent="0.2">
      <c r="F2221" s="591">
        <v>2212</v>
      </c>
      <c r="G2221" s="420">
        <f t="shared" ca="1" si="42"/>
        <v>2.8510760225823346E-2</v>
      </c>
    </row>
    <row r="2222" spans="6:7" x14ac:dyDescent="0.2">
      <c r="F2222" s="591">
        <v>2213</v>
      </c>
      <c r="G2222" s="420">
        <f t="shared" ca="1" si="42"/>
        <v>-0.21581827150791683</v>
      </c>
    </row>
    <row r="2223" spans="6:7" x14ac:dyDescent="0.2">
      <c r="F2223" s="591">
        <v>2214</v>
      </c>
      <c r="G2223" s="420">
        <f t="shared" ca="1" si="42"/>
        <v>-1.6199076606406636E-2</v>
      </c>
    </row>
    <row r="2224" spans="6:7" x14ac:dyDescent="0.2">
      <c r="F2224" s="591">
        <v>2215</v>
      </c>
      <c r="G2224" s="420">
        <f t="shared" ca="1" si="42"/>
        <v>6.7759278630229264E-2</v>
      </c>
    </row>
    <row r="2225" spans="6:7" x14ac:dyDescent="0.2">
      <c r="F2225" s="591">
        <v>2216</v>
      </c>
      <c r="G2225" s="420">
        <f t="shared" ca="1" si="42"/>
        <v>6.8005438481564276E-2</v>
      </c>
    </row>
    <row r="2226" spans="6:7" x14ac:dyDescent="0.2">
      <c r="F2226" s="591">
        <v>2217</v>
      </c>
      <c r="G2226" s="420">
        <f t="shared" ca="1" si="42"/>
        <v>6.0472175625724919E-2</v>
      </c>
    </row>
    <row r="2227" spans="6:7" x14ac:dyDescent="0.2">
      <c r="F2227" s="591">
        <v>2218</v>
      </c>
      <c r="G2227" s="420">
        <f t="shared" ca="1" si="42"/>
        <v>8.1550780533441516E-2</v>
      </c>
    </row>
    <row r="2228" spans="6:7" x14ac:dyDescent="0.2">
      <c r="F2228" s="591">
        <v>2219</v>
      </c>
      <c r="G2228" s="420">
        <f t="shared" ca="1" si="42"/>
        <v>-1.5621361612337403E-3</v>
      </c>
    </row>
    <row r="2229" spans="6:7" x14ac:dyDescent="0.2">
      <c r="F2229" s="591">
        <v>2220</v>
      </c>
      <c r="G2229" s="420">
        <f t="shared" ca="1" si="42"/>
        <v>-6.0764265988110661E-3</v>
      </c>
    </row>
    <row r="2230" spans="6:7" x14ac:dyDescent="0.2">
      <c r="F2230" s="591">
        <v>2221</v>
      </c>
      <c r="G2230" s="420">
        <f t="shared" ca="1" si="42"/>
        <v>2.4369811715097087E-3</v>
      </c>
    </row>
    <row r="2231" spans="6:7" x14ac:dyDescent="0.2">
      <c r="F2231" s="591">
        <v>2222</v>
      </c>
      <c r="G2231" s="420">
        <f t="shared" ca="1" si="42"/>
        <v>-6.5304271273031525E-3</v>
      </c>
    </row>
    <row r="2232" spans="6:7" x14ac:dyDescent="0.2">
      <c r="F2232" s="591">
        <v>2223</v>
      </c>
      <c r="G2232" s="420">
        <f t="shared" ca="1" si="42"/>
        <v>-4.3455385792318446E-2</v>
      </c>
    </row>
    <row r="2233" spans="6:7" x14ac:dyDescent="0.2">
      <c r="F2233" s="591">
        <v>2224</v>
      </c>
      <c r="G2233" s="420">
        <f t="shared" ca="1" si="42"/>
        <v>7.9541806425595482E-2</v>
      </c>
    </row>
    <row r="2234" spans="6:7" x14ac:dyDescent="0.2">
      <c r="F2234" s="591">
        <v>2225</v>
      </c>
      <c r="G2234" s="420">
        <f t="shared" ca="1" si="42"/>
        <v>5.9421262714034861E-2</v>
      </c>
    </row>
    <row r="2235" spans="6:7" x14ac:dyDescent="0.2">
      <c r="F2235" s="591">
        <v>2226</v>
      </c>
      <c r="G2235" s="420">
        <f t="shared" ca="1" si="42"/>
        <v>0.12038454444788832</v>
      </c>
    </row>
    <row r="2236" spans="6:7" x14ac:dyDescent="0.2">
      <c r="F2236" s="591">
        <v>2227</v>
      </c>
      <c r="G2236" s="420">
        <f t="shared" ca="1" si="42"/>
        <v>-4.2642311362583209E-3</v>
      </c>
    </row>
    <row r="2237" spans="6:7" x14ac:dyDescent="0.2">
      <c r="F2237" s="591">
        <v>2228</v>
      </c>
      <c r="G2237" s="420">
        <f t="shared" ca="1" si="42"/>
        <v>0.10523792192433078</v>
      </c>
    </row>
    <row r="2238" spans="6:7" x14ac:dyDescent="0.2">
      <c r="F2238" s="591">
        <v>2229</v>
      </c>
      <c r="G2238" s="420">
        <f t="shared" ca="1" si="42"/>
        <v>1.886864229449331E-2</v>
      </c>
    </row>
    <row r="2239" spans="6:7" x14ac:dyDescent="0.2">
      <c r="F2239" s="591">
        <v>2230</v>
      </c>
      <c r="G2239" s="420">
        <f t="shared" ca="1" si="42"/>
        <v>5.0094881370481514E-2</v>
      </c>
    </row>
    <row r="2240" spans="6:7" x14ac:dyDescent="0.2">
      <c r="F2240" s="591">
        <v>2231</v>
      </c>
      <c r="G2240" s="420">
        <f t="shared" ca="1" si="42"/>
        <v>1.8822999394469894E-5</v>
      </c>
    </row>
    <row r="2241" spans="6:7" x14ac:dyDescent="0.2">
      <c r="F2241" s="591">
        <v>2232</v>
      </c>
      <c r="G2241" s="420">
        <f t="shared" ca="1" si="42"/>
        <v>2.3569177771796179E-2</v>
      </c>
    </row>
    <row r="2242" spans="6:7" x14ac:dyDescent="0.2">
      <c r="F2242" s="591">
        <v>2233</v>
      </c>
      <c r="G2242" s="420">
        <f t="shared" ca="1" si="42"/>
        <v>-0.10215677340189931</v>
      </c>
    </row>
    <row r="2243" spans="6:7" x14ac:dyDescent="0.2">
      <c r="F2243" s="591">
        <v>2234</v>
      </c>
      <c r="G2243" s="420">
        <f t="shared" ca="1" si="42"/>
        <v>-9.7394121742709547E-3</v>
      </c>
    </row>
    <row r="2244" spans="6:7" x14ac:dyDescent="0.2">
      <c r="F2244" s="591">
        <v>2235</v>
      </c>
      <c r="G2244" s="420">
        <f t="shared" ca="1" si="42"/>
        <v>1.2035803278920886E-2</v>
      </c>
    </row>
    <row r="2245" spans="6:7" x14ac:dyDescent="0.2">
      <c r="F2245" s="591">
        <v>2236</v>
      </c>
      <c r="G2245" s="420">
        <f t="shared" ca="1" si="42"/>
        <v>-1.1056032333719001E-2</v>
      </c>
    </row>
    <row r="2246" spans="6:7" x14ac:dyDescent="0.2">
      <c r="F2246" s="591">
        <v>2237</v>
      </c>
      <c r="G2246" s="420">
        <f t="shared" ca="1" si="42"/>
        <v>9.2726473447269059E-2</v>
      </c>
    </row>
    <row r="2247" spans="6:7" x14ac:dyDescent="0.2">
      <c r="F2247" s="591">
        <v>2238</v>
      </c>
      <c r="G2247" s="420">
        <f t="shared" ca="1" si="42"/>
        <v>1.2271364941784551E-2</v>
      </c>
    </row>
    <row r="2248" spans="6:7" x14ac:dyDescent="0.2">
      <c r="F2248" s="591">
        <v>2239</v>
      </c>
      <c r="G2248" s="420">
        <f t="shared" ca="1" si="42"/>
        <v>0.13981672373451701</v>
      </c>
    </row>
    <row r="2249" spans="6:7" x14ac:dyDescent="0.2">
      <c r="F2249" s="591">
        <v>2240</v>
      </c>
      <c r="G2249" s="420">
        <f t="shared" ca="1" si="42"/>
        <v>-3.918440093300346E-2</v>
      </c>
    </row>
    <row r="2250" spans="6:7" x14ac:dyDescent="0.2">
      <c r="F2250" s="591">
        <v>2241</v>
      </c>
      <c r="G2250" s="420">
        <f t="shared" ca="1" si="42"/>
        <v>2.9306274013491024E-2</v>
      </c>
    </row>
    <row r="2251" spans="6:7" x14ac:dyDescent="0.2">
      <c r="F2251" s="591">
        <v>2242</v>
      </c>
      <c r="G2251" s="420">
        <f t="shared" ref="G2251:G2314" ca="1" si="43">_xlfn.NORM.INV(RAND(), $M$11,$M$12)</f>
        <v>-7.9331823230019069E-3</v>
      </c>
    </row>
    <row r="2252" spans="6:7" x14ac:dyDescent="0.2">
      <c r="F2252" s="591">
        <v>2243</v>
      </c>
      <c r="G2252" s="420">
        <f t="shared" ca="1" si="43"/>
        <v>-7.05404471865664E-3</v>
      </c>
    </row>
    <row r="2253" spans="6:7" x14ac:dyDescent="0.2">
      <c r="F2253" s="591">
        <v>2244</v>
      </c>
      <c r="G2253" s="420">
        <f t="shared" ca="1" si="43"/>
        <v>7.5599734054893036E-2</v>
      </c>
    </row>
    <row r="2254" spans="6:7" x14ac:dyDescent="0.2">
      <c r="F2254" s="591">
        <v>2245</v>
      </c>
      <c r="G2254" s="420">
        <f t="shared" ca="1" si="43"/>
        <v>8.9559322338279901E-2</v>
      </c>
    </row>
    <row r="2255" spans="6:7" x14ac:dyDescent="0.2">
      <c r="F2255" s="591">
        <v>2246</v>
      </c>
      <c r="G2255" s="420">
        <f t="shared" ca="1" si="43"/>
        <v>1.3285589994873628E-2</v>
      </c>
    </row>
    <row r="2256" spans="6:7" x14ac:dyDescent="0.2">
      <c r="F2256" s="591">
        <v>2247</v>
      </c>
      <c r="G2256" s="420">
        <f t="shared" ca="1" si="43"/>
        <v>-1.2372231943474303E-2</v>
      </c>
    </row>
    <row r="2257" spans="6:7" x14ac:dyDescent="0.2">
      <c r="F2257" s="591">
        <v>2248</v>
      </c>
      <c r="G2257" s="420">
        <f t="shared" ca="1" si="43"/>
        <v>4.9171747944756733E-2</v>
      </c>
    </row>
    <row r="2258" spans="6:7" x14ac:dyDescent="0.2">
      <c r="F2258" s="591">
        <v>2249</v>
      </c>
      <c r="G2258" s="420">
        <f t="shared" ca="1" si="43"/>
        <v>-4.4506864966064513E-2</v>
      </c>
    </row>
    <row r="2259" spans="6:7" x14ac:dyDescent="0.2">
      <c r="F2259" s="591">
        <v>2250</v>
      </c>
      <c r="G2259" s="420">
        <f t="shared" ca="1" si="43"/>
        <v>5.8328844077810832E-2</v>
      </c>
    </row>
    <row r="2260" spans="6:7" x14ac:dyDescent="0.2">
      <c r="F2260" s="591">
        <v>2251</v>
      </c>
      <c r="G2260" s="420">
        <f t="shared" ca="1" si="43"/>
        <v>9.9145389919642446E-2</v>
      </c>
    </row>
    <row r="2261" spans="6:7" x14ac:dyDescent="0.2">
      <c r="F2261" s="591">
        <v>2252</v>
      </c>
      <c r="G2261" s="420">
        <f t="shared" ca="1" si="43"/>
        <v>-4.919579825553317E-3</v>
      </c>
    </row>
    <row r="2262" spans="6:7" x14ac:dyDescent="0.2">
      <c r="F2262" s="591">
        <v>2253</v>
      </c>
      <c r="G2262" s="420">
        <f t="shared" ca="1" si="43"/>
        <v>-4.0323045509463265E-2</v>
      </c>
    </row>
    <row r="2263" spans="6:7" x14ac:dyDescent="0.2">
      <c r="F2263" s="591">
        <v>2254</v>
      </c>
      <c r="G2263" s="420">
        <f t="shared" ca="1" si="43"/>
        <v>-1.7652057346163461E-2</v>
      </c>
    </row>
    <row r="2264" spans="6:7" x14ac:dyDescent="0.2">
      <c r="F2264" s="591">
        <v>2255</v>
      </c>
      <c r="G2264" s="420">
        <f t="shared" ca="1" si="43"/>
        <v>-2.1555849135989253E-2</v>
      </c>
    </row>
    <row r="2265" spans="6:7" x14ac:dyDescent="0.2">
      <c r="F2265" s="591">
        <v>2256</v>
      </c>
      <c r="G2265" s="420">
        <f t="shared" ca="1" si="43"/>
        <v>-3.5523825787237187E-2</v>
      </c>
    </row>
    <row r="2266" spans="6:7" x14ac:dyDescent="0.2">
      <c r="F2266" s="591">
        <v>2257</v>
      </c>
      <c r="G2266" s="420">
        <f t="shared" ca="1" si="43"/>
        <v>9.6459737279528113E-2</v>
      </c>
    </row>
    <row r="2267" spans="6:7" x14ac:dyDescent="0.2">
      <c r="F2267" s="591">
        <v>2258</v>
      </c>
      <c r="G2267" s="420">
        <f t="shared" ca="1" si="43"/>
        <v>0.11166775972390941</v>
      </c>
    </row>
    <row r="2268" spans="6:7" x14ac:dyDescent="0.2">
      <c r="F2268" s="591">
        <v>2259</v>
      </c>
      <c r="G2268" s="420">
        <f t="shared" ca="1" si="43"/>
        <v>2.005645995642838E-2</v>
      </c>
    </row>
    <row r="2269" spans="6:7" x14ac:dyDescent="0.2">
      <c r="F2269" s="591">
        <v>2260</v>
      </c>
      <c r="G2269" s="420">
        <f t="shared" ca="1" si="43"/>
        <v>1.8368445205893289E-2</v>
      </c>
    </row>
    <row r="2270" spans="6:7" x14ac:dyDescent="0.2">
      <c r="F2270" s="591">
        <v>2261</v>
      </c>
      <c r="G2270" s="420">
        <f t="shared" ca="1" si="43"/>
        <v>0.16042447625094533</v>
      </c>
    </row>
    <row r="2271" spans="6:7" x14ac:dyDescent="0.2">
      <c r="F2271" s="591">
        <v>2262</v>
      </c>
      <c r="G2271" s="420">
        <f t="shared" ca="1" si="43"/>
        <v>-5.7306714897961686E-3</v>
      </c>
    </row>
    <row r="2272" spans="6:7" x14ac:dyDescent="0.2">
      <c r="F2272" s="591">
        <v>2263</v>
      </c>
      <c r="G2272" s="420">
        <f t="shared" ca="1" si="43"/>
        <v>9.6899797996033224E-2</v>
      </c>
    </row>
    <row r="2273" spans="6:7" x14ac:dyDescent="0.2">
      <c r="F2273" s="591">
        <v>2264</v>
      </c>
      <c r="G2273" s="420">
        <f t="shared" ca="1" si="43"/>
        <v>8.720690944346543E-2</v>
      </c>
    </row>
    <row r="2274" spans="6:7" x14ac:dyDescent="0.2">
      <c r="F2274" s="591">
        <v>2265</v>
      </c>
      <c r="G2274" s="420">
        <f t="shared" ca="1" si="43"/>
        <v>1.2596725430247037E-2</v>
      </c>
    </row>
    <row r="2275" spans="6:7" x14ac:dyDescent="0.2">
      <c r="F2275" s="591">
        <v>2266</v>
      </c>
      <c r="G2275" s="420">
        <f t="shared" ca="1" si="43"/>
        <v>-2.0915490699519246E-2</v>
      </c>
    </row>
    <row r="2276" spans="6:7" x14ac:dyDescent="0.2">
      <c r="F2276" s="591">
        <v>2267</v>
      </c>
      <c r="G2276" s="420">
        <f t="shared" ca="1" si="43"/>
        <v>2.9399354054922992E-2</v>
      </c>
    </row>
    <row r="2277" spans="6:7" x14ac:dyDescent="0.2">
      <c r="F2277" s="591">
        <v>2268</v>
      </c>
      <c r="G2277" s="420">
        <f t="shared" ca="1" si="43"/>
        <v>6.4633150390848965E-2</v>
      </c>
    </row>
    <row r="2278" spans="6:7" x14ac:dyDescent="0.2">
      <c r="F2278" s="591">
        <v>2269</v>
      </c>
      <c r="G2278" s="420">
        <f t="shared" ca="1" si="43"/>
        <v>-2.0970922088985402E-2</v>
      </c>
    </row>
    <row r="2279" spans="6:7" x14ac:dyDescent="0.2">
      <c r="F2279" s="591">
        <v>2270</v>
      </c>
      <c r="G2279" s="420">
        <f t="shared" ca="1" si="43"/>
        <v>2.1112033831652288E-2</v>
      </c>
    </row>
    <row r="2280" spans="6:7" x14ac:dyDescent="0.2">
      <c r="F2280" s="591">
        <v>2271</v>
      </c>
      <c r="G2280" s="420">
        <f t="shared" ca="1" si="43"/>
        <v>7.1416434649519238E-3</v>
      </c>
    </row>
    <row r="2281" spans="6:7" x14ac:dyDescent="0.2">
      <c r="F2281" s="591">
        <v>2272</v>
      </c>
      <c r="G2281" s="420">
        <f t="shared" ca="1" si="43"/>
        <v>-0.14206524106649107</v>
      </c>
    </row>
    <row r="2282" spans="6:7" x14ac:dyDescent="0.2">
      <c r="F2282" s="591">
        <v>2273</v>
      </c>
      <c r="G2282" s="420">
        <f t="shared" ca="1" si="43"/>
        <v>-1.5105181979369459E-2</v>
      </c>
    </row>
    <row r="2283" spans="6:7" x14ac:dyDescent="0.2">
      <c r="F2283" s="591">
        <v>2274</v>
      </c>
      <c r="G2283" s="420">
        <f t="shared" ca="1" si="43"/>
        <v>2.0252967486328675E-2</v>
      </c>
    </row>
    <row r="2284" spans="6:7" x14ac:dyDescent="0.2">
      <c r="F2284" s="591">
        <v>2275</v>
      </c>
      <c r="G2284" s="420">
        <f t="shared" ca="1" si="43"/>
        <v>2.1207870906025376E-2</v>
      </c>
    </row>
    <row r="2285" spans="6:7" x14ac:dyDescent="0.2">
      <c r="F2285" s="591">
        <v>2276</v>
      </c>
      <c r="G2285" s="420">
        <f t="shared" ca="1" si="43"/>
        <v>-2.1917610838078621E-3</v>
      </c>
    </row>
    <row r="2286" spans="6:7" x14ac:dyDescent="0.2">
      <c r="F2286" s="591">
        <v>2277</v>
      </c>
      <c r="G2286" s="420">
        <f t="shared" ca="1" si="43"/>
        <v>-1.4804604586910811E-2</v>
      </c>
    </row>
    <row r="2287" spans="6:7" x14ac:dyDescent="0.2">
      <c r="F2287" s="591">
        <v>2278</v>
      </c>
      <c r="G2287" s="420">
        <f t="shared" ca="1" si="43"/>
        <v>0.17197686695679443</v>
      </c>
    </row>
    <row r="2288" spans="6:7" x14ac:dyDescent="0.2">
      <c r="F2288" s="591">
        <v>2279</v>
      </c>
      <c r="G2288" s="420">
        <f t="shared" ca="1" si="43"/>
        <v>2.6915112296977517E-2</v>
      </c>
    </row>
    <row r="2289" spans="6:7" x14ac:dyDescent="0.2">
      <c r="F2289" s="591">
        <v>2280</v>
      </c>
      <c r="G2289" s="420">
        <f t="shared" ca="1" si="43"/>
        <v>1.8581257025140831E-2</v>
      </c>
    </row>
    <row r="2290" spans="6:7" x14ac:dyDescent="0.2">
      <c r="F2290" s="591">
        <v>2281</v>
      </c>
      <c r="G2290" s="420">
        <f t="shared" ca="1" si="43"/>
        <v>-7.8487655522911856E-3</v>
      </c>
    </row>
    <row r="2291" spans="6:7" x14ac:dyDescent="0.2">
      <c r="F2291" s="591">
        <v>2282</v>
      </c>
      <c r="G2291" s="420">
        <f t="shared" ca="1" si="43"/>
        <v>-2.7692655530799259E-2</v>
      </c>
    </row>
    <row r="2292" spans="6:7" x14ac:dyDescent="0.2">
      <c r="F2292" s="591">
        <v>2283</v>
      </c>
      <c r="G2292" s="420">
        <f t="shared" ca="1" si="43"/>
        <v>3.7645382635877286E-2</v>
      </c>
    </row>
    <row r="2293" spans="6:7" x14ac:dyDescent="0.2">
      <c r="F2293" s="591">
        <v>2284</v>
      </c>
      <c r="G2293" s="420">
        <f t="shared" ca="1" si="43"/>
        <v>-6.6175488027836626E-2</v>
      </c>
    </row>
    <row r="2294" spans="6:7" x14ac:dyDescent="0.2">
      <c r="F2294" s="591">
        <v>2285</v>
      </c>
      <c r="G2294" s="420">
        <f t="shared" ca="1" si="43"/>
        <v>4.5054893283285283E-2</v>
      </c>
    </row>
    <row r="2295" spans="6:7" x14ac:dyDescent="0.2">
      <c r="F2295" s="591">
        <v>2286</v>
      </c>
      <c r="G2295" s="420">
        <f t="shared" ca="1" si="43"/>
        <v>-5.2670623256963103E-2</v>
      </c>
    </row>
    <row r="2296" spans="6:7" x14ac:dyDescent="0.2">
      <c r="F2296" s="591">
        <v>2287</v>
      </c>
      <c r="G2296" s="420">
        <f t="shared" ca="1" si="43"/>
        <v>2.2939007426928719E-2</v>
      </c>
    </row>
    <row r="2297" spans="6:7" x14ac:dyDescent="0.2">
      <c r="F2297" s="591">
        <v>2288</v>
      </c>
      <c r="G2297" s="420">
        <f t="shared" ca="1" si="43"/>
        <v>-1.7379291732200347E-2</v>
      </c>
    </row>
    <row r="2298" spans="6:7" x14ac:dyDescent="0.2">
      <c r="F2298" s="591">
        <v>2289</v>
      </c>
      <c r="G2298" s="420">
        <f t="shared" ca="1" si="43"/>
        <v>-6.5499091341916782E-3</v>
      </c>
    </row>
    <row r="2299" spans="6:7" x14ac:dyDescent="0.2">
      <c r="F2299" s="591">
        <v>2290</v>
      </c>
      <c r="G2299" s="420">
        <f t="shared" ca="1" si="43"/>
        <v>0.20889381622460412</v>
      </c>
    </row>
    <row r="2300" spans="6:7" x14ac:dyDescent="0.2">
      <c r="F2300" s="591">
        <v>2291</v>
      </c>
      <c r="G2300" s="420">
        <f t="shared" ca="1" si="43"/>
        <v>-1.4108363808745486E-2</v>
      </c>
    </row>
    <row r="2301" spans="6:7" x14ac:dyDescent="0.2">
      <c r="F2301" s="591">
        <v>2292</v>
      </c>
      <c r="G2301" s="420">
        <f t="shared" ca="1" si="43"/>
        <v>-8.1478669671147641E-2</v>
      </c>
    </row>
    <row r="2302" spans="6:7" x14ac:dyDescent="0.2">
      <c r="F2302" s="591">
        <v>2293</v>
      </c>
      <c r="G2302" s="420">
        <f t="shared" ca="1" si="43"/>
        <v>7.0500135092862723E-2</v>
      </c>
    </row>
    <row r="2303" spans="6:7" x14ac:dyDescent="0.2">
      <c r="F2303" s="591">
        <v>2294</v>
      </c>
      <c r="G2303" s="420">
        <f t="shared" ca="1" si="43"/>
        <v>-9.0255712793528287E-2</v>
      </c>
    </row>
    <row r="2304" spans="6:7" x14ac:dyDescent="0.2">
      <c r="F2304" s="591">
        <v>2295</v>
      </c>
      <c r="G2304" s="420">
        <f t="shared" ca="1" si="43"/>
        <v>0.10251453431263007</v>
      </c>
    </row>
    <row r="2305" spans="6:7" x14ac:dyDescent="0.2">
      <c r="F2305" s="591">
        <v>2296</v>
      </c>
      <c r="G2305" s="420">
        <f t="shared" ca="1" si="43"/>
        <v>-3.5194929825180556E-3</v>
      </c>
    </row>
    <row r="2306" spans="6:7" x14ac:dyDescent="0.2">
      <c r="F2306" s="591">
        <v>2297</v>
      </c>
      <c r="G2306" s="420">
        <f t="shared" ca="1" si="43"/>
        <v>4.2499577875409568E-2</v>
      </c>
    </row>
    <row r="2307" spans="6:7" x14ac:dyDescent="0.2">
      <c r="F2307" s="591">
        <v>2298</v>
      </c>
      <c r="G2307" s="420">
        <f t="shared" ca="1" si="43"/>
        <v>-5.1063347629366818E-2</v>
      </c>
    </row>
    <row r="2308" spans="6:7" x14ac:dyDescent="0.2">
      <c r="F2308" s="591">
        <v>2299</v>
      </c>
      <c r="G2308" s="420">
        <f t="shared" ca="1" si="43"/>
        <v>7.725116136949893E-2</v>
      </c>
    </row>
    <row r="2309" spans="6:7" x14ac:dyDescent="0.2">
      <c r="F2309" s="591">
        <v>2300</v>
      </c>
      <c r="G2309" s="420">
        <f t="shared" ca="1" si="43"/>
        <v>-7.6507819005321068E-2</v>
      </c>
    </row>
    <row r="2310" spans="6:7" x14ac:dyDescent="0.2">
      <c r="F2310" s="591">
        <v>2301</v>
      </c>
      <c r="G2310" s="420">
        <f t="shared" ca="1" si="43"/>
        <v>9.7829267568004225E-2</v>
      </c>
    </row>
    <row r="2311" spans="6:7" x14ac:dyDescent="0.2">
      <c r="F2311" s="591">
        <v>2302</v>
      </c>
      <c r="G2311" s="420">
        <f t="shared" ca="1" si="43"/>
        <v>4.7071816300078576E-2</v>
      </c>
    </row>
    <row r="2312" spans="6:7" x14ac:dyDescent="0.2">
      <c r="F2312" s="591">
        <v>2303</v>
      </c>
      <c r="G2312" s="420">
        <f t="shared" ca="1" si="43"/>
        <v>-2.0467223156905644E-2</v>
      </c>
    </row>
    <row r="2313" spans="6:7" x14ac:dyDescent="0.2">
      <c r="F2313" s="591">
        <v>2304</v>
      </c>
      <c r="G2313" s="420">
        <f t="shared" ca="1" si="43"/>
        <v>5.6638967476464366E-2</v>
      </c>
    </row>
    <row r="2314" spans="6:7" x14ac:dyDescent="0.2">
      <c r="F2314" s="591">
        <v>2305</v>
      </c>
      <c r="G2314" s="420">
        <f t="shared" ca="1" si="43"/>
        <v>-3.0566981461667562E-2</v>
      </c>
    </row>
    <row r="2315" spans="6:7" x14ac:dyDescent="0.2">
      <c r="F2315" s="591">
        <v>2306</v>
      </c>
      <c r="G2315" s="420">
        <f t="shared" ref="G2315:G2378" ca="1" si="44">_xlfn.NORM.INV(RAND(), $M$11,$M$12)</f>
        <v>0.13545963954257087</v>
      </c>
    </row>
    <row r="2316" spans="6:7" x14ac:dyDescent="0.2">
      <c r="F2316" s="591">
        <v>2307</v>
      </c>
      <c r="G2316" s="420">
        <f t="shared" ca="1" si="44"/>
        <v>-7.2284366400402464E-2</v>
      </c>
    </row>
    <row r="2317" spans="6:7" x14ac:dyDescent="0.2">
      <c r="F2317" s="591">
        <v>2308</v>
      </c>
      <c r="G2317" s="420">
        <f t="shared" ca="1" si="44"/>
        <v>-6.3885574077659393E-2</v>
      </c>
    </row>
    <row r="2318" spans="6:7" x14ac:dyDescent="0.2">
      <c r="F2318" s="591">
        <v>2309</v>
      </c>
      <c r="G2318" s="420">
        <f t="shared" ca="1" si="44"/>
        <v>9.1484021519361941E-2</v>
      </c>
    </row>
    <row r="2319" spans="6:7" x14ac:dyDescent="0.2">
      <c r="F2319" s="591">
        <v>2310</v>
      </c>
      <c r="G2319" s="420">
        <f t="shared" ca="1" si="44"/>
        <v>4.9892758013278568E-2</v>
      </c>
    </row>
    <row r="2320" spans="6:7" x14ac:dyDescent="0.2">
      <c r="F2320" s="591">
        <v>2311</v>
      </c>
      <c r="G2320" s="420">
        <f t="shared" ca="1" si="44"/>
        <v>-5.443657423314345E-2</v>
      </c>
    </row>
    <row r="2321" spans="6:7" x14ac:dyDescent="0.2">
      <c r="F2321" s="591">
        <v>2312</v>
      </c>
      <c r="G2321" s="420">
        <f t="shared" ca="1" si="44"/>
        <v>0.17299622098635201</v>
      </c>
    </row>
    <row r="2322" spans="6:7" x14ac:dyDescent="0.2">
      <c r="F2322" s="591">
        <v>2313</v>
      </c>
      <c r="G2322" s="420">
        <f t="shared" ca="1" si="44"/>
        <v>2.6198366924493399E-2</v>
      </c>
    </row>
    <row r="2323" spans="6:7" x14ac:dyDescent="0.2">
      <c r="F2323" s="591">
        <v>2314</v>
      </c>
      <c r="G2323" s="420">
        <f t="shared" ca="1" si="44"/>
        <v>4.8184455339319324E-2</v>
      </c>
    </row>
    <row r="2324" spans="6:7" x14ac:dyDescent="0.2">
      <c r="F2324" s="591">
        <v>2315</v>
      </c>
      <c r="G2324" s="420">
        <f t="shared" ca="1" si="44"/>
        <v>0.15296393531178462</v>
      </c>
    </row>
    <row r="2325" spans="6:7" x14ac:dyDescent="0.2">
      <c r="F2325" s="591">
        <v>2316</v>
      </c>
      <c r="G2325" s="420">
        <f t="shared" ca="1" si="44"/>
        <v>7.0732703858578702E-2</v>
      </c>
    </row>
    <row r="2326" spans="6:7" x14ac:dyDescent="0.2">
      <c r="F2326" s="591">
        <v>2317</v>
      </c>
      <c r="G2326" s="420">
        <f t="shared" ca="1" si="44"/>
        <v>-7.2417778997626789E-3</v>
      </c>
    </row>
    <row r="2327" spans="6:7" x14ac:dyDescent="0.2">
      <c r="F2327" s="591">
        <v>2318</v>
      </c>
      <c r="G2327" s="420">
        <f t="shared" ca="1" si="44"/>
        <v>-4.7213526369916436E-2</v>
      </c>
    </row>
    <row r="2328" spans="6:7" x14ac:dyDescent="0.2">
      <c r="F2328" s="591">
        <v>2319</v>
      </c>
      <c r="G2328" s="420">
        <f t="shared" ca="1" si="44"/>
        <v>-1.6348115642882646E-2</v>
      </c>
    </row>
    <row r="2329" spans="6:7" x14ac:dyDescent="0.2">
      <c r="F2329" s="591">
        <v>2320</v>
      </c>
      <c r="G2329" s="420">
        <f t="shared" ca="1" si="44"/>
        <v>1.6884486077441519E-2</v>
      </c>
    </row>
    <row r="2330" spans="6:7" x14ac:dyDescent="0.2">
      <c r="F2330" s="591">
        <v>2321</v>
      </c>
      <c r="G2330" s="420">
        <f t="shared" ca="1" si="44"/>
        <v>4.4560657713863583E-2</v>
      </c>
    </row>
    <row r="2331" spans="6:7" x14ac:dyDescent="0.2">
      <c r="F2331" s="591">
        <v>2322</v>
      </c>
      <c r="G2331" s="420">
        <f t="shared" ca="1" si="44"/>
        <v>1.5443725983312798E-2</v>
      </c>
    </row>
    <row r="2332" spans="6:7" x14ac:dyDescent="0.2">
      <c r="F2332" s="591">
        <v>2323</v>
      </c>
      <c r="G2332" s="420">
        <f t="shared" ca="1" si="44"/>
        <v>-1.8039809998910111E-2</v>
      </c>
    </row>
    <row r="2333" spans="6:7" x14ac:dyDescent="0.2">
      <c r="F2333" s="591">
        <v>2324</v>
      </c>
      <c r="G2333" s="420">
        <f t="shared" ca="1" si="44"/>
        <v>-8.3159397071308101E-3</v>
      </c>
    </row>
    <row r="2334" spans="6:7" x14ac:dyDescent="0.2">
      <c r="F2334" s="591">
        <v>2325</v>
      </c>
      <c r="G2334" s="420">
        <f t="shared" ca="1" si="44"/>
        <v>2.2391868415196307E-3</v>
      </c>
    </row>
    <row r="2335" spans="6:7" x14ac:dyDescent="0.2">
      <c r="F2335" s="591">
        <v>2326</v>
      </c>
      <c r="G2335" s="420">
        <f t="shared" ca="1" si="44"/>
        <v>0.11978658479693965</v>
      </c>
    </row>
    <row r="2336" spans="6:7" x14ac:dyDescent="0.2">
      <c r="F2336" s="591">
        <v>2327</v>
      </c>
      <c r="G2336" s="420">
        <f t="shared" ca="1" si="44"/>
        <v>-7.9241017213126777E-2</v>
      </c>
    </row>
    <row r="2337" spans="6:7" x14ac:dyDescent="0.2">
      <c r="F2337" s="591">
        <v>2328</v>
      </c>
      <c r="G2337" s="420">
        <f t="shared" ca="1" si="44"/>
        <v>-4.2956521258211172E-2</v>
      </c>
    </row>
    <row r="2338" spans="6:7" x14ac:dyDescent="0.2">
      <c r="F2338" s="591">
        <v>2329</v>
      </c>
      <c r="G2338" s="420">
        <f t="shared" ca="1" si="44"/>
        <v>-0.14376231202878997</v>
      </c>
    </row>
    <row r="2339" spans="6:7" x14ac:dyDescent="0.2">
      <c r="F2339" s="591">
        <v>2330</v>
      </c>
      <c r="G2339" s="420">
        <f t="shared" ca="1" si="44"/>
        <v>-4.5884825105977529E-3</v>
      </c>
    </row>
    <row r="2340" spans="6:7" x14ac:dyDescent="0.2">
      <c r="F2340" s="591">
        <v>2331</v>
      </c>
      <c r="G2340" s="420">
        <f t="shared" ca="1" si="44"/>
        <v>6.8870920671081429E-4</v>
      </c>
    </row>
    <row r="2341" spans="6:7" x14ac:dyDescent="0.2">
      <c r="F2341" s="591">
        <v>2332</v>
      </c>
      <c r="G2341" s="420">
        <f t="shared" ca="1" si="44"/>
        <v>-1.2245708918142296E-2</v>
      </c>
    </row>
    <row r="2342" spans="6:7" x14ac:dyDescent="0.2">
      <c r="F2342" s="591">
        <v>2333</v>
      </c>
      <c r="G2342" s="420">
        <f t="shared" ca="1" si="44"/>
        <v>7.0258226656737477E-2</v>
      </c>
    </row>
    <row r="2343" spans="6:7" x14ac:dyDescent="0.2">
      <c r="F2343" s="591">
        <v>2334</v>
      </c>
      <c r="G2343" s="420">
        <f t="shared" ca="1" si="44"/>
        <v>-4.3467470564943711E-2</v>
      </c>
    </row>
    <row r="2344" spans="6:7" x14ac:dyDescent="0.2">
      <c r="F2344" s="591">
        <v>2335</v>
      </c>
      <c r="G2344" s="420">
        <f t="shared" ca="1" si="44"/>
        <v>1.1669403668332457E-2</v>
      </c>
    </row>
    <row r="2345" spans="6:7" x14ac:dyDescent="0.2">
      <c r="F2345" s="591">
        <v>2336</v>
      </c>
      <c r="G2345" s="420">
        <f t="shared" ca="1" si="44"/>
        <v>4.5021926681132113E-2</v>
      </c>
    </row>
    <row r="2346" spans="6:7" x14ac:dyDescent="0.2">
      <c r="F2346" s="591">
        <v>2337</v>
      </c>
      <c r="G2346" s="420">
        <f t="shared" ca="1" si="44"/>
        <v>2.5761898026087086E-2</v>
      </c>
    </row>
    <row r="2347" spans="6:7" x14ac:dyDescent="0.2">
      <c r="F2347" s="591">
        <v>2338</v>
      </c>
      <c r="G2347" s="420">
        <f t="shared" ca="1" si="44"/>
        <v>-0.1108606640660046</v>
      </c>
    </row>
    <row r="2348" spans="6:7" x14ac:dyDescent="0.2">
      <c r="F2348" s="591">
        <v>2339</v>
      </c>
      <c r="G2348" s="420">
        <f t="shared" ca="1" si="44"/>
        <v>3.6959542058899161E-2</v>
      </c>
    </row>
    <row r="2349" spans="6:7" x14ac:dyDescent="0.2">
      <c r="F2349" s="591">
        <v>2340</v>
      </c>
      <c r="G2349" s="420">
        <f t="shared" ca="1" si="44"/>
        <v>0.17445874270943126</v>
      </c>
    </row>
    <row r="2350" spans="6:7" x14ac:dyDescent="0.2">
      <c r="F2350" s="591">
        <v>2341</v>
      </c>
      <c r="G2350" s="420">
        <f t="shared" ca="1" si="44"/>
        <v>0.13711435395068494</v>
      </c>
    </row>
    <row r="2351" spans="6:7" x14ac:dyDescent="0.2">
      <c r="F2351" s="591">
        <v>2342</v>
      </c>
      <c r="G2351" s="420">
        <f t="shared" ca="1" si="44"/>
        <v>1.758006162481798E-2</v>
      </c>
    </row>
    <row r="2352" spans="6:7" x14ac:dyDescent="0.2">
      <c r="F2352" s="591">
        <v>2343</v>
      </c>
      <c r="G2352" s="420">
        <f t="shared" ca="1" si="44"/>
        <v>5.6768400739678815E-2</v>
      </c>
    </row>
    <row r="2353" spans="6:7" x14ac:dyDescent="0.2">
      <c r="F2353" s="591">
        <v>2344</v>
      </c>
      <c r="G2353" s="420">
        <f t="shared" ca="1" si="44"/>
        <v>5.7962931505090992E-2</v>
      </c>
    </row>
    <row r="2354" spans="6:7" x14ac:dyDescent="0.2">
      <c r="F2354" s="591">
        <v>2345</v>
      </c>
      <c r="G2354" s="420">
        <f t="shared" ca="1" si="44"/>
        <v>7.4229485814247598E-2</v>
      </c>
    </row>
    <row r="2355" spans="6:7" x14ac:dyDescent="0.2">
      <c r="F2355" s="591">
        <v>2346</v>
      </c>
      <c r="G2355" s="420">
        <f t="shared" ca="1" si="44"/>
        <v>7.8004994885252518E-2</v>
      </c>
    </row>
    <row r="2356" spans="6:7" x14ac:dyDescent="0.2">
      <c r="F2356" s="591">
        <v>2347</v>
      </c>
      <c r="G2356" s="420">
        <f t="shared" ca="1" si="44"/>
        <v>-4.1634295701021506E-2</v>
      </c>
    </row>
    <row r="2357" spans="6:7" x14ac:dyDescent="0.2">
      <c r="F2357" s="591">
        <v>2348</v>
      </c>
      <c r="G2357" s="420">
        <f t="shared" ca="1" si="44"/>
        <v>-4.2121524546790037E-2</v>
      </c>
    </row>
    <row r="2358" spans="6:7" x14ac:dyDescent="0.2">
      <c r="F2358" s="591">
        <v>2349</v>
      </c>
      <c r="G2358" s="420">
        <f t="shared" ca="1" si="44"/>
        <v>-3.3080247112845976E-2</v>
      </c>
    </row>
    <row r="2359" spans="6:7" x14ac:dyDescent="0.2">
      <c r="F2359" s="591">
        <v>2350</v>
      </c>
      <c r="G2359" s="420">
        <f t="shared" ca="1" si="44"/>
        <v>9.7659959157609083E-2</v>
      </c>
    </row>
    <row r="2360" spans="6:7" x14ac:dyDescent="0.2">
      <c r="F2360" s="591">
        <v>2351</v>
      </c>
      <c r="G2360" s="420">
        <f t="shared" ca="1" si="44"/>
        <v>2.7320992217439794E-2</v>
      </c>
    </row>
    <row r="2361" spans="6:7" x14ac:dyDescent="0.2">
      <c r="F2361" s="591">
        <v>2352</v>
      </c>
      <c r="G2361" s="420">
        <f t="shared" ca="1" si="44"/>
        <v>-6.6174349158683948E-2</v>
      </c>
    </row>
    <row r="2362" spans="6:7" x14ac:dyDescent="0.2">
      <c r="F2362" s="591">
        <v>2353</v>
      </c>
      <c r="G2362" s="420">
        <f t="shared" ca="1" si="44"/>
        <v>7.1784637093095113E-2</v>
      </c>
    </row>
    <row r="2363" spans="6:7" x14ac:dyDescent="0.2">
      <c r="F2363" s="591">
        <v>2354</v>
      </c>
      <c r="G2363" s="420">
        <f t="shared" ca="1" si="44"/>
        <v>5.9882967756116215E-3</v>
      </c>
    </row>
    <row r="2364" spans="6:7" x14ac:dyDescent="0.2">
      <c r="F2364" s="591">
        <v>2355</v>
      </c>
      <c r="G2364" s="420">
        <f t="shared" ca="1" si="44"/>
        <v>-0.10501259748716436</v>
      </c>
    </row>
    <row r="2365" spans="6:7" x14ac:dyDescent="0.2">
      <c r="F2365" s="591">
        <v>2356</v>
      </c>
      <c r="G2365" s="420">
        <f t="shared" ca="1" si="44"/>
        <v>0.13355740567713342</v>
      </c>
    </row>
    <row r="2366" spans="6:7" x14ac:dyDescent="0.2">
      <c r="F2366" s="591">
        <v>2357</v>
      </c>
      <c r="G2366" s="420">
        <f t="shared" ca="1" si="44"/>
        <v>-0.12898297587257135</v>
      </c>
    </row>
    <row r="2367" spans="6:7" x14ac:dyDescent="0.2">
      <c r="F2367" s="591">
        <v>2358</v>
      </c>
      <c r="G2367" s="420">
        <f t="shared" ca="1" si="44"/>
        <v>0.10883671929763811</v>
      </c>
    </row>
    <row r="2368" spans="6:7" x14ac:dyDescent="0.2">
      <c r="F2368" s="591">
        <v>2359</v>
      </c>
      <c r="G2368" s="420">
        <f t="shared" ca="1" si="44"/>
        <v>1.9121370328838962E-2</v>
      </c>
    </row>
    <row r="2369" spans="6:7" x14ac:dyDescent="0.2">
      <c r="F2369" s="591">
        <v>2360</v>
      </c>
      <c r="G2369" s="420">
        <f t="shared" ca="1" si="44"/>
        <v>0.15909775637994722</v>
      </c>
    </row>
    <row r="2370" spans="6:7" x14ac:dyDescent="0.2">
      <c r="F2370" s="591">
        <v>2361</v>
      </c>
      <c r="G2370" s="420">
        <f t="shared" ca="1" si="44"/>
        <v>-3.5926587971196397E-2</v>
      </c>
    </row>
    <row r="2371" spans="6:7" x14ac:dyDescent="0.2">
      <c r="F2371" s="591">
        <v>2362</v>
      </c>
      <c r="G2371" s="420">
        <f t="shared" ca="1" si="44"/>
        <v>-8.2634084385938833E-3</v>
      </c>
    </row>
    <row r="2372" spans="6:7" x14ac:dyDescent="0.2">
      <c r="F2372" s="591">
        <v>2363</v>
      </c>
      <c r="G2372" s="420">
        <f t="shared" ca="1" si="44"/>
        <v>0.13552832668117848</v>
      </c>
    </row>
    <row r="2373" spans="6:7" x14ac:dyDescent="0.2">
      <c r="F2373" s="591">
        <v>2364</v>
      </c>
      <c r="G2373" s="420">
        <f t="shared" ca="1" si="44"/>
        <v>-0.10132324253226997</v>
      </c>
    </row>
    <row r="2374" spans="6:7" x14ac:dyDescent="0.2">
      <c r="F2374" s="591">
        <v>2365</v>
      </c>
      <c r="G2374" s="420">
        <f t="shared" ca="1" si="44"/>
        <v>-1.4953424529242854E-2</v>
      </c>
    </row>
    <row r="2375" spans="6:7" x14ac:dyDescent="0.2">
      <c r="F2375" s="591">
        <v>2366</v>
      </c>
      <c r="G2375" s="420">
        <f t="shared" ca="1" si="44"/>
        <v>-5.3616919452589618E-2</v>
      </c>
    </row>
    <row r="2376" spans="6:7" x14ac:dyDescent="0.2">
      <c r="F2376" s="591">
        <v>2367</v>
      </c>
      <c r="G2376" s="420">
        <f t="shared" ca="1" si="44"/>
        <v>-5.6523533299127918E-2</v>
      </c>
    </row>
    <row r="2377" spans="6:7" x14ac:dyDescent="0.2">
      <c r="F2377" s="591">
        <v>2368</v>
      </c>
      <c r="G2377" s="420">
        <f t="shared" ca="1" si="44"/>
        <v>-3.4358321256980351E-2</v>
      </c>
    </row>
    <row r="2378" spans="6:7" x14ac:dyDescent="0.2">
      <c r="F2378" s="591">
        <v>2369</v>
      </c>
      <c r="G2378" s="420">
        <f t="shared" ca="1" si="44"/>
        <v>0.1640688757130459</v>
      </c>
    </row>
    <row r="2379" spans="6:7" x14ac:dyDescent="0.2">
      <c r="F2379" s="591">
        <v>2370</v>
      </c>
      <c r="G2379" s="420">
        <f t="shared" ref="G2379:G2442" ca="1" si="45">_xlfn.NORM.INV(RAND(), $M$11,$M$12)</f>
        <v>-1.7719806394788262E-2</v>
      </c>
    </row>
    <row r="2380" spans="6:7" x14ac:dyDescent="0.2">
      <c r="F2380" s="591">
        <v>2371</v>
      </c>
      <c r="G2380" s="420">
        <f t="shared" ca="1" si="45"/>
        <v>3.3052530555524415E-2</v>
      </c>
    </row>
    <row r="2381" spans="6:7" x14ac:dyDescent="0.2">
      <c r="F2381" s="591">
        <v>2372</v>
      </c>
      <c r="G2381" s="420">
        <f t="shared" ca="1" si="45"/>
        <v>7.7219394655495724E-2</v>
      </c>
    </row>
    <row r="2382" spans="6:7" x14ac:dyDescent="0.2">
      <c r="F2382" s="591">
        <v>2373</v>
      </c>
      <c r="G2382" s="420">
        <f t="shared" ca="1" si="45"/>
        <v>2.0586303511623945E-2</v>
      </c>
    </row>
    <row r="2383" spans="6:7" x14ac:dyDescent="0.2">
      <c r="F2383" s="591">
        <v>2374</v>
      </c>
      <c r="G2383" s="420">
        <f t="shared" ca="1" si="45"/>
        <v>3.9247445624257242E-2</v>
      </c>
    </row>
    <row r="2384" spans="6:7" x14ac:dyDescent="0.2">
      <c r="F2384" s="591">
        <v>2375</v>
      </c>
      <c r="G2384" s="420">
        <f t="shared" ca="1" si="45"/>
        <v>1.7798126912097742E-2</v>
      </c>
    </row>
    <row r="2385" spans="6:7" x14ac:dyDescent="0.2">
      <c r="F2385" s="591">
        <v>2376</v>
      </c>
      <c r="G2385" s="420">
        <f t="shared" ca="1" si="45"/>
        <v>5.2430516225210097E-2</v>
      </c>
    </row>
    <row r="2386" spans="6:7" x14ac:dyDescent="0.2">
      <c r="F2386" s="591">
        <v>2377</v>
      </c>
      <c r="G2386" s="420">
        <f t="shared" ca="1" si="45"/>
        <v>3.8295315421881929E-2</v>
      </c>
    </row>
    <row r="2387" spans="6:7" x14ac:dyDescent="0.2">
      <c r="F2387" s="591">
        <v>2378</v>
      </c>
      <c r="G2387" s="420">
        <f t="shared" ca="1" si="45"/>
        <v>9.1894574398836262E-2</v>
      </c>
    </row>
    <row r="2388" spans="6:7" x14ac:dyDescent="0.2">
      <c r="F2388" s="591">
        <v>2379</v>
      </c>
      <c r="G2388" s="420">
        <f t="shared" ca="1" si="45"/>
        <v>6.9074877780970378E-2</v>
      </c>
    </row>
    <row r="2389" spans="6:7" x14ac:dyDescent="0.2">
      <c r="F2389" s="591">
        <v>2380</v>
      </c>
      <c r="G2389" s="420">
        <f t="shared" ca="1" si="45"/>
        <v>9.9710852135281455E-2</v>
      </c>
    </row>
    <row r="2390" spans="6:7" x14ac:dyDescent="0.2">
      <c r="F2390" s="591">
        <v>2381</v>
      </c>
      <c r="G2390" s="420">
        <f t="shared" ca="1" si="45"/>
        <v>2.3466009163690325E-2</v>
      </c>
    </row>
    <row r="2391" spans="6:7" x14ac:dyDescent="0.2">
      <c r="F2391" s="591">
        <v>2382</v>
      </c>
      <c r="G2391" s="420">
        <f t="shared" ca="1" si="45"/>
        <v>6.8827364392578153E-2</v>
      </c>
    </row>
    <row r="2392" spans="6:7" x14ac:dyDescent="0.2">
      <c r="F2392" s="591">
        <v>2383</v>
      </c>
      <c r="G2392" s="420">
        <f t="shared" ca="1" si="45"/>
        <v>4.3157415785228276E-2</v>
      </c>
    </row>
    <row r="2393" spans="6:7" x14ac:dyDescent="0.2">
      <c r="F2393" s="591">
        <v>2384</v>
      </c>
      <c r="G2393" s="420">
        <f t="shared" ca="1" si="45"/>
        <v>7.3683537155396758E-2</v>
      </c>
    </row>
    <row r="2394" spans="6:7" x14ac:dyDescent="0.2">
      <c r="F2394" s="591">
        <v>2385</v>
      </c>
      <c r="G2394" s="420">
        <f t="shared" ca="1" si="45"/>
        <v>0.13324761851235997</v>
      </c>
    </row>
    <row r="2395" spans="6:7" x14ac:dyDescent="0.2">
      <c r="F2395" s="591">
        <v>2386</v>
      </c>
      <c r="G2395" s="420">
        <f t="shared" ca="1" si="45"/>
        <v>-3.4919626823033012E-2</v>
      </c>
    </row>
    <row r="2396" spans="6:7" x14ac:dyDescent="0.2">
      <c r="F2396" s="591">
        <v>2387</v>
      </c>
      <c r="G2396" s="420">
        <f t="shared" ca="1" si="45"/>
        <v>9.0212642813071453E-3</v>
      </c>
    </row>
    <row r="2397" spans="6:7" x14ac:dyDescent="0.2">
      <c r="F2397" s="591">
        <v>2388</v>
      </c>
      <c r="G2397" s="420">
        <f t="shared" ca="1" si="45"/>
        <v>-0.12186976365750417</v>
      </c>
    </row>
    <row r="2398" spans="6:7" x14ac:dyDescent="0.2">
      <c r="F2398" s="591">
        <v>2389</v>
      </c>
      <c r="G2398" s="420">
        <f t="shared" ca="1" si="45"/>
        <v>0.10511689193056373</v>
      </c>
    </row>
    <row r="2399" spans="6:7" x14ac:dyDescent="0.2">
      <c r="F2399" s="591">
        <v>2390</v>
      </c>
      <c r="G2399" s="420">
        <f t="shared" ca="1" si="45"/>
        <v>5.6019394736251032E-2</v>
      </c>
    </row>
    <row r="2400" spans="6:7" x14ac:dyDescent="0.2">
      <c r="F2400" s="591">
        <v>2391</v>
      </c>
      <c r="G2400" s="420">
        <f t="shared" ca="1" si="45"/>
        <v>3.6104820063505988E-2</v>
      </c>
    </row>
    <row r="2401" spans="6:7" x14ac:dyDescent="0.2">
      <c r="F2401" s="591">
        <v>2392</v>
      </c>
      <c r="G2401" s="420">
        <f t="shared" ca="1" si="45"/>
        <v>7.4066741207675313E-2</v>
      </c>
    </row>
    <row r="2402" spans="6:7" x14ac:dyDescent="0.2">
      <c r="F2402" s="591">
        <v>2393</v>
      </c>
      <c r="G2402" s="420">
        <f t="shared" ca="1" si="45"/>
        <v>-1.6135905446219324E-4</v>
      </c>
    </row>
    <row r="2403" spans="6:7" x14ac:dyDescent="0.2">
      <c r="F2403" s="591">
        <v>2394</v>
      </c>
      <c r="G2403" s="420">
        <f t="shared" ca="1" si="45"/>
        <v>1.8469540348503698E-2</v>
      </c>
    </row>
    <row r="2404" spans="6:7" x14ac:dyDescent="0.2">
      <c r="F2404" s="591">
        <v>2395</v>
      </c>
      <c r="G2404" s="420">
        <f t="shared" ca="1" si="45"/>
        <v>3.9268271532302529E-2</v>
      </c>
    </row>
    <row r="2405" spans="6:7" x14ac:dyDescent="0.2">
      <c r="F2405" s="591">
        <v>2396</v>
      </c>
      <c r="G2405" s="420">
        <f t="shared" ca="1" si="45"/>
        <v>-3.5513518961403479E-2</v>
      </c>
    </row>
    <row r="2406" spans="6:7" x14ac:dyDescent="0.2">
      <c r="F2406" s="591">
        <v>2397</v>
      </c>
      <c r="G2406" s="420">
        <f t="shared" ca="1" si="45"/>
        <v>5.0732328427284368E-2</v>
      </c>
    </row>
    <row r="2407" spans="6:7" x14ac:dyDescent="0.2">
      <c r="F2407" s="591">
        <v>2398</v>
      </c>
      <c r="G2407" s="420">
        <f t="shared" ca="1" si="45"/>
        <v>-7.6432213606743724E-2</v>
      </c>
    </row>
    <row r="2408" spans="6:7" x14ac:dyDescent="0.2">
      <c r="F2408" s="591">
        <v>2399</v>
      </c>
      <c r="G2408" s="420">
        <f t="shared" ca="1" si="45"/>
        <v>-0.10145096962326154</v>
      </c>
    </row>
    <row r="2409" spans="6:7" x14ac:dyDescent="0.2">
      <c r="F2409" s="591">
        <v>2400</v>
      </c>
      <c r="G2409" s="420">
        <f t="shared" ca="1" si="45"/>
        <v>4.5138561608513098E-3</v>
      </c>
    </row>
    <row r="2410" spans="6:7" x14ac:dyDescent="0.2">
      <c r="F2410" s="591">
        <v>2401</v>
      </c>
      <c r="G2410" s="420">
        <f t="shared" ca="1" si="45"/>
        <v>-2.0736375606708757E-3</v>
      </c>
    </row>
    <row r="2411" spans="6:7" x14ac:dyDescent="0.2">
      <c r="F2411" s="591">
        <v>2402</v>
      </c>
      <c r="G2411" s="420">
        <f t="shared" ca="1" si="45"/>
        <v>2.0213128251962614E-2</v>
      </c>
    </row>
    <row r="2412" spans="6:7" x14ac:dyDescent="0.2">
      <c r="F2412" s="591">
        <v>2403</v>
      </c>
      <c r="G2412" s="420">
        <f t="shared" ca="1" si="45"/>
        <v>2.4901814079525925E-2</v>
      </c>
    </row>
    <row r="2413" spans="6:7" x14ac:dyDescent="0.2">
      <c r="F2413" s="591">
        <v>2404</v>
      </c>
      <c r="G2413" s="420">
        <f t="shared" ca="1" si="45"/>
        <v>-2.297032011408787E-2</v>
      </c>
    </row>
    <row r="2414" spans="6:7" x14ac:dyDescent="0.2">
      <c r="F2414" s="591">
        <v>2405</v>
      </c>
      <c r="G2414" s="420">
        <f t="shared" ca="1" si="45"/>
        <v>-0.11139416184415199</v>
      </c>
    </row>
    <row r="2415" spans="6:7" x14ac:dyDescent="0.2">
      <c r="F2415" s="591">
        <v>2406</v>
      </c>
      <c r="G2415" s="420">
        <f t="shared" ca="1" si="45"/>
        <v>3.8067784659897186E-2</v>
      </c>
    </row>
    <row r="2416" spans="6:7" x14ac:dyDescent="0.2">
      <c r="F2416" s="591">
        <v>2407</v>
      </c>
      <c r="G2416" s="420">
        <f t="shared" ca="1" si="45"/>
        <v>-2.7648380642319521E-2</v>
      </c>
    </row>
    <row r="2417" spans="6:7" x14ac:dyDescent="0.2">
      <c r="F2417" s="591">
        <v>2408</v>
      </c>
      <c r="G2417" s="420">
        <f t="shared" ca="1" si="45"/>
        <v>-1.1435810065982363E-2</v>
      </c>
    </row>
    <row r="2418" spans="6:7" x14ac:dyDescent="0.2">
      <c r="F2418" s="591">
        <v>2409</v>
      </c>
      <c r="G2418" s="420">
        <f t="shared" ca="1" si="45"/>
        <v>-9.6005293174055192E-2</v>
      </c>
    </row>
    <row r="2419" spans="6:7" x14ac:dyDescent="0.2">
      <c r="F2419" s="591">
        <v>2410</v>
      </c>
      <c r="G2419" s="420">
        <f t="shared" ca="1" si="45"/>
        <v>-5.4596031254835156E-2</v>
      </c>
    </row>
    <row r="2420" spans="6:7" x14ac:dyDescent="0.2">
      <c r="F2420" s="591">
        <v>2411</v>
      </c>
      <c r="G2420" s="420">
        <f t="shared" ca="1" si="45"/>
        <v>-4.2174985453009087E-2</v>
      </c>
    </row>
    <row r="2421" spans="6:7" x14ac:dyDescent="0.2">
      <c r="F2421" s="591">
        <v>2412</v>
      </c>
      <c r="G2421" s="420">
        <f t="shared" ca="1" si="45"/>
        <v>-4.4408543987274007E-2</v>
      </c>
    </row>
    <row r="2422" spans="6:7" x14ac:dyDescent="0.2">
      <c r="F2422" s="591">
        <v>2413</v>
      </c>
      <c r="G2422" s="420">
        <f t="shared" ca="1" si="45"/>
        <v>9.3828368050094899E-3</v>
      </c>
    </row>
    <row r="2423" spans="6:7" x14ac:dyDescent="0.2">
      <c r="F2423" s="591">
        <v>2414</v>
      </c>
      <c r="G2423" s="420">
        <f t="shared" ca="1" si="45"/>
        <v>6.5223066816056025E-2</v>
      </c>
    </row>
    <row r="2424" spans="6:7" x14ac:dyDescent="0.2">
      <c r="F2424" s="591">
        <v>2415</v>
      </c>
      <c r="G2424" s="420">
        <f t="shared" ca="1" si="45"/>
        <v>-5.0939882673119774E-2</v>
      </c>
    </row>
    <row r="2425" spans="6:7" x14ac:dyDescent="0.2">
      <c r="F2425" s="591">
        <v>2416</v>
      </c>
      <c r="G2425" s="420">
        <f t="shared" ca="1" si="45"/>
        <v>6.2421527903751592E-2</v>
      </c>
    </row>
    <row r="2426" spans="6:7" x14ac:dyDescent="0.2">
      <c r="F2426" s="591">
        <v>2417</v>
      </c>
      <c r="G2426" s="420">
        <f t="shared" ca="1" si="45"/>
        <v>-1.0437733947101888E-2</v>
      </c>
    </row>
    <row r="2427" spans="6:7" x14ac:dyDescent="0.2">
      <c r="F2427" s="591">
        <v>2418</v>
      </c>
      <c r="G2427" s="420">
        <f t="shared" ca="1" si="45"/>
        <v>1.5647604315710009E-2</v>
      </c>
    </row>
    <row r="2428" spans="6:7" x14ac:dyDescent="0.2">
      <c r="F2428" s="591">
        <v>2419</v>
      </c>
      <c r="G2428" s="420">
        <f t="shared" ca="1" si="45"/>
        <v>-1.4318749245411488E-2</v>
      </c>
    </row>
    <row r="2429" spans="6:7" x14ac:dyDescent="0.2">
      <c r="F2429" s="591">
        <v>2420</v>
      </c>
      <c r="G2429" s="420">
        <f t="shared" ca="1" si="45"/>
        <v>6.2223831948238814E-2</v>
      </c>
    </row>
    <row r="2430" spans="6:7" x14ac:dyDescent="0.2">
      <c r="F2430" s="591">
        <v>2421</v>
      </c>
      <c r="G2430" s="420">
        <f t="shared" ca="1" si="45"/>
        <v>-4.0678292828508045E-2</v>
      </c>
    </row>
    <row r="2431" spans="6:7" x14ac:dyDescent="0.2">
      <c r="F2431" s="591">
        <v>2422</v>
      </c>
      <c r="G2431" s="420">
        <f t="shared" ca="1" si="45"/>
        <v>-6.8055757680211867E-2</v>
      </c>
    </row>
    <row r="2432" spans="6:7" x14ac:dyDescent="0.2">
      <c r="F2432" s="591">
        <v>2423</v>
      </c>
      <c r="G2432" s="420">
        <f t="shared" ca="1" si="45"/>
        <v>6.9465420056930585E-2</v>
      </c>
    </row>
    <row r="2433" spans="6:7" x14ac:dyDescent="0.2">
      <c r="F2433" s="591">
        <v>2424</v>
      </c>
      <c r="G2433" s="420">
        <f t="shared" ca="1" si="45"/>
        <v>5.4133445725782922E-2</v>
      </c>
    </row>
    <row r="2434" spans="6:7" x14ac:dyDescent="0.2">
      <c r="F2434" s="591">
        <v>2425</v>
      </c>
      <c r="G2434" s="420">
        <f t="shared" ca="1" si="45"/>
        <v>-8.3671033439780718E-2</v>
      </c>
    </row>
    <row r="2435" spans="6:7" x14ac:dyDescent="0.2">
      <c r="F2435" s="591">
        <v>2426</v>
      </c>
      <c r="G2435" s="420">
        <f t="shared" ca="1" si="45"/>
        <v>0.26792744713208333</v>
      </c>
    </row>
    <row r="2436" spans="6:7" x14ac:dyDescent="0.2">
      <c r="F2436" s="591">
        <v>2427</v>
      </c>
      <c r="G2436" s="420">
        <f t="shared" ca="1" si="45"/>
        <v>-0.10062671072432276</v>
      </c>
    </row>
    <row r="2437" spans="6:7" x14ac:dyDescent="0.2">
      <c r="F2437" s="591">
        <v>2428</v>
      </c>
      <c r="G2437" s="420">
        <f t="shared" ca="1" si="45"/>
        <v>-2.8304171185099033E-2</v>
      </c>
    </row>
    <row r="2438" spans="6:7" x14ac:dyDescent="0.2">
      <c r="F2438" s="591">
        <v>2429</v>
      </c>
      <c r="G2438" s="420">
        <f t="shared" ca="1" si="45"/>
        <v>-4.7603273592228698E-2</v>
      </c>
    </row>
    <row r="2439" spans="6:7" x14ac:dyDescent="0.2">
      <c r="F2439" s="591">
        <v>2430</v>
      </c>
      <c r="G2439" s="420">
        <f t="shared" ca="1" si="45"/>
        <v>9.0092668383186636E-2</v>
      </c>
    </row>
    <row r="2440" spans="6:7" x14ac:dyDescent="0.2">
      <c r="F2440" s="591">
        <v>2431</v>
      </c>
      <c r="G2440" s="420">
        <f t="shared" ca="1" si="45"/>
        <v>-8.4904685582278136E-2</v>
      </c>
    </row>
    <row r="2441" spans="6:7" x14ac:dyDescent="0.2">
      <c r="F2441" s="591">
        <v>2432</v>
      </c>
      <c r="G2441" s="420">
        <f t="shared" ca="1" si="45"/>
        <v>6.338465787176556E-2</v>
      </c>
    </row>
    <row r="2442" spans="6:7" x14ac:dyDescent="0.2">
      <c r="F2442" s="591">
        <v>2433</v>
      </c>
      <c r="G2442" s="420">
        <f t="shared" ca="1" si="45"/>
        <v>-5.5506074907219413E-2</v>
      </c>
    </row>
    <row r="2443" spans="6:7" x14ac:dyDescent="0.2">
      <c r="F2443" s="591">
        <v>2434</v>
      </c>
      <c r="G2443" s="420">
        <f t="shared" ref="G2443:G2506" ca="1" si="46">_xlfn.NORM.INV(RAND(), $M$11,$M$12)</f>
        <v>-0.10326901910612582</v>
      </c>
    </row>
    <row r="2444" spans="6:7" x14ac:dyDescent="0.2">
      <c r="F2444" s="591">
        <v>2435</v>
      </c>
      <c r="G2444" s="420">
        <f t="shared" ca="1" si="46"/>
        <v>7.3073096642986279E-3</v>
      </c>
    </row>
    <row r="2445" spans="6:7" x14ac:dyDescent="0.2">
      <c r="F2445" s="591">
        <v>2436</v>
      </c>
      <c r="G2445" s="420">
        <f t="shared" ca="1" si="46"/>
        <v>0.16277137684005552</v>
      </c>
    </row>
    <row r="2446" spans="6:7" x14ac:dyDescent="0.2">
      <c r="F2446" s="591">
        <v>2437</v>
      </c>
      <c r="G2446" s="420">
        <f t="shared" ca="1" si="46"/>
        <v>-8.3090590046570635E-3</v>
      </c>
    </row>
    <row r="2447" spans="6:7" x14ac:dyDescent="0.2">
      <c r="F2447" s="591">
        <v>2438</v>
      </c>
      <c r="G2447" s="420">
        <f t="shared" ca="1" si="46"/>
        <v>0.11126166793931323</v>
      </c>
    </row>
    <row r="2448" spans="6:7" x14ac:dyDescent="0.2">
      <c r="F2448" s="591">
        <v>2439</v>
      </c>
      <c r="G2448" s="420">
        <f t="shared" ca="1" si="46"/>
        <v>9.0622440069109272E-2</v>
      </c>
    </row>
    <row r="2449" spans="6:7" x14ac:dyDescent="0.2">
      <c r="F2449" s="591">
        <v>2440</v>
      </c>
      <c r="G2449" s="420">
        <f t="shared" ca="1" si="46"/>
        <v>0.15552255510612384</v>
      </c>
    </row>
    <row r="2450" spans="6:7" x14ac:dyDescent="0.2">
      <c r="F2450" s="591">
        <v>2441</v>
      </c>
      <c r="G2450" s="420">
        <f t="shared" ca="1" si="46"/>
        <v>3.6098487251397041E-2</v>
      </c>
    </row>
    <row r="2451" spans="6:7" x14ac:dyDescent="0.2">
      <c r="F2451" s="591">
        <v>2442</v>
      </c>
      <c r="G2451" s="420">
        <f t="shared" ca="1" si="46"/>
        <v>3.2914870358331599E-2</v>
      </c>
    </row>
    <row r="2452" spans="6:7" x14ac:dyDescent="0.2">
      <c r="F2452" s="591">
        <v>2443</v>
      </c>
      <c r="G2452" s="420">
        <f t="shared" ca="1" si="46"/>
        <v>8.6288826744679914E-2</v>
      </c>
    </row>
    <row r="2453" spans="6:7" x14ac:dyDescent="0.2">
      <c r="F2453" s="591">
        <v>2444</v>
      </c>
      <c r="G2453" s="420">
        <f t="shared" ca="1" si="46"/>
        <v>-1.8742081692678436E-2</v>
      </c>
    </row>
    <row r="2454" spans="6:7" x14ac:dyDescent="0.2">
      <c r="F2454" s="591">
        <v>2445</v>
      </c>
      <c r="G2454" s="420">
        <f t="shared" ca="1" si="46"/>
        <v>0.10990205784124026</v>
      </c>
    </row>
    <row r="2455" spans="6:7" x14ac:dyDescent="0.2">
      <c r="F2455" s="591">
        <v>2446</v>
      </c>
      <c r="G2455" s="420">
        <f t="shared" ca="1" si="46"/>
        <v>-5.2772732189324531E-2</v>
      </c>
    </row>
    <row r="2456" spans="6:7" x14ac:dyDescent="0.2">
      <c r="F2456" s="591">
        <v>2447</v>
      </c>
      <c r="G2456" s="420">
        <f t="shared" ca="1" si="46"/>
        <v>-8.7184362547906333E-2</v>
      </c>
    </row>
    <row r="2457" spans="6:7" x14ac:dyDescent="0.2">
      <c r="F2457" s="591">
        <v>2448</v>
      </c>
      <c r="G2457" s="420">
        <f t="shared" ca="1" si="46"/>
        <v>-8.9303492523360763E-3</v>
      </c>
    </row>
    <row r="2458" spans="6:7" x14ac:dyDescent="0.2">
      <c r="F2458" s="591">
        <v>2449</v>
      </c>
      <c r="G2458" s="420">
        <f t="shared" ca="1" si="46"/>
        <v>7.0998341931028025E-2</v>
      </c>
    </row>
    <row r="2459" spans="6:7" x14ac:dyDescent="0.2">
      <c r="F2459" s="591">
        <v>2450</v>
      </c>
      <c r="G2459" s="420">
        <f t="shared" ca="1" si="46"/>
        <v>0.12772788644708394</v>
      </c>
    </row>
    <row r="2460" spans="6:7" x14ac:dyDescent="0.2">
      <c r="F2460" s="591">
        <v>2451</v>
      </c>
      <c r="G2460" s="420">
        <f t="shared" ca="1" si="46"/>
        <v>0.12919663015987334</v>
      </c>
    </row>
    <row r="2461" spans="6:7" x14ac:dyDescent="0.2">
      <c r="F2461" s="591">
        <v>2452</v>
      </c>
      <c r="G2461" s="420">
        <f t="shared" ca="1" si="46"/>
        <v>-2.7927752200471029E-3</v>
      </c>
    </row>
    <row r="2462" spans="6:7" x14ac:dyDescent="0.2">
      <c r="F2462" s="591">
        <v>2453</v>
      </c>
      <c r="G2462" s="420">
        <f t="shared" ca="1" si="46"/>
        <v>-8.1924458265198841E-2</v>
      </c>
    </row>
    <row r="2463" spans="6:7" x14ac:dyDescent="0.2">
      <c r="F2463" s="591">
        <v>2454</v>
      </c>
      <c r="G2463" s="420">
        <f t="shared" ca="1" si="46"/>
        <v>0.12922737564692513</v>
      </c>
    </row>
    <row r="2464" spans="6:7" x14ac:dyDescent="0.2">
      <c r="F2464" s="591">
        <v>2455</v>
      </c>
      <c r="G2464" s="420">
        <f t="shared" ca="1" si="46"/>
        <v>3.1045765484498791E-2</v>
      </c>
    </row>
    <row r="2465" spans="6:7" x14ac:dyDescent="0.2">
      <c r="F2465" s="591">
        <v>2456</v>
      </c>
      <c r="G2465" s="420">
        <f t="shared" ca="1" si="46"/>
        <v>-4.0114564909386141E-2</v>
      </c>
    </row>
    <row r="2466" spans="6:7" x14ac:dyDescent="0.2">
      <c r="F2466" s="591">
        <v>2457</v>
      </c>
      <c r="G2466" s="420">
        <f t="shared" ca="1" si="46"/>
        <v>1.5462707828764665E-2</v>
      </c>
    </row>
    <row r="2467" spans="6:7" x14ac:dyDescent="0.2">
      <c r="F2467" s="591">
        <v>2458</v>
      </c>
      <c r="G2467" s="420">
        <f t="shared" ca="1" si="46"/>
        <v>7.2666616410131488E-2</v>
      </c>
    </row>
    <row r="2468" spans="6:7" x14ac:dyDescent="0.2">
      <c r="F2468" s="591">
        <v>2459</v>
      </c>
      <c r="G2468" s="420">
        <f t="shared" ca="1" si="46"/>
        <v>2.0749148193131919E-2</v>
      </c>
    </row>
    <row r="2469" spans="6:7" x14ac:dyDescent="0.2">
      <c r="F2469" s="591">
        <v>2460</v>
      </c>
      <c r="G2469" s="420">
        <f t="shared" ca="1" si="46"/>
        <v>5.0062539335140085E-2</v>
      </c>
    </row>
    <row r="2470" spans="6:7" x14ac:dyDescent="0.2">
      <c r="F2470" s="591">
        <v>2461</v>
      </c>
      <c r="G2470" s="420">
        <f t="shared" ca="1" si="46"/>
        <v>2.2087622496322949E-2</v>
      </c>
    </row>
    <row r="2471" spans="6:7" x14ac:dyDescent="0.2">
      <c r="F2471" s="591">
        <v>2462</v>
      </c>
      <c r="G2471" s="420">
        <f t="shared" ca="1" si="46"/>
        <v>-9.1474240963008123E-3</v>
      </c>
    </row>
    <row r="2472" spans="6:7" x14ac:dyDescent="0.2">
      <c r="F2472" s="591">
        <v>2463</v>
      </c>
      <c r="G2472" s="420">
        <f t="shared" ca="1" si="46"/>
        <v>-1.5928034395502812E-2</v>
      </c>
    </row>
    <row r="2473" spans="6:7" x14ac:dyDescent="0.2">
      <c r="F2473" s="591">
        <v>2464</v>
      </c>
      <c r="G2473" s="420">
        <f t="shared" ca="1" si="46"/>
        <v>8.049620518360269E-2</v>
      </c>
    </row>
    <row r="2474" spans="6:7" x14ac:dyDescent="0.2">
      <c r="F2474" s="591">
        <v>2465</v>
      </c>
      <c r="G2474" s="420">
        <f t="shared" ca="1" si="46"/>
        <v>2.3156193100380067E-2</v>
      </c>
    </row>
    <row r="2475" spans="6:7" x14ac:dyDescent="0.2">
      <c r="F2475" s="591">
        <v>2466</v>
      </c>
      <c r="G2475" s="420">
        <f t="shared" ca="1" si="46"/>
        <v>6.9669229778036551E-2</v>
      </c>
    </row>
    <row r="2476" spans="6:7" x14ac:dyDescent="0.2">
      <c r="F2476" s="591">
        <v>2467</v>
      </c>
      <c r="G2476" s="420">
        <f t="shared" ca="1" si="46"/>
        <v>5.3938728768956515E-2</v>
      </c>
    </row>
    <row r="2477" spans="6:7" x14ac:dyDescent="0.2">
      <c r="F2477" s="591">
        <v>2468</v>
      </c>
      <c r="G2477" s="420">
        <f t="shared" ca="1" si="46"/>
        <v>-4.438642220110578E-2</v>
      </c>
    </row>
    <row r="2478" spans="6:7" x14ac:dyDescent="0.2">
      <c r="F2478" s="591">
        <v>2469</v>
      </c>
      <c r="G2478" s="420">
        <f t="shared" ca="1" si="46"/>
        <v>-4.9409968613613478E-2</v>
      </c>
    </row>
    <row r="2479" spans="6:7" x14ac:dyDescent="0.2">
      <c r="F2479" s="591">
        <v>2470</v>
      </c>
      <c r="G2479" s="420">
        <f t="shared" ca="1" si="46"/>
        <v>9.1552034082729342E-2</v>
      </c>
    </row>
    <row r="2480" spans="6:7" x14ac:dyDescent="0.2">
      <c r="F2480" s="591">
        <v>2471</v>
      </c>
      <c r="G2480" s="420">
        <f t="shared" ca="1" si="46"/>
        <v>7.8300370977869752E-2</v>
      </c>
    </row>
    <row r="2481" spans="6:7" x14ac:dyDescent="0.2">
      <c r="F2481" s="591">
        <v>2472</v>
      </c>
      <c r="G2481" s="420">
        <f t="shared" ca="1" si="46"/>
        <v>-9.5274793943419533E-3</v>
      </c>
    </row>
    <row r="2482" spans="6:7" x14ac:dyDescent="0.2">
      <c r="F2482" s="591">
        <v>2473</v>
      </c>
      <c r="G2482" s="420">
        <f t="shared" ca="1" si="46"/>
        <v>-7.5475139312643894E-2</v>
      </c>
    </row>
    <row r="2483" spans="6:7" x14ac:dyDescent="0.2">
      <c r="F2483" s="591">
        <v>2474</v>
      </c>
      <c r="G2483" s="420">
        <f t="shared" ca="1" si="46"/>
        <v>1.160955497802371E-2</v>
      </c>
    </row>
    <row r="2484" spans="6:7" x14ac:dyDescent="0.2">
      <c r="F2484" s="591">
        <v>2475</v>
      </c>
      <c r="G2484" s="420">
        <f t="shared" ca="1" si="46"/>
        <v>0.14236192736508746</v>
      </c>
    </row>
    <row r="2485" spans="6:7" x14ac:dyDescent="0.2">
      <c r="F2485" s="591">
        <v>2476</v>
      </c>
      <c r="G2485" s="420">
        <f t="shared" ca="1" si="46"/>
        <v>3.684739400993535E-2</v>
      </c>
    </row>
    <row r="2486" spans="6:7" x14ac:dyDescent="0.2">
      <c r="F2486" s="591">
        <v>2477</v>
      </c>
      <c r="G2486" s="420">
        <f t="shared" ca="1" si="46"/>
        <v>2.5931108707359131E-2</v>
      </c>
    </row>
    <row r="2487" spans="6:7" x14ac:dyDescent="0.2">
      <c r="F2487" s="591">
        <v>2478</v>
      </c>
      <c r="G2487" s="420">
        <f t="shared" ca="1" si="46"/>
        <v>-3.1659756325366509E-2</v>
      </c>
    </row>
    <row r="2488" spans="6:7" x14ac:dyDescent="0.2">
      <c r="F2488" s="591">
        <v>2479</v>
      </c>
      <c r="G2488" s="420">
        <f t="shared" ca="1" si="46"/>
        <v>0.10431928952018343</v>
      </c>
    </row>
    <row r="2489" spans="6:7" x14ac:dyDescent="0.2">
      <c r="F2489" s="591">
        <v>2480</v>
      </c>
      <c r="G2489" s="420">
        <f t="shared" ca="1" si="46"/>
        <v>4.6992752451751926E-2</v>
      </c>
    </row>
    <row r="2490" spans="6:7" x14ac:dyDescent="0.2">
      <c r="F2490" s="591">
        <v>2481</v>
      </c>
      <c r="G2490" s="420">
        <f t="shared" ca="1" si="46"/>
        <v>1.8904148072037261E-2</v>
      </c>
    </row>
    <row r="2491" spans="6:7" x14ac:dyDescent="0.2">
      <c r="F2491" s="591">
        <v>2482</v>
      </c>
      <c r="G2491" s="420">
        <f t="shared" ca="1" si="46"/>
        <v>-3.5674358799574271E-2</v>
      </c>
    </row>
    <row r="2492" spans="6:7" x14ac:dyDescent="0.2">
      <c r="F2492" s="591">
        <v>2483</v>
      </c>
      <c r="G2492" s="420">
        <f t="shared" ca="1" si="46"/>
        <v>8.3023173380018411E-2</v>
      </c>
    </row>
    <row r="2493" spans="6:7" x14ac:dyDescent="0.2">
      <c r="F2493" s="591">
        <v>2484</v>
      </c>
      <c r="G2493" s="420">
        <f t="shared" ca="1" si="46"/>
        <v>3.6129913121193638E-2</v>
      </c>
    </row>
    <row r="2494" spans="6:7" x14ac:dyDescent="0.2">
      <c r="F2494" s="591">
        <v>2485</v>
      </c>
      <c r="G2494" s="420">
        <f t="shared" ca="1" si="46"/>
        <v>-4.2618783105929023E-3</v>
      </c>
    </row>
    <row r="2495" spans="6:7" x14ac:dyDescent="0.2">
      <c r="F2495" s="591">
        <v>2486</v>
      </c>
      <c r="G2495" s="420">
        <f t="shared" ca="1" si="46"/>
        <v>0.17472699283556462</v>
      </c>
    </row>
    <row r="2496" spans="6:7" x14ac:dyDescent="0.2">
      <c r="F2496" s="591">
        <v>2487</v>
      </c>
      <c r="G2496" s="420">
        <f t="shared" ca="1" si="46"/>
        <v>-3.1205121987319156E-2</v>
      </c>
    </row>
    <row r="2497" spans="6:7" x14ac:dyDescent="0.2">
      <c r="F2497" s="591">
        <v>2488</v>
      </c>
      <c r="G2497" s="420">
        <f t="shared" ca="1" si="46"/>
        <v>-5.4190570252406534E-2</v>
      </c>
    </row>
    <row r="2498" spans="6:7" x14ac:dyDescent="0.2">
      <c r="F2498" s="591">
        <v>2489</v>
      </c>
      <c r="G2498" s="420">
        <f t="shared" ca="1" si="46"/>
        <v>8.7700546357115841E-2</v>
      </c>
    </row>
    <row r="2499" spans="6:7" x14ac:dyDescent="0.2">
      <c r="F2499" s="591">
        <v>2490</v>
      </c>
      <c r="G2499" s="420">
        <f t="shared" ca="1" si="46"/>
        <v>-8.4250854327818286E-2</v>
      </c>
    </row>
    <row r="2500" spans="6:7" x14ac:dyDescent="0.2">
      <c r="F2500" s="591">
        <v>2491</v>
      </c>
      <c r="G2500" s="420">
        <f t="shared" ca="1" si="46"/>
        <v>6.2883357807963072E-2</v>
      </c>
    </row>
    <row r="2501" spans="6:7" x14ac:dyDescent="0.2">
      <c r="F2501" s="591">
        <v>2492</v>
      </c>
      <c r="G2501" s="420">
        <f t="shared" ca="1" si="46"/>
        <v>0.1657474139847159</v>
      </c>
    </row>
    <row r="2502" spans="6:7" x14ac:dyDescent="0.2">
      <c r="F2502" s="591">
        <v>2493</v>
      </c>
      <c r="G2502" s="420">
        <f t="shared" ca="1" si="46"/>
        <v>6.3198851400303693E-2</v>
      </c>
    </row>
    <row r="2503" spans="6:7" x14ac:dyDescent="0.2">
      <c r="F2503" s="591">
        <v>2494</v>
      </c>
      <c r="G2503" s="420">
        <f t="shared" ca="1" si="46"/>
        <v>-1.6630891720041049E-2</v>
      </c>
    </row>
    <row r="2504" spans="6:7" x14ac:dyDescent="0.2">
      <c r="F2504" s="591">
        <v>2495</v>
      </c>
      <c r="G2504" s="420">
        <f t="shared" ca="1" si="46"/>
        <v>3.3884617800546107E-2</v>
      </c>
    </row>
    <row r="2505" spans="6:7" x14ac:dyDescent="0.2">
      <c r="F2505" s="591">
        <v>2496</v>
      </c>
      <c r="G2505" s="420">
        <f t="shared" ca="1" si="46"/>
        <v>5.7224734484491835E-2</v>
      </c>
    </row>
    <row r="2506" spans="6:7" x14ac:dyDescent="0.2">
      <c r="F2506" s="591">
        <v>2497</v>
      </c>
      <c r="G2506" s="420">
        <f t="shared" ca="1" si="46"/>
        <v>3.8424938482435167E-2</v>
      </c>
    </row>
    <row r="2507" spans="6:7" x14ac:dyDescent="0.2">
      <c r="F2507" s="591">
        <v>2498</v>
      </c>
      <c r="G2507" s="420">
        <f t="shared" ref="G2507:G2570" ca="1" si="47">_xlfn.NORM.INV(RAND(), $M$11,$M$12)</f>
        <v>1.2474044016845874E-2</v>
      </c>
    </row>
    <row r="2508" spans="6:7" x14ac:dyDescent="0.2">
      <c r="F2508" s="591">
        <v>2499</v>
      </c>
      <c r="G2508" s="420">
        <f t="shared" ca="1" si="47"/>
        <v>9.0573258841725748E-2</v>
      </c>
    </row>
    <row r="2509" spans="6:7" x14ac:dyDescent="0.2">
      <c r="F2509" s="591">
        <v>2500</v>
      </c>
      <c r="G2509" s="420">
        <f t="shared" ca="1" si="47"/>
        <v>-1.3648944001718281E-3</v>
      </c>
    </row>
    <row r="2510" spans="6:7" x14ac:dyDescent="0.2">
      <c r="F2510" s="591">
        <v>2501</v>
      </c>
      <c r="G2510" s="420">
        <f t="shared" ca="1" si="47"/>
        <v>4.6842868578175819E-3</v>
      </c>
    </row>
    <row r="2511" spans="6:7" x14ac:dyDescent="0.2">
      <c r="F2511" s="591">
        <v>2502</v>
      </c>
      <c r="G2511" s="420">
        <f t="shared" ca="1" si="47"/>
        <v>-2.7575529062222968E-2</v>
      </c>
    </row>
    <row r="2512" spans="6:7" x14ac:dyDescent="0.2">
      <c r="F2512" s="591">
        <v>2503</v>
      </c>
      <c r="G2512" s="420">
        <f t="shared" ca="1" si="47"/>
        <v>-1.8203061069281972E-2</v>
      </c>
    </row>
    <row r="2513" spans="6:7" x14ac:dyDescent="0.2">
      <c r="F2513" s="591">
        <v>2504</v>
      </c>
      <c r="G2513" s="420">
        <f t="shared" ca="1" si="47"/>
        <v>4.4383333970626545E-3</v>
      </c>
    </row>
    <row r="2514" spans="6:7" x14ac:dyDescent="0.2">
      <c r="F2514" s="591">
        <v>2505</v>
      </c>
      <c r="G2514" s="420">
        <f t="shared" ca="1" si="47"/>
        <v>-4.5963946834590041E-2</v>
      </c>
    </row>
    <row r="2515" spans="6:7" x14ac:dyDescent="0.2">
      <c r="F2515" s="591">
        <v>2506</v>
      </c>
      <c r="G2515" s="420">
        <f t="shared" ca="1" si="47"/>
        <v>5.7738522087403391E-2</v>
      </c>
    </row>
    <row r="2516" spans="6:7" x14ac:dyDescent="0.2">
      <c r="F2516" s="591">
        <v>2507</v>
      </c>
      <c r="G2516" s="420">
        <f t="shared" ca="1" si="47"/>
        <v>-4.7876252227665048E-2</v>
      </c>
    </row>
    <row r="2517" spans="6:7" x14ac:dyDescent="0.2">
      <c r="F2517" s="591">
        <v>2508</v>
      </c>
      <c r="G2517" s="420">
        <f t="shared" ca="1" si="47"/>
        <v>-2.7237215396721231E-3</v>
      </c>
    </row>
    <row r="2518" spans="6:7" x14ac:dyDescent="0.2">
      <c r="F2518" s="591">
        <v>2509</v>
      </c>
      <c r="G2518" s="420">
        <f t="shared" ca="1" si="47"/>
        <v>5.4913013971985308E-2</v>
      </c>
    </row>
    <row r="2519" spans="6:7" x14ac:dyDescent="0.2">
      <c r="F2519" s="591">
        <v>2510</v>
      </c>
      <c r="G2519" s="420">
        <f t="shared" ca="1" si="47"/>
        <v>5.957303744818028E-2</v>
      </c>
    </row>
    <row r="2520" spans="6:7" x14ac:dyDescent="0.2">
      <c r="F2520" s="591">
        <v>2511</v>
      </c>
      <c r="G2520" s="420">
        <f t="shared" ca="1" si="47"/>
        <v>-0.12630687865921289</v>
      </c>
    </row>
    <row r="2521" spans="6:7" x14ac:dyDescent="0.2">
      <c r="F2521" s="591">
        <v>2512</v>
      </c>
      <c r="G2521" s="420">
        <f t="shared" ca="1" si="47"/>
        <v>-6.0787995266398373E-2</v>
      </c>
    </row>
    <row r="2522" spans="6:7" x14ac:dyDescent="0.2">
      <c r="F2522" s="591">
        <v>2513</v>
      </c>
      <c r="G2522" s="420">
        <f t="shared" ca="1" si="47"/>
        <v>-4.2085127196811636E-2</v>
      </c>
    </row>
    <row r="2523" spans="6:7" x14ac:dyDescent="0.2">
      <c r="F2523" s="591">
        <v>2514</v>
      </c>
      <c r="G2523" s="420">
        <f t="shared" ca="1" si="47"/>
        <v>5.6713373097313113E-2</v>
      </c>
    </row>
    <row r="2524" spans="6:7" x14ac:dyDescent="0.2">
      <c r="F2524" s="591">
        <v>2515</v>
      </c>
      <c r="G2524" s="420">
        <f t="shared" ca="1" si="47"/>
        <v>1.7346406572988169E-3</v>
      </c>
    </row>
    <row r="2525" spans="6:7" x14ac:dyDescent="0.2">
      <c r="F2525" s="591">
        <v>2516</v>
      </c>
      <c r="G2525" s="420">
        <f t="shared" ca="1" si="47"/>
        <v>5.4512996651196716E-2</v>
      </c>
    </row>
    <row r="2526" spans="6:7" x14ac:dyDescent="0.2">
      <c r="F2526" s="591">
        <v>2517</v>
      </c>
      <c r="G2526" s="420">
        <f t="shared" ca="1" si="47"/>
        <v>1.1018529369155712E-2</v>
      </c>
    </row>
    <row r="2527" spans="6:7" x14ac:dyDescent="0.2">
      <c r="F2527" s="591">
        <v>2518</v>
      </c>
      <c r="G2527" s="420">
        <f t="shared" ca="1" si="47"/>
        <v>1.078863716793399E-2</v>
      </c>
    </row>
    <row r="2528" spans="6:7" x14ac:dyDescent="0.2">
      <c r="F2528" s="591">
        <v>2519</v>
      </c>
      <c r="G2528" s="420">
        <f t="shared" ca="1" si="47"/>
        <v>-0.10576453232606858</v>
      </c>
    </row>
    <row r="2529" spans="6:7" x14ac:dyDescent="0.2">
      <c r="F2529" s="591">
        <v>2520</v>
      </c>
      <c r="G2529" s="420">
        <f t="shared" ca="1" si="47"/>
        <v>1.089580919382409E-2</v>
      </c>
    </row>
    <row r="2530" spans="6:7" x14ac:dyDescent="0.2">
      <c r="F2530" s="591">
        <v>2521</v>
      </c>
      <c r="G2530" s="420">
        <f t="shared" ca="1" si="47"/>
        <v>9.3655494273777604E-2</v>
      </c>
    </row>
    <row r="2531" spans="6:7" x14ac:dyDescent="0.2">
      <c r="F2531" s="591">
        <v>2522</v>
      </c>
      <c r="G2531" s="420">
        <f t="shared" ca="1" si="47"/>
        <v>-2.5716806529129593E-2</v>
      </c>
    </row>
    <row r="2532" spans="6:7" x14ac:dyDescent="0.2">
      <c r="F2532" s="591">
        <v>2523</v>
      </c>
      <c r="G2532" s="420">
        <f t="shared" ca="1" si="47"/>
        <v>7.0956604076607588E-2</v>
      </c>
    </row>
    <row r="2533" spans="6:7" x14ac:dyDescent="0.2">
      <c r="F2533" s="591">
        <v>2524</v>
      </c>
      <c r="G2533" s="420">
        <f t="shared" ca="1" si="47"/>
        <v>-1.7323388346305278E-3</v>
      </c>
    </row>
    <row r="2534" spans="6:7" x14ac:dyDescent="0.2">
      <c r="F2534" s="591">
        <v>2525</v>
      </c>
      <c r="G2534" s="420">
        <f t="shared" ca="1" si="47"/>
        <v>-0.13687686136780775</v>
      </c>
    </row>
    <row r="2535" spans="6:7" x14ac:dyDescent="0.2">
      <c r="F2535" s="591">
        <v>2526</v>
      </c>
      <c r="G2535" s="420">
        <f t="shared" ca="1" si="47"/>
        <v>-8.5699114629441409E-3</v>
      </c>
    </row>
    <row r="2536" spans="6:7" x14ac:dyDescent="0.2">
      <c r="F2536" s="591">
        <v>2527</v>
      </c>
      <c r="G2536" s="420">
        <f t="shared" ca="1" si="47"/>
        <v>-6.6488382240930316E-2</v>
      </c>
    </row>
    <row r="2537" spans="6:7" x14ac:dyDescent="0.2">
      <c r="F2537" s="591">
        <v>2528</v>
      </c>
      <c r="G2537" s="420">
        <f t="shared" ca="1" si="47"/>
        <v>3.5089074275080727E-2</v>
      </c>
    </row>
    <row r="2538" spans="6:7" x14ac:dyDescent="0.2">
      <c r="F2538" s="591">
        <v>2529</v>
      </c>
      <c r="G2538" s="420">
        <f t="shared" ca="1" si="47"/>
        <v>5.2468272076019978E-2</v>
      </c>
    </row>
    <row r="2539" spans="6:7" x14ac:dyDescent="0.2">
      <c r="F2539" s="591">
        <v>2530</v>
      </c>
      <c r="G2539" s="420">
        <f t="shared" ca="1" si="47"/>
        <v>-4.6631705147534286E-2</v>
      </c>
    </row>
    <row r="2540" spans="6:7" x14ac:dyDescent="0.2">
      <c r="F2540" s="591">
        <v>2531</v>
      </c>
      <c r="G2540" s="420">
        <f t="shared" ca="1" si="47"/>
        <v>5.0646831154625253E-3</v>
      </c>
    </row>
    <row r="2541" spans="6:7" x14ac:dyDescent="0.2">
      <c r="F2541" s="591">
        <v>2532</v>
      </c>
      <c r="G2541" s="420">
        <f t="shared" ca="1" si="47"/>
        <v>2.7533698436292213E-2</v>
      </c>
    </row>
    <row r="2542" spans="6:7" x14ac:dyDescent="0.2">
      <c r="F2542" s="591">
        <v>2533</v>
      </c>
      <c r="G2542" s="420">
        <f t="shared" ca="1" si="47"/>
        <v>-7.4444499409901263E-2</v>
      </c>
    </row>
    <row r="2543" spans="6:7" x14ac:dyDescent="0.2">
      <c r="F2543" s="591">
        <v>2534</v>
      </c>
      <c r="G2543" s="420">
        <f t="shared" ca="1" si="47"/>
        <v>3.563685324621671E-2</v>
      </c>
    </row>
    <row r="2544" spans="6:7" x14ac:dyDescent="0.2">
      <c r="F2544" s="591">
        <v>2535</v>
      </c>
      <c r="G2544" s="420">
        <f t="shared" ca="1" si="47"/>
        <v>-1.5632876462885748E-2</v>
      </c>
    </row>
    <row r="2545" spans="6:7" x14ac:dyDescent="0.2">
      <c r="F2545" s="591">
        <v>2536</v>
      </c>
      <c r="G2545" s="420">
        <f t="shared" ca="1" si="47"/>
        <v>-3.4751696227051029E-2</v>
      </c>
    </row>
    <row r="2546" spans="6:7" x14ac:dyDescent="0.2">
      <c r="F2546" s="591">
        <v>2537</v>
      </c>
      <c r="G2546" s="420">
        <f t="shared" ca="1" si="47"/>
        <v>4.097465982384757E-2</v>
      </c>
    </row>
    <row r="2547" spans="6:7" x14ac:dyDescent="0.2">
      <c r="F2547" s="591">
        <v>2538</v>
      </c>
      <c r="G2547" s="420">
        <f t="shared" ca="1" si="47"/>
        <v>-8.4446852644287307E-2</v>
      </c>
    </row>
    <row r="2548" spans="6:7" x14ac:dyDescent="0.2">
      <c r="F2548" s="591">
        <v>2539</v>
      </c>
      <c r="G2548" s="420">
        <f t="shared" ca="1" si="47"/>
        <v>-2.8966510980665206E-2</v>
      </c>
    </row>
    <row r="2549" spans="6:7" x14ac:dyDescent="0.2">
      <c r="F2549" s="591">
        <v>2540</v>
      </c>
      <c r="G2549" s="420">
        <f t="shared" ca="1" si="47"/>
        <v>-6.1129161889581611E-3</v>
      </c>
    </row>
    <row r="2550" spans="6:7" x14ac:dyDescent="0.2">
      <c r="F2550" s="591">
        <v>2541</v>
      </c>
      <c r="G2550" s="420">
        <f t="shared" ca="1" si="47"/>
        <v>-2.8423147777869168E-3</v>
      </c>
    </row>
    <row r="2551" spans="6:7" x14ac:dyDescent="0.2">
      <c r="F2551" s="591">
        <v>2542</v>
      </c>
      <c r="G2551" s="420">
        <f t="shared" ca="1" si="47"/>
        <v>-1.2436476056490509E-2</v>
      </c>
    </row>
    <row r="2552" spans="6:7" x14ac:dyDescent="0.2">
      <c r="F2552" s="591">
        <v>2543</v>
      </c>
      <c r="G2552" s="420">
        <f t="shared" ca="1" si="47"/>
        <v>-3.412792838291083E-2</v>
      </c>
    </row>
    <row r="2553" spans="6:7" x14ac:dyDescent="0.2">
      <c r="F2553" s="591">
        <v>2544</v>
      </c>
      <c r="G2553" s="420">
        <f t="shared" ca="1" si="47"/>
        <v>-1.9788216031309352E-2</v>
      </c>
    </row>
    <row r="2554" spans="6:7" x14ac:dyDescent="0.2">
      <c r="F2554" s="591">
        <v>2545</v>
      </c>
      <c r="G2554" s="420">
        <f t="shared" ca="1" si="47"/>
        <v>-7.520469597072392E-2</v>
      </c>
    </row>
    <row r="2555" spans="6:7" x14ac:dyDescent="0.2">
      <c r="F2555" s="591">
        <v>2546</v>
      </c>
      <c r="G2555" s="420">
        <f t="shared" ca="1" si="47"/>
        <v>-4.548373727519775E-2</v>
      </c>
    </row>
    <row r="2556" spans="6:7" x14ac:dyDescent="0.2">
      <c r="F2556" s="591">
        <v>2547</v>
      </c>
      <c r="G2556" s="420">
        <f t="shared" ca="1" si="47"/>
        <v>0.12350297062578805</v>
      </c>
    </row>
    <row r="2557" spans="6:7" x14ac:dyDescent="0.2">
      <c r="F2557" s="591">
        <v>2548</v>
      </c>
      <c r="G2557" s="420">
        <f t="shared" ca="1" si="47"/>
        <v>4.7235227953709061E-2</v>
      </c>
    </row>
    <row r="2558" spans="6:7" x14ac:dyDescent="0.2">
      <c r="F2558" s="591">
        <v>2549</v>
      </c>
      <c r="G2558" s="420">
        <f t="shared" ca="1" si="47"/>
        <v>4.7757881489636084E-2</v>
      </c>
    </row>
    <row r="2559" spans="6:7" x14ac:dyDescent="0.2">
      <c r="F2559" s="591">
        <v>2550</v>
      </c>
      <c r="G2559" s="420">
        <f t="shared" ca="1" si="47"/>
        <v>-2.7870744616685494E-2</v>
      </c>
    </row>
    <row r="2560" spans="6:7" x14ac:dyDescent="0.2">
      <c r="F2560" s="591">
        <v>2551</v>
      </c>
      <c r="G2560" s="420">
        <f t="shared" ca="1" si="47"/>
        <v>0.1084299248954772</v>
      </c>
    </row>
    <row r="2561" spans="6:7" x14ac:dyDescent="0.2">
      <c r="F2561" s="591">
        <v>2552</v>
      </c>
      <c r="G2561" s="420">
        <f t="shared" ca="1" si="47"/>
        <v>5.6009004894856051E-2</v>
      </c>
    </row>
    <row r="2562" spans="6:7" x14ac:dyDescent="0.2">
      <c r="F2562" s="591">
        <v>2553</v>
      </c>
      <c r="G2562" s="420">
        <f t="shared" ca="1" si="47"/>
        <v>6.216461193820394E-2</v>
      </c>
    </row>
    <row r="2563" spans="6:7" x14ac:dyDescent="0.2">
      <c r="F2563" s="591">
        <v>2554</v>
      </c>
      <c r="G2563" s="420">
        <f t="shared" ca="1" si="47"/>
        <v>1.6072913389157693E-2</v>
      </c>
    </row>
    <row r="2564" spans="6:7" x14ac:dyDescent="0.2">
      <c r="F2564" s="591">
        <v>2555</v>
      </c>
      <c r="G2564" s="420">
        <f t="shared" ca="1" si="47"/>
        <v>7.8880575557575078E-2</v>
      </c>
    </row>
    <row r="2565" spans="6:7" x14ac:dyDescent="0.2">
      <c r="F2565" s="591">
        <v>2556</v>
      </c>
      <c r="G2565" s="420">
        <f t="shared" ca="1" si="47"/>
        <v>7.9076091675023538E-2</v>
      </c>
    </row>
    <row r="2566" spans="6:7" x14ac:dyDescent="0.2">
      <c r="F2566" s="591">
        <v>2557</v>
      </c>
      <c r="G2566" s="420">
        <f t="shared" ca="1" si="47"/>
        <v>6.020514563146584E-2</v>
      </c>
    </row>
    <row r="2567" spans="6:7" x14ac:dyDescent="0.2">
      <c r="F2567" s="591">
        <v>2558</v>
      </c>
      <c r="G2567" s="420">
        <f t="shared" ca="1" si="47"/>
        <v>1.3818793797806581E-2</v>
      </c>
    </row>
    <row r="2568" spans="6:7" x14ac:dyDescent="0.2">
      <c r="F2568" s="591">
        <v>2559</v>
      </c>
      <c r="G2568" s="420">
        <f t="shared" ca="1" si="47"/>
        <v>-1.3082162516345499E-2</v>
      </c>
    </row>
    <row r="2569" spans="6:7" x14ac:dyDescent="0.2">
      <c r="F2569" s="591">
        <v>2560</v>
      </c>
      <c r="G2569" s="420">
        <f t="shared" ca="1" si="47"/>
        <v>-5.2073513660995857E-2</v>
      </c>
    </row>
    <row r="2570" spans="6:7" x14ac:dyDescent="0.2">
      <c r="F2570" s="591">
        <v>2561</v>
      </c>
      <c r="G2570" s="420">
        <f t="shared" ca="1" si="47"/>
        <v>-1.3472785651212731E-2</v>
      </c>
    </row>
    <row r="2571" spans="6:7" x14ac:dyDescent="0.2">
      <c r="F2571" s="591">
        <v>2562</v>
      </c>
      <c r="G2571" s="420">
        <f t="shared" ref="G2571:G2634" ca="1" si="48">_xlfn.NORM.INV(RAND(), $M$11,$M$12)</f>
        <v>1.367552497831131E-2</v>
      </c>
    </row>
    <row r="2572" spans="6:7" x14ac:dyDescent="0.2">
      <c r="F2572" s="591">
        <v>2563</v>
      </c>
      <c r="G2572" s="420">
        <f t="shared" ca="1" si="48"/>
        <v>-5.208716821581108E-2</v>
      </c>
    </row>
    <row r="2573" spans="6:7" x14ac:dyDescent="0.2">
      <c r="F2573" s="591">
        <v>2564</v>
      </c>
      <c r="G2573" s="420">
        <f t="shared" ca="1" si="48"/>
        <v>6.9470972538341544E-2</v>
      </c>
    </row>
    <row r="2574" spans="6:7" x14ac:dyDescent="0.2">
      <c r="F2574" s="591">
        <v>2565</v>
      </c>
      <c r="G2574" s="420">
        <f t="shared" ca="1" si="48"/>
        <v>-0.18316416631343116</v>
      </c>
    </row>
    <row r="2575" spans="6:7" x14ac:dyDescent="0.2">
      <c r="F2575" s="591">
        <v>2566</v>
      </c>
      <c r="G2575" s="420">
        <f t="shared" ca="1" si="48"/>
        <v>7.095903986692683E-3</v>
      </c>
    </row>
    <row r="2576" spans="6:7" x14ac:dyDescent="0.2">
      <c r="F2576" s="591">
        <v>2567</v>
      </c>
      <c r="G2576" s="420">
        <f t="shared" ca="1" si="48"/>
        <v>2.1666106999708081E-3</v>
      </c>
    </row>
    <row r="2577" spans="6:7" x14ac:dyDescent="0.2">
      <c r="F2577" s="591">
        <v>2568</v>
      </c>
      <c r="G2577" s="420">
        <f t="shared" ca="1" si="48"/>
        <v>2.5207044736489461E-2</v>
      </c>
    </row>
    <row r="2578" spans="6:7" x14ac:dyDescent="0.2">
      <c r="F2578" s="591">
        <v>2569</v>
      </c>
      <c r="G2578" s="420">
        <f t="shared" ca="1" si="48"/>
        <v>5.3994152816735447E-2</v>
      </c>
    </row>
    <row r="2579" spans="6:7" x14ac:dyDescent="0.2">
      <c r="F2579" s="591">
        <v>2570</v>
      </c>
      <c r="G2579" s="420">
        <f t="shared" ca="1" si="48"/>
        <v>-6.7809098331695114E-2</v>
      </c>
    </row>
    <row r="2580" spans="6:7" x14ac:dyDescent="0.2">
      <c r="F2580" s="591">
        <v>2571</v>
      </c>
      <c r="G2580" s="420">
        <f t="shared" ca="1" si="48"/>
        <v>-4.8999667970294938E-2</v>
      </c>
    </row>
    <row r="2581" spans="6:7" x14ac:dyDescent="0.2">
      <c r="F2581" s="591">
        <v>2572</v>
      </c>
      <c r="G2581" s="420">
        <f t="shared" ca="1" si="48"/>
        <v>0.13191994410015839</v>
      </c>
    </row>
    <row r="2582" spans="6:7" x14ac:dyDescent="0.2">
      <c r="F2582" s="591">
        <v>2573</v>
      </c>
      <c r="G2582" s="420">
        <f t="shared" ca="1" si="48"/>
        <v>9.9993542488276532E-3</v>
      </c>
    </row>
    <row r="2583" spans="6:7" x14ac:dyDescent="0.2">
      <c r="F2583" s="591">
        <v>2574</v>
      </c>
      <c r="G2583" s="420">
        <f t="shared" ca="1" si="48"/>
        <v>1.0564974785073305E-2</v>
      </c>
    </row>
    <row r="2584" spans="6:7" x14ac:dyDescent="0.2">
      <c r="F2584" s="591">
        <v>2575</v>
      </c>
      <c r="G2584" s="420">
        <f t="shared" ca="1" si="48"/>
        <v>-5.0639336494465934E-2</v>
      </c>
    </row>
    <row r="2585" spans="6:7" x14ac:dyDescent="0.2">
      <c r="F2585" s="591">
        <v>2576</v>
      </c>
      <c r="G2585" s="420">
        <f t="shared" ca="1" si="48"/>
        <v>-6.4681836621750713E-2</v>
      </c>
    </row>
    <row r="2586" spans="6:7" x14ac:dyDescent="0.2">
      <c r="F2586" s="591">
        <v>2577</v>
      </c>
      <c r="G2586" s="420">
        <f t="shared" ca="1" si="48"/>
        <v>7.5649335872417678E-2</v>
      </c>
    </row>
    <row r="2587" spans="6:7" x14ac:dyDescent="0.2">
      <c r="F2587" s="591">
        <v>2578</v>
      </c>
      <c r="G2587" s="420">
        <f t="shared" ca="1" si="48"/>
        <v>6.7805232177445635E-2</v>
      </c>
    </row>
    <row r="2588" spans="6:7" x14ac:dyDescent="0.2">
      <c r="F2588" s="591">
        <v>2579</v>
      </c>
      <c r="G2588" s="420">
        <f t="shared" ca="1" si="48"/>
        <v>-3.9937121646043253E-2</v>
      </c>
    </row>
    <row r="2589" spans="6:7" x14ac:dyDescent="0.2">
      <c r="F2589" s="591">
        <v>2580</v>
      </c>
      <c r="G2589" s="420">
        <f t="shared" ca="1" si="48"/>
        <v>0.13235866304611973</v>
      </c>
    </row>
    <row r="2590" spans="6:7" x14ac:dyDescent="0.2">
      <c r="F2590" s="591">
        <v>2581</v>
      </c>
      <c r="G2590" s="420">
        <f t="shared" ca="1" si="48"/>
        <v>-1.2443425319275499E-2</v>
      </c>
    </row>
    <row r="2591" spans="6:7" x14ac:dyDescent="0.2">
      <c r="F2591" s="591">
        <v>2582</v>
      </c>
      <c r="G2591" s="420">
        <f t="shared" ca="1" si="48"/>
        <v>1.3150987621985334E-2</v>
      </c>
    </row>
    <row r="2592" spans="6:7" x14ac:dyDescent="0.2">
      <c r="F2592" s="591">
        <v>2583</v>
      </c>
      <c r="G2592" s="420">
        <f t="shared" ca="1" si="48"/>
        <v>-5.8656802095645208E-2</v>
      </c>
    </row>
    <row r="2593" spans="6:7" x14ac:dyDescent="0.2">
      <c r="F2593" s="591">
        <v>2584</v>
      </c>
      <c r="G2593" s="420">
        <f t="shared" ca="1" si="48"/>
        <v>9.9781059700182737E-2</v>
      </c>
    </row>
    <row r="2594" spans="6:7" x14ac:dyDescent="0.2">
      <c r="F2594" s="591">
        <v>2585</v>
      </c>
      <c r="G2594" s="420">
        <f t="shared" ca="1" si="48"/>
        <v>8.5163131553919053E-2</v>
      </c>
    </row>
    <row r="2595" spans="6:7" x14ac:dyDescent="0.2">
      <c r="F2595" s="591">
        <v>2586</v>
      </c>
      <c r="G2595" s="420">
        <f t="shared" ca="1" si="48"/>
        <v>5.4759739471496913E-2</v>
      </c>
    </row>
    <row r="2596" spans="6:7" x14ac:dyDescent="0.2">
      <c r="F2596" s="591">
        <v>2587</v>
      </c>
      <c r="G2596" s="420">
        <f t="shared" ca="1" si="48"/>
        <v>4.2324162959541917E-2</v>
      </c>
    </row>
    <row r="2597" spans="6:7" x14ac:dyDescent="0.2">
      <c r="F2597" s="591">
        <v>2588</v>
      </c>
      <c r="G2597" s="420">
        <f t="shared" ca="1" si="48"/>
        <v>8.1674115540715672E-2</v>
      </c>
    </row>
    <row r="2598" spans="6:7" x14ac:dyDescent="0.2">
      <c r="F2598" s="591">
        <v>2589</v>
      </c>
      <c r="G2598" s="420">
        <f t="shared" ca="1" si="48"/>
        <v>6.7011491248821151E-2</v>
      </c>
    </row>
    <row r="2599" spans="6:7" x14ac:dyDescent="0.2">
      <c r="F2599" s="591">
        <v>2590</v>
      </c>
      <c r="G2599" s="420">
        <f t="shared" ca="1" si="48"/>
        <v>-3.8423188567824174E-2</v>
      </c>
    </row>
    <row r="2600" spans="6:7" x14ac:dyDescent="0.2">
      <c r="F2600" s="591">
        <v>2591</v>
      </c>
      <c r="G2600" s="420">
        <f t="shared" ca="1" si="48"/>
        <v>9.6298362029653591E-3</v>
      </c>
    </row>
    <row r="2601" spans="6:7" x14ac:dyDescent="0.2">
      <c r="F2601" s="591">
        <v>2592</v>
      </c>
      <c r="G2601" s="420">
        <f t="shared" ca="1" si="48"/>
        <v>-3.3932522029137824E-2</v>
      </c>
    </row>
    <row r="2602" spans="6:7" x14ac:dyDescent="0.2">
      <c r="F2602" s="591">
        <v>2593</v>
      </c>
      <c r="G2602" s="420">
        <f t="shared" ca="1" si="48"/>
        <v>-4.7494563334793474E-2</v>
      </c>
    </row>
    <row r="2603" spans="6:7" x14ac:dyDescent="0.2">
      <c r="F2603" s="591">
        <v>2594</v>
      </c>
      <c r="G2603" s="420">
        <f t="shared" ca="1" si="48"/>
        <v>-0.18167730998590687</v>
      </c>
    </row>
    <row r="2604" spans="6:7" x14ac:dyDescent="0.2">
      <c r="F2604" s="591">
        <v>2595</v>
      </c>
      <c r="G2604" s="420">
        <f t="shared" ca="1" si="48"/>
        <v>9.2577347178894494E-3</v>
      </c>
    </row>
    <row r="2605" spans="6:7" x14ac:dyDescent="0.2">
      <c r="F2605" s="591">
        <v>2596</v>
      </c>
      <c r="G2605" s="420">
        <f t="shared" ca="1" si="48"/>
        <v>9.0068038818045523E-2</v>
      </c>
    </row>
    <row r="2606" spans="6:7" x14ac:dyDescent="0.2">
      <c r="F2606" s="591">
        <v>2597</v>
      </c>
      <c r="G2606" s="420">
        <f t="shared" ca="1" si="48"/>
        <v>7.4396042010194785E-2</v>
      </c>
    </row>
    <row r="2607" spans="6:7" x14ac:dyDescent="0.2">
      <c r="F2607" s="591">
        <v>2598</v>
      </c>
      <c r="G2607" s="420">
        <f t="shared" ca="1" si="48"/>
        <v>5.8475481381134897E-2</v>
      </c>
    </row>
    <row r="2608" spans="6:7" x14ac:dyDescent="0.2">
      <c r="F2608" s="591">
        <v>2599</v>
      </c>
      <c r="G2608" s="420">
        <f t="shared" ca="1" si="48"/>
        <v>1.0762230323882221E-2</v>
      </c>
    </row>
    <row r="2609" spans="6:7" x14ac:dyDescent="0.2">
      <c r="F2609" s="591">
        <v>2600</v>
      </c>
      <c r="G2609" s="420">
        <f t="shared" ca="1" si="48"/>
        <v>0.10039691833673839</v>
      </c>
    </row>
    <row r="2610" spans="6:7" x14ac:dyDescent="0.2">
      <c r="F2610" s="591">
        <v>2601</v>
      </c>
      <c r="G2610" s="420">
        <f t="shared" ca="1" si="48"/>
        <v>2.6720860887505676E-2</v>
      </c>
    </row>
    <row r="2611" spans="6:7" x14ac:dyDescent="0.2">
      <c r="F2611" s="591">
        <v>2602</v>
      </c>
      <c r="G2611" s="420">
        <f t="shared" ca="1" si="48"/>
        <v>-5.1522059915209625E-3</v>
      </c>
    </row>
    <row r="2612" spans="6:7" x14ac:dyDescent="0.2">
      <c r="F2612" s="591">
        <v>2603</v>
      </c>
      <c r="G2612" s="420">
        <f t="shared" ca="1" si="48"/>
        <v>3.2024766174938109E-2</v>
      </c>
    </row>
    <row r="2613" spans="6:7" x14ac:dyDescent="0.2">
      <c r="F2613" s="591">
        <v>2604</v>
      </c>
      <c r="G2613" s="420">
        <f t="shared" ca="1" si="48"/>
        <v>-6.3086163053980057E-2</v>
      </c>
    </row>
    <row r="2614" spans="6:7" x14ac:dyDescent="0.2">
      <c r="F2614" s="591">
        <v>2605</v>
      </c>
      <c r="G2614" s="420">
        <f t="shared" ca="1" si="48"/>
        <v>-0.16403166664540358</v>
      </c>
    </row>
    <row r="2615" spans="6:7" x14ac:dyDescent="0.2">
      <c r="F2615" s="591">
        <v>2606</v>
      </c>
      <c r="G2615" s="420">
        <f t="shared" ca="1" si="48"/>
        <v>7.9991150129946981E-2</v>
      </c>
    </row>
    <row r="2616" spans="6:7" x14ac:dyDescent="0.2">
      <c r="F2616" s="591">
        <v>2607</v>
      </c>
      <c r="G2616" s="420">
        <f t="shared" ca="1" si="48"/>
        <v>-1.8112306841684359E-3</v>
      </c>
    </row>
    <row r="2617" spans="6:7" x14ac:dyDescent="0.2">
      <c r="F2617" s="591">
        <v>2608</v>
      </c>
      <c r="G2617" s="420">
        <f t="shared" ca="1" si="48"/>
        <v>5.3421254978841357E-2</v>
      </c>
    </row>
    <row r="2618" spans="6:7" x14ac:dyDescent="0.2">
      <c r="F2618" s="591">
        <v>2609</v>
      </c>
      <c r="G2618" s="420">
        <f t="shared" ca="1" si="48"/>
        <v>9.2118009432976503E-2</v>
      </c>
    </row>
    <row r="2619" spans="6:7" x14ac:dyDescent="0.2">
      <c r="F2619" s="591">
        <v>2610</v>
      </c>
      <c r="G2619" s="420">
        <f t="shared" ca="1" si="48"/>
        <v>-1.2158557923560326E-2</v>
      </c>
    </row>
    <row r="2620" spans="6:7" x14ac:dyDescent="0.2">
      <c r="F2620" s="591">
        <v>2611</v>
      </c>
      <c r="G2620" s="420">
        <f t="shared" ca="1" si="48"/>
        <v>0.18722391753083548</v>
      </c>
    </row>
    <row r="2621" spans="6:7" x14ac:dyDescent="0.2">
      <c r="F2621" s="591">
        <v>2612</v>
      </c>
      <c r="G2621" s="420">
        <f t="shared" ca="1" si="48"/>
        <v>-5.3439515161067833E-2</v>
      </c>
    </row>
    <row r="2622" spans="6:7" x14ac:dyDescent="0.2">
      <c r="F2622" s="591">
        <v>2613</v>
      </c>
      <c r="G2622" s="420">
        <f t="shared" ca="1" si="48"/>
        <v>9.2152466285071039E-2</v>
      </c>
    </row>
    <row r="2623" spans="6:7" x14ac:dyDescent="0.2">
      <c r="F2623" s="591">
        <v>2614</v>
      </c>
      <c r="G2623" s="420">
        <f t="shared" ca="1" si="48"/>
        <v>-4.1705469642528609E-2</v>
      </c>
    </row>
    <row r="2624" spans="6:7" x14ac:dyDescent="0.2">
      <c r="F2624" s="591">
        <v>2615</v>
      </c>
      <c r="G2624" s="420">
        <f t="shared" ca="1" si="48"/>
        <v>9.0518194328312387E-2</v>
      </c>
    </row>
    <row r="2625" spans="6:7" x14ac:dyDescent="0.2">
      <c r="F2625" s="591">
        <v>2616</v>
      </c>
      <c r="G2625" s="420">
        <f t="shared" ca="1" si="48"/>
        <v>1.545771329466669E-2</v>
      </c>
    </row>
    <row r="2626" spans="6:7" x14ac:dyDescent="0.2">
      <c r="F2626" s="591">
        <v>2617</v>
      </c>
      <c r="G2626" s="420">
        <f t="shared" ca="1" si="48"/>
        <v>7.5750403284024964E-2</v>
      </c>
    </row>
    <row r="2627" spans="6:7" x14ac:dyDescent="0.2">
      <c r="F2627" s="591">
        <v>2618</v>
      </c>
      <c r="G2627" s="420">
        <f t="shared" ca="1" si="48"/>
        <v>-1.6437719748144192E-2</v>
      </c>
    </row>
    <row r="2628" spans="6:7" x14ac:dyDescent="0.2">
      <c r="F2628" s="591">
        <v>2619</v>
      </c>
      <c r="G2628" s="420">
        <f t="shared" ca="1" si="48"/>
        <v>-5.2189786586961939E-2</v>
      </c>
    </row>
    <row r="2629" spans="6:7" x14ac:dyDescent="0.2">
      <c r="F2629" s="591">
        <v>2620</v>
      </c>
      <c r="G2629" s="420">
        <f t="shared" ca="1" si="48"/>
        <v>7.839525741784896E-2</v>
      </c>
    </row>
    <row r="2630" spans="6:7" x14ac:dyDescent="0.2">
      <c r="F2630" s="591">
        <v>2621</v>
      </c>
      <c r="G2630" s="420">
        <f t="shared" ca="1" si="48"/>
        <v>0.16553014598621543</v>
      </c>
    </row>
    <row r="2631" spans="6:7" x14ac:dyDescent="0.2">
      <c r="F2631" s="591">
        <v>2622</v>
      </c>
      <c r="G2631" s="420">
        <f t="shared" ca="1" si="48"/>
        <v>-6.85270993002947E-2</v>
      </c>
    </row>
    <row r="2632" spans="6:7" x14ac:dyDescent="0.2">
      <c r="F2632" s="591">
        <v>2623</v>
      </c>
      <c r="G2632" s="420">
        <f t="shared" ca="1" si="48"/>
        <v>-7.9389536636096547E-2</v>
      </c>
    </row>
    <row r="2633" spans="6:7" x14ac:dyDescent="0.2">
      <c r="F2633" s="591">
        <v>2624</v>
      </c>
      <c r="G2633" s="420">
        <f t="shared" ca="1" si="48"/>
        <v>1.8587131994424272E-2</v>
      </c>
    </row>
    <row r="2634" spans="6:7" x14ac:dyDescent="0.2">
      <c r="F2634" s="591">
        <v>2625</v>
      </c>
      <c r="G2634" s="420">
        <f t="shared" ca="1" si="48"/>
        <v>7.8696001754077496E-2</v>
      </c>
    </row>
    <row r="2635" spans="6:7" x14ac:dyDescent="0.2">
      <c r="F2635" s="591">
        <v>2626</v>
      </c>
      <c r="G2635" s="420">
        <f t="shared" ref="G2635:G2698" ca="1" si="49">_xlfn.NORM.INV(RAND(), $M$11,$M$12)</f>
        <v>1.400688724524363E-2</v>
      </c>
    </row>
    <row r="2636" spans="6:7" x14ac:dyDescent="0.2">
      <c r="F2636" s="591">
        <v>2627</v>
      </c>
      <c r="G2636" s="420">
        <f t="shared" ca="1" si="49"/>
        <v>-0.12295885161854285</v>
      </c>
    </row>
    <row r="2637" spans="6:7" x14ac:dyDescent="0.2">
      <c r="F2637" s="591">
        <v>2628</v>
      </c>
      <c r="G2637" s="420">
        <f t="shared" ca="1" si="49"/>
        <v>9.9141318314684479E-2</v>
      </c>
    </row>
    <row r="2638" spans="6:7" x14ac:dyDescent="0.2">
      <c r="F2638" s="591">
        <v>2629</v>
      </c>
      <c r="G2638" s="420">
        <f t="shared" ca="1" si="49"/>
        <v>-9.678128890750283E-2</v>
      </c>
    </row>
    <row r="2639" spans="6:7" x14ac:dyDescent="0.2">
      <c r="F2639" s="591">
        <v>2630</v>
      </c>
      <c r="G2639" s="420">
        <f t="shared" ca="1" si="49"/>
        <v>8.8638637720004215E-2</v>
      </c>
    </row>
    <row r="2640" spans="6:7" x14ac:dyDescent="0.2">
      <c r="F2640" s="591">
        <v>2631</v>
      </c>
      <c r="G2640" s="420">
        <f t="shared" ca="1" si="49"/>
        <v>-1.168375563598939E-2</v>
      </c>
    </row>
    <row r="2641" spans="6:7" x14ac:dyDescent="0.2">
      <c r="F2641" s="591">
        <v>2632</v>
      </c>
      <c r="G2641" s="420">
        <f t="shared" ca="1" si="49"/>
        <v>2.8693629242547421E-2</v>
      </c>
    </row>
    <row r="2642" spans="6:7" x14ac:dyDescent="0.2">
      <c r="F2642" s="591">
        <v>2633</v>
      </c>
      <c r="G2642" s="420">
        <f t="shared" ca="1" si="49"/>
        <v>7.8741138920941187E-2</v>
      </c>
    </row>
    <row r="2643" spans="6:7" x14ac:dyDescent="0.2">
      <c r="F2643" s="591">
        <v>2634</v>
      </c>
      <c r="G2643" s="420">
        <f t="shared" ca="1" si="49"/>
        <v>-1.3095575718668206E-3</v>
      </c>
    </row>
    <row r="2644" spans="6:7" x14ac:dyDescent="0.2">
      <c r="F2644" s="591">
        <v>2635</v>
      </c>
      <c r="G2644" s="420">
        <f t="shared" ca="1" si="49"/>
        <v>-3.7979500127071505E-2</v>
      </c>
    </row>
    <row r="2645" spans="6:7" x14ac:dyDescent="0.2">
      <c r="F2645" s="591">
        <v>2636</v>
      </c>
      <c r="G2645" s="420">
        <f t="shared" ca="1" si="49"/>
        <v>5.3872779241766644E-2</v>
      </c>
    </row>
    <row r="2646" spans="6:7" x14ac:dyDescent="0.2">
      <c r="F2646" s="591">
        <v>2637</v>
      </c>
      <c r="G2646" s="420">
        <f t="shared" ca="1" si="49"/>
        <v>-1.770512458470511E-2</v>
      </c>
    </row>
    <row r="2647" spans="6:7" x14ac:dyDescent="0.2">
      <c r="F2647" s="591">
        <v>2638</v>
      </c>
      <c r="G2647" s="420">
        <f t="shared" ca="1" si="49"/>
        <v>-9.191286544760445E-4</v>
      </c>
    </row>
    <row r="2648" spans="6:7" x14ac:dyDescent="0.2">
      <c r="F2648" s="591">
        <v>2639</v>
      </c>
      <c r="G2648" s="420">
        <f t="shared" ca="1" si="49"/>
        <v>3.5744883309799219E-2</v>
      </c>
    </row>
    <row r="2649" spans="6:7" x14ac:dyDescent="0.2">
      <c r="F2649" s="591">
        <v>2640</v>
      </c>
      <c r="G2649" s="420">
        <f t="shared" ca="1" si="49"/>
        <v>-0.22412809142254564</v>
      </c>
    </row>
    <row r="2650" spans="6:7" x14ac:dyDescent="0.2">
      <c r="F2650" s="591">
        <v>2641</v>
      </c>
      <c r="G2650" s="420">
        <f t="shared" ca="1" si="49"/>
        <v>6.3160825718201627E-2</v>
      </c>
    </row>
    <row r="2651" spans="6:7" x14ac:dyDescent="0.2">
      <c r="F2651" s="591">
        <v>2642</v>
      </c>
      <c r="G2651" s="420">
        <f t="shared" ca="1" si="49"/>
        <v>4.2116970621708508E-2</v>
      </c>
    </row>
    <row r="2652" spans="6:7" x14ac:dyDescent="0.2">
      <c r="F2652" s="591">
        <v>2643</v>
      </c>
      <c r="G2652" s="420">
        <f t="shared" ca="1" si="49"/>
        <v>9.4592891234376961E-2</v>
      </c>
    </row>
    <row r="2653" spans="6:7" x14ac:dyDescent="0.2">
      <c r="F2653" s="591">
        <v>2644</v>
      </c>
      <c r="G2653" s="420">
        <f t="shared" ca="1" si="49"/>
        <v>6.8374985197023411E-2</v>
      </c>
    </row>
    <row r="2654" spans="6:7" x14ac:dyDescent="0.2">
      <c r="F2654" s="591">
        <v>2645</v>
      </c>
      <c r="G2654" s="420">
        <f t="shared" ca="1" si="49"/>
        <v>4.8189384612928751E-2</v>
      </c>
    </row>
    <row r="2655" spans="6:7" x14ac:dyDescent="0.2">
      <c r="F2655" s="591">
        <v>2646</v>
      </c>
      <c r="G2655" s="420">
        <f t="shared" ca="1" si="49"/>
        <v>5.1240102815093932E-2</v>
      </c>
    </row>
    <row r="2656" spans="6:7" x14ac:dyDescent="0.2">
      <c r="F2656" s="591">
        <v>2647</v>
      </c>
      <c r="G2656" s="420">
        <f t="shared" ca="1" si="49"/>
        <v>-6.6689359142862295E-2</v>
      </c>
    </row>
    <row r="2657" spans="6:7" x14ac:dyDescent="0.2">
      <c r="F2657" s="591">
        <v>2648</v>
      </c>
      <c r="G2657" s="420">
        <f t="shared" ca="1" si="49"/>
        <v>9.9978507054593116E-2</v>
      </c>
    </row>
    <row r="2658" spans="6:7" x14ac:dyDescent="0.2">
      <c r="F2658" s="591">
        <v>2649</v>
      </c>
      <c r="G2658" s="420">
        <f t="shared" ca="1" si="49"/>
        <v>-0.12502213869637011</v>
      </c>
    </row>
    <row r="2659" spans="6:7" x14ac:dyDescent="0.2">
      <c r="F2659" s="591">
        <v>2650</v>
      </c>
      <c r="G2659" s="420">
        <f t="shared" ca="1" si="49"/>
        <v>-5.7860087977772243E-2</v>
      </c>
    </row>
    <row r="2660" spans="6:7" x14ac:dyDescent="0.2">
      <c r="F2660" s="591">
        <v>2651</v>
      </c>
      <c r="G2660" s="420">
        <f t="shared" ca="1" si="49"/>
        <v>0.19500633408484613</v>
      </c>
    </row>
    <row r="2661" spans="6:7" x14ac:dyDescent="0.2">
      <c r="F2661" s="591">
        <v>2652</v>
      </c>
      <c r="G2661" s="420">
        <f t="shared" ca="1" si="49"/>
        <v>1.9253553368730962E-2</v>
      </c>
    </row>
    <row r="2662" spans="6:7" x14ac:dyDescent="0.2">
      <c r="F2662" s="591">
        <v>2653</v>
      </c>
      <c r="G2662" s="420">
        <f t="shared" ca="1" si="49"/>
        <v>3.0951988927018146E-2</v>
      </c>
    </row>
    <row r="2663" spans="6:7" x14ac:dyDescent="0.2">
      <c r="F2663" s="591">
        <v>2654</v>
      </c>
      <c r="G2663" s="420">
        <f t="shared" ca="1" si="49"/>
        <v>5.0955685259985464E-2</v>
      </c>
    </row>
    <row r="2664" spans="6:7" x14ac:dyDescent="0.2">
      <c r="F2664" s="591">
        <v>2655</v>
      </c>
      <c r="G2664" s="420">
        <f t="shared" ca="1" si="49"/>
        <v>-1.2662165404075144E-2</v>
      </c>
    </row>
    <row r="2665" spans="6:7" x14ac:dyDescent="0.2">
      <c r="F2665" s="591">
        <v>2656</v>
      </c>
      <c r="G2665" s="420">
        <f t="shared" ca="1" si="49"/>
        <v>-8.5347633702145029E-2</v>
      </c>
    </row>
    <row r="2666" spans="6:7" x14ac:dyDescent="0.2">
      <c r="F2666" s="591">
        <v>2657</v>
      </c>
      <c r="G2666" s="420">
        <f t="shared" ca="1" si="49"/>
        <v>0.1436304267490166</v>
      </c>
    </row>
    <row r="2667" spans="6:7" x14ac:dyDescent="0.2">
      <c r="F2667" s="591">
        <v>2658</v>
      </c>
      <c r="G2667" s="420">
        <f t="shared" ca="1" si="49"/>
        <v>7.811875798945879E-2</v>
      </c>
    </row>
    <row r="2668" spans="6:7" x14ac:dyDescent="0.2">
      <c r="F2668" s="591">
        <v>2659</v>
      </c>
      <c r="G2668" s="420">
        <f t="shared" ca="1" si="49"/>
        <v>6.5894831548535732E-2</v>
      </c>
    </row>
    <row r="2669" spans="6:7" x14ac:dyDescent="0.2">
      <c r="F2669" s="591">
        <v>2660</v>
      </c>
      <c r="G2669" s="420">
        <f t="shared" ca="1" si="49"/>
        <v>-4.7894258466188278E-2</v>
      </c>
    </row>
    <row r="2670" spans="6:7" x14ac:dyDescent="0.2">
      <c r="F2670" s="591">
        <v>2661</v>
      </c>
      <c r="G2670" s="420">
        <f t="shared" ca="1" si="49"/>
        <v>2.8223258139127089E-2</v>
      </c>
    </row>
    <row r="2671" spans="6:7" x14ac:dyDescent="0.2">
      <c r="F2671" s="591">
        <v>2662</v>
      </c>
      <c r="G2671" s="420">
        <f t="shared" ca="1" si="49"/>
        <v>-9.1519807976699188E-2</v>
      </c>
    </row>
    <row r="2672" spans="6:7" x14ac:dyDescent="0.2">
      <c r="F2672" s="591">
        <v>2663</v>
      </c>
      <c r="G2672" s="420">
        <f t="shared" ca="1" si="49"/>
        <v>1.9152829600478968E-2</v>
      </c>
    </row>
    <row r="2673" spans="6:7" x14ac:dyDescent="0.2">
      <c r="F2673" s="591">
        <v>2664</v>
      </c>
      <c r="G2673" s="420">
        <f t="shared" ca="1" si="49"/>
        <v>5.0794889359897469E-2</v>
      </c>
    </row>
    <row r="2674" spans="6:7" x14ac:dyDescent="0.2">
      <c r="F2674" s="591">
        <v>2665</v>
      </c>
      <c r="G2674" s="420">
        <f t="shared" ca="1" si="49"/>
        <v>-7.6282973531789783E-2</v>
      </c>
    </row>
    <row r="2675" spans="6:7" x14ac:dyDescent="0.2">
      <c r="F2675" s="591">
        <v>2666</v>
      </c>
      <c r="G2675" s="420">
        <f t="shared" ca="1" si="49"/>
        <v>-3.5611296367509503E-3</v>
      </c>
    </row>
    <row r="2676" spans="6:7" x14ac:dyDescent="0.2">
      <c r="F2676" s="591">
        <v>2667</v>
      </c>
      <c r="G2676" s="420">
        <f t="shared" ca="1" si="49"/>
        <v>-5.5246270031581043E-2</v>
      </c>
    </row>
    <row r="2677" spans="6:7" x14ac:dyDescent="0.2">
      <c r="F2677" s="591">
        <v>2668</v>
      </c>
      <c r="G2677" s="420">
        <f t="shared" ca="1" si="49"/>
        <v>4.9839016837131572E-2</v>
      </c>
    </row>
    <row r="2678" spans="6:7" x14ac:dyDescent="0.2">
      <c r="F2678" s="591">
        <v>2669</v>
      </c>
      <c r="G2678" s="420">
        <f t="shared" ca="1" si="49"/>
        <v>2.9447029669364581E-2</v>
      </c>
    </row>
    <row r="2679" spans="6:7" x14ac:dyDescent="0.2">
      <c r="F2679" s="591">
        <v>2670</v>
      </c>
      <c r="G2679" s="420">
        <f t="shared" ca="1" si="49"/>
        <v>-0.11578066934422408</v>
      </c>
    </row>
    <row r="2680" spans="6:7" x14ac:dyDescent="0.2">
      <c r="F2680" s="591">
        <v>2671</v>
      </c>
      <c r="G2680" s="420">
        <f t="shared" ca="1" si="49"/>
        <v>-4.3733273364090122E-2</v>
      </c>
    </row>
    <row r="2681" spans="6:7" x14ac:dyDescent="0.2">
      <c r="F2681" s="591">
        <v>2672</v>
      </c>
      <c r="G2681" s="420">
        <f t="shared" ca="1" si="49"/>
        <v>-0.13920717759330745</v>
      </c>
    </row>
    <row r="2682" spans="6:7" x14ac:dyDescent="0.2">
      <c r="F2682" s="591">
        <v>2673</v>
      </c>
      <c r="G2682" s="420">
        <f t="shared" ca="1" si="49"/>
        <v>7.4907044585272919E-2</v>
      </c>
    </row>
    <row r="2683" spans="6:7" x14ac:dyDescent="0.2">
      <c r="F2683" s="591">
        <v>2674</v>
      </c>
      <c r="G2683" s="420">
        <f t="shared" ca="1" si="49"/>
        <v>-1.638111291262255E-2</v>
      </c>
    </row>
    <row r="2684" spans="6:7" x14ac:dyDescent="0.2">
      <c r="F2684" s="591">
        <v>2675</v>
      </c>
      <c r="G2684" s="420">
        <f t="shared" ca="1" si="49"/>
        <v>3.3519023891326882E-2</v>
      </c>
    </row>
    <row r="2685" spans="6:7" x14ac:dyDescent="0.2">
      <c r="F2685" s="591">
        <v>2676</v>
      </c>
      <c r="G2685" s="420">
        <f t="shared" ca="1" si="49"/>
        <v>-4.5186587854282187E-2</v>
      </c>
    </row>
    <row r="2686" spans="6:7" x14ac:dyDescent="0.2">
      <c r="F2686" s="591">
        <v>2677</v>
      </c>
      <c r="G2686" s="420">
        <f t="shared" ca="1" si="49"/>
        <v>-2.4877858903078278E-2</v>
      </c>
    </row>
    <row r="2687" spans="6:7" x14ac:dyDescent="0.2">
      <c r="F2687" s="591">
        <v>2678</v>
      </c>
      <c r="G2687" s="420">
        <f t="shared" ca="1" si="49"/>
        <v>-0.10516720045938729</v>
      </c>
    </row>
    <row r="2688" spans="6:7" x14ac:dyDescent="0.2">
      <c r="F2688" s="591">
        <v>2679</v>
      </c>
      <c r="G2688" s="420">
        <f t="shared" ca="1" si="49"/>
        <v>-4.5028067847129191E-2</v>
      </c>
    </row>
    <row r="2689" spans="6:7" x14ac:dyDescent="0.2">
      <c r="F2689" s="591">
        <v>2680</v>
      </c>
      <c r="G2689" s="420">
        <f t="shared" ca="1" si="49"/>
        <v>5.0728375034590619E-3</v>
      </c>
    </row>
    <row r="2690" spans="6:7" x14ac:dyDescent="0.2">
      <c r="F2690" s="591">
        <v>2681</v>
      </c>
      <c r="G2690" s="420">
        <f t="shared" ca="1" si="49"/>
        <v>-1.274591365392368E-2</v>
      </c>
    </row>
    <row r="2691" spans="6:7" x14ac:dyDescent="0.2">
      <c r="F2691" s="591">
        <v>2682</v>
      </c>
      <c r="G2691" s="420">
        <f t="shared" ca="1" si="49"/>
        <v>-4.0635701397698676E-2</v>
      </c>
    </row>
    <row r="2692" spans="6:7" x14ac:dyDescent="0.2">
      <c r="F2692" s="591">
        <v>2683</v>
      </c>
      <c r="G2692" s="420">
        <f t="shared" ca="1" si="49"/>
        <v>1.8373888726853943E-2</v>
      </c>
    </row>
    <row r="2693" spans="6:7" x14ac:dyDescent="0.2">
      <c r="F2693" s="591">
        <v>2684</v>
      </c>
      <c r="G2693" s="420">
        <f t="shared" ca="1" si="49"/>
        <v>3.5958615872828427E-2</v>
      </c>
    </row>
    <row r="2694" spans="6:7" x14ac:dyDescent="0.2">
      <c r="F2694" s="591">
        <v>2685</v>
      </c>
      <c r="G2694" s="420">
        <f t="shared" ca="1" si="49"/>
        <v>-8.8306224320037624E-3</v>
      </c>
    </row>
    <row r="2695" spans="6:7" x14ac:dyDescent="0.2">
      <c r="F2695" s="591">
        <v>2686</v>
      </c>
      <c r="G2695" s="420">
        <f t="shared" ca="1" si="49"/>
        <v>0.10960443334800307</v>
      </c>
    </row>
    <row r="2696" spans="6:7" x14ac:dyDescent="0.2">
      <c r="F2696" s="591">
        <v>2687</v>
      </c>
      <c r="G2696" s="420">
        <f t="shared" ca="1" si="49"/>
        <v>-8.1303377230372259E-2</v>
      </c>
    </row>
    <row r="2697" spans="6:7" x14ac:dyDescent="0.2">
      <c r="F2697" s="591">
        <v>2688</v>
      </c>
      <c r="G2697" s="420">
        <f t="shared" ca="1" si="49"/>
        <v>0.1275337965398686</v>
      </c>
    </row>
    <row r="2698" spans="6:7" x14ac:dyDescent="0.2">
      <c r="F2698" s="591">
        <v>2689</v>
      </c>
      <c r="G2698" s="420">
        <f t="shared" ca="1" si="49"/>
        <v>-0.13484376571397705</v>
      </c>
    </row>
    <row r="2699" spans="6:7" x14ac:dyDescent="0.2">
      <c r="F2699" s="591">
        <v>2690</v>
      </c>
      <c r="G2699" s="420">
        <f t="shared" ref="G2699:G2762" ca="1" si="50">_xlfn.NORM.INV(RAND(), $M$11,$M$12)</f>
        <v>4.1097671896137E-2</v>
      </c>
    </row>
    <row r="2700" spans="6:7" x14ac:dyDescent="0.2">
      <c r="F2700" s="591">
        <v>2691</v>
      </c>
      <c r="G2700" s="420">
        <f t="shared" ca="1" si="50"/>
        <v>8.9127744110991447E-2</v>
      </c>
    </row>
    <row r="2701" spans="6:7" x14ac:dyDescent="0.2">
      <c r="F2701" s="591">
        <v>2692</v>
      </c>
      <c r="G2701" s="420">
        <f t="shared" ca="1" si="50"/>
        <v>0.1214289190669281</v>
      </c>
    </row>
    <row r="2702" spans="6:7" x14ac:dyDescent="0.2">
      <c r="F2702" s="591">
        <v>2693</v>
      </c>
      <c r="G2702" s="420">
        <f t="shared" ca="1" si="50"/>
        <v>0.11638289725268282</v>
      </c>
    </row>
    <row r="2703" spans="6:7" x14ac:dyDescent="0.2">
      <c r="F2703" s="591">
        <v>2694</v>
      </c>
      <c r="G2703" s="420">
        <f t="shared" ca="1" si="50"/>
        <v>-4.5527962104638414E-2</v>
      </c>
    </row>
    <row r="2704" spans="6:7" x14ac:dyDescent="0.2">
      <c r="F2704" s="591">
        <v>2695</v>
      </c>
      <c r="G2704" s="420">
        <f t="shared" ca="1" si="50"/>
        <v>0.20226780669496791</v>
      </c>
    </row>
    <row r="2705" spans="6:7" x14ac:dyDescent="0.2">
      <c r="F2705" s="591">
        <v>2696</v>
      </c>
      <c r="G2705" s="420">
        <f t="shared" ca="1" si="50"/>
        <v>3.9051588405045731E-2</v>
      </c>
    </row>
    <row r="2706" spans="6:7" x14ac:dyDescent="0.2">
      <c r="F2706" s="591">
        <v>2697</v>
      </c>
      <c r="G2706" s="420">
        <f t="shared" ca="1" si="50"/>
        <v>-4.2800669613460886E-3</v>
      </c>
    </row>
    <row r="2707" spans="6:7" x14ac:dyDescent="0.2">
      <c r="F2707" s="591">
        <v>2698</v>
      </c>
      <c r="G2707" s="420">
        <f t="shared" ca="1" si="50"/>
        <v>8.114356275969517E-2</v>
      </c>
    </row>
    <row r="2708" spans="6:7" x14ac:dyDescent="0.2">
      <c r="F2708" s="591">
        <v>2699</v>
      </c>
      <c r="G2708" s="420">
        <f t="shared" ca="1" si="50"/>
        <v>5.0762495545094738E-2</v>
      </c>
    </row>
    <row r="2709" spans="6:7" x14ac:dyDescent="0.2">
      <c r="F2709" s="591">
        <v>2700</v>
      </c>
      <c r="G2709" s="420">
        <f t="shared" ca="1" si="50"/>
        <v>3.1945802395819012E-2</v>
      </c>
    </row>
    <row r="2710" spans="6:7" x14ac:dyDescent="0.2">
      <c r="F2710" s="591">
        <v>2701</v>
      </c>
      <c r="G2710" s="420">
        <f t="shared" ca="1" si="50"/>
        <v>6.8407270385143673E-2</v>
      </c>
    </row>
    <row r="2711" spans="6:7" x14ac:dyDescent="0.2">
      <c r="F2711" s="591">
        <v>2702</v>
      </c>
      <c r="G2711" s="420">
        <f t="shared" ca="1" si="50"/>
        <v>1.7686062757143753E-2</v>
      </c>
    </row>
    <row r="2712" spans="6:7" x14ac:dyDescent="0.2">
      <c r="F2712" s="591">
        <v>2703</v>
      </c>
      <c r="G2712" s="420">
        <f t="shared" ca="1" si="50"/>
        <v>-0.11696120891670785</v>
      </c>
    </row>
    <row r="2713" spans="6:7" x14ac:dyDescent="0.2">
      <c r="F2713" s="591">
        <v>2704</v>
      </c>
      <c r="G2713" s="420">
        <f t="shared" ca="1" si="50"/>
        <v>-0.16913010500454836</v>
      </c>
    </row>
    <row r="2714" spans="6:7" x14ac:dyDescent="0.2">
      <c r="F2714" s="591">
        <v>2705</v>
      </c>
      <c r="G2714" s="420">
        <f t="shared" ca="1" si="50"/>
        <v>-2.8228965189939326E-2</v>
      </c>
    </row>
    <row r="2715" spans="6:7" x14ac:dyDescent="0.2">
      <c r="F2715" s="591">
        <v>2706</v>
      </c>
      <c r="G2715" s="420">
        <f t="shared" ca="1" si="50"/>
        <v>-9.9349525496238475E-2</v>
      </c>
    </row>
    <row r="2716" spans="6:7" x14ac:dyDescent="0.2">
      <c r="F2716" s="591">
        <v>2707</v>
      </c>
      <c r="G2716" s="420">
        <f t="shared" ca="1" si="50"/>
        <v>3.8681294179207543E-2</v>
      </c>
    </row>
    <row r="2717" spans="6:7" x14ac:dyDescent="0.2">
      <c r="F2717" s="591">
        <v>2708</v>
      </c>
      <c r="G2717" s="420">
        <f t="shared" ca="1" si="50"/>
        <v>2.8225664543793556E-4</v>
      </c>
    </row>
    <row r="2718" spans="6:7" x14ac:dyDescent="0.2">
      <c r="F2718" s="591">
        <v>2709</v>
      </c>
      <c r="G2718" s="420">
        <f t="shared" ca="1" si="50"/>
        <v>6.6509282272714992E-2</v>
      </c>
    </row>
    <row r="2719" spans="6:7" x14ac:dyDescent="0.2">
      <c r="F2719" s="591">
        <v>2710</v>
      </c>
      <c r="G2719" s="420">
        <f t="shared" ca="1" si="50"/>
        <v>8.1113176952607197E-2</v>
      </c>
    </row>
    <row r="2720" spans="6:7" x14ac:dyDescent="0.2">
      <c r="F2720" s="591">
        <v>2711</v>
      </c>
      <c r="G2720" s="420">
        <f t="shared" ca="1" si="50"/>
        <v>5.8511572770194517E-2</v>
      </c>
    </row>
    <row r="2721" spans="6:7" x14ac:dyDescent="0.2">
      <c r="F2721" s="591">
        <v>2712</v>
      </c>
      <c r="G2721" s="420">
        <f t="shared" ca="1" si="50"/>
        <v>1.5104952043827053E-2</v>
      </c>
    </row>
    <row r="2722" spans="6:7" x14ac:dyDescent="0.2">
      <c r="F2722" s="591">
        <v>2713</v>
      </c>
      <c r="G2722" s="420">
        <f t="shared" ca="1" si="50"/>
        <v>-5.8731319506817176E-2</v>
      </c>
    </row>
    <row r="2723" spans="6:7" x14ac:dyDescent="0.2">
      <c r="F2723" s="591">
        <v>2714</v>
      </c>
      <c r="G2723" s="420">
        <f t="shared" ca="1" si="50"/>
        <v>-1.6507068819238174E-2</v>
      </c>
    </row>
    <row r="2724" spans="6:7" x14ac:dyDescent="0.2">
      <c r="F2724" s="591">
        <v>2715</v>
      </c>
      <c r="G2724" s="420">
        <f t="shared" ca="1" si="50"/>
        <v>2.7471431564833629E-2</v>
      </c>
    </row>
    <row r="2725" spans="6:7" x14ac:dyDescent="0.2">
      <c r="F2725" s="591">
        <v>2716</v>
      </c>
      <c r="G2725" s="420">
        <f t="shared" ca="1" si="50"/>
        <v>-1.998418915276021E-2</v>
      </c>
    </row>
    <row r="2726" spans="6:7" x14ac:dyDescent="0.2">
      <c r="F2726" s="591">
        <v>2717</v>
      </c>
      <c r="G2726" s="420">
        <f t="shared" ca="1" si="50"/>
        <v>9.5214127622261391E-2</v>
      </c>
    </row>
    <row r="2727" spans="6:7" x14ac:dyDescent="0.2">
      <c r="F2727" s="591">
        <v>2718</v>
      </c>
      <c r="G2727" s="420">
        <f t="shared" ca="1" si="50"/>
        <v>-5.7619406107025942E-2</v>
      </c>
    </row>
    <row r="2728" spans="6:7" x14ac:dyDescent="0.2">
      <c r="F2728" s="591">
        <v>2719</v>
      </c>
      <c r="G2728" s="420">
        <f t="shared" ca="1" si="50"/>
        <v>-1.7091451322475467E-2</v>
      </c>
    </row>
    <row r="2729" spans="6:7" x14ac:dyDescent="0.2">
      <c r="F2729" s="591">
        <v>2720</v>
      </c>
      <c r="G2729" s="420">
        <f t="shared" ca="1" si="50"/>
        <v>-5.6916428915248826E-2</v>
      </c>
    </row>
    <row r="2730" spans="6:7" x14ac:dyDescent="0.2">
      <c r="F2730" s="591">
        <v>2721</v>
      </c>
      <c r="G2730" s="420">
        <f t="shared" ca="1" si="50"/>
        <v>6.214761616997122E-2</v>
      </c>
    </row>
    <row r="2731" spans="6:7" x14ac:dyDescent="0.2">
      <c r="F2731" s="591">
        <v>2722</v>
      </c>
      <c r="G2731" s="420">
        <f t="shared" ca="1" si="50"/>
        <v>-5.7696308341286216E-3</v>
      </c>
    </row>
    <row r="2732" spans="6:7" x14ac:dyDescent="0.2">
      <c r="F2732" s="591">
        <v>2723</v>
      </c>
      <c r="G2732" s="420">
        <f t="shared" ca="1" si="50"/>
        <v>7.5381530145851763E-2</v>
      </c>
    </row>
    <row r="2733" spans="6:7" x14ac:dyDescent="0.2">
      <c r="F2733" s="591">
        <v>2724</v>
      </c>
      <c r="G2733" s="420">
        <f t="shared" ca="1" si="50"/>
        <v>7.0406152481298473E-2</v>
      </c>
    </row>
    <row r="2734" spans="6:7" x14ac:dyDescent="0.2">
      <c r="F2734" s="591">
        <v>2725</v>
      </c>
      <c r="G2734" s="420">
        <f t="shared" ca="1" si="50"/>
        <v>-1.9066215699599775E-2</v>
      </c>
    </row>
    <row r="2735" spans="6:7" x14ac:dyDescent="0.2">
      <c r="F2735" s="591">
        <v>2726</v>
      </c>
      <c r="G2735" s="420">
        <f t="shared" ca="1" si="50"/>
        <v>1.5184908177062556E-2</v>
      </c>
    </row>
    <row r="2736" spans="6:7" x14ac:dyDescent="0.2">
      <c r="F2736" s="591">
        <v>2727</v>
      </c>
      <c r="G2736" s="420">
        <f t="shared" ca="1" si="50"/>
        <v>-3.5852473823385023E-2</v>
      </c>
    </row>
    <row r="2737" spans="6:7" x14ac:dyDescent="0.2">
      <c r="F2737" s="591">
        <v>2728</v>
      </c>
      <c r="G2737" s="420">
        <f t="shared" ca="1" si="50"/>
        <v>-0.1158490061782584</v>
      </c>
    </row>
    <row r="2738" spans="6:7" x14ac:dyDescent="0.2">
      <c r="F2738" s="591">
        <v>2729</v>
      </c>
      <c r="G2738" s="420">
        <f t="shared" ca="1" si="50"/>
        <v>-2.6203042997337719E-2</v>
      </c>
    </row>
    <row r="2739" spans="6:7" x14ac:dyDescent="0.2">
      <c r="F2739" s="591">
        <v>2730</v>
      </c>
      <c r="G2739" s="420">
        <f t="shared" ca="1" si="50"/>
        <v>4.5570441943744794E-2</v>
      </c>
    </row>
    <row r="2740" spans="6:7" x14ac:dyDescent="0.2">
      <c r="F2740" s="591">
        <v>2731</v>
      </c>
      <c r="G2740" s="420">
        <f t="shared" ca="1" si="50"/>
        <v>0.10874488457246118</v>
      </c>
    </row>
    <row r="2741" spans="6:7" x14ac:dyDescent="0.2">
      <c r="F2741" s="591">
        <v>2732</v>
      </c>
      <c r="G2741" s="420">
        <f t="shared" ca="1" si="50"/>
        <v>0.15122822923389245</v>
      </c>
    </row>
    <row r="2742" spans="6:7" x14ac:dyDescent="0.2">
      <c r="F2742" s="591">
        <v>2733</v>
      </c>
      <c r="G2742" s="420">
        <f t="shared" ca="1" si="50"/>
        <v>1.1101854778136779E-2</v>
      </c>
    </row>
    <row r="2743" spans="6:7" x14ac:dyDescent="0.2">
      <c r="F2743" s="591">
        <v>2734</v>
      </c>
      <c r="G2743" s="420">
        <f t="shared" ca="1" si="50"/>
        <v>7.7972808548423381E-2</v>
      </c>
    </row>
    <row r="2744" spans="6:7" x14ac:dyDescent="0.2">
      <c r="F2744" s="591">
        <v>2735</v>
      </c>
      <c r="G2744" s="420">
        <f t="shared" ca="1" si="50"/>
        <v>0.13482193730403355</v>
      </c>
    </row>
    <row r="2745" spans="6:7" x14ac:dyDescent="0.2">
      <c r="F2745" s="591">
        <v>2736</v>
      </c>
      <c r="G2745" s="420">
        <f t="shared" ca="1" si="50"/>
        <v>4.4294835649841394E-2</v>
      </c>
    </row>
    <row r="2746" spans="6:7" x14ac:dyDescent="0.2">
      <c r="F2746" s="591">
        <v>2737</v>
      </c>
      <c r="G2746" s="420">
        <f t="shared" ca="1" si="50"/>
        <v>3.8767620185983974E-2</v>
      </c>
    </row>
    <row r="2747" spans="6:7" x14ac:dyDescent="0.2">
      <c r="F2747" s="591">
        <v>2738</v>
      </c>
      <c r="G2747" s="420">
        <f t="shared" ca="1" si="50"/>
        <v>8.953655246757326E-3</v>
      </c>
    </row>
    <row r="2748" spans="6:7" x14ac:dyDescent="0.2">
      <c r="F2748" s="591">
        <v>2739</v>
      </c>
      <c r="G2748" s="420">
        <f t="shared" ca="1" si="50"/>
        <v>1.0198248942854716E-2</v>
      </c>
    </row>
    <row r="2749" spans="6:7" x14ac:dyDescent="0.2">
      <c r="F2749" s="591">
        <v>2740</v>
      </c>
      <c r="G2749" s="420">
        <f t="shared" ca="1" si="50"/>
        <v>-8.5144481338281022E-2</v>
      </c>
    </row>
    <row r="2750" spans="6:7" x14ac:dyDescent="0.2">
      <c r="F2750" s="591">
        <v>2741</v>
      </c>
      <c r="G2750" s="420">
        <f t="shared" ca="1" si="50"/>
        <v>-6.3129481764246861E-2</v>
      </c>
    </row>
    <row r="2751" spans="6:7" x14ac:dyDescent="0.2">
      <c r="F2751" s="591">
        <v>2742</v>
      </c>
      <c r="G2751" s="420">
        <f t="shared" ca="1" si="50"/>
        <v>7.2143738863872417E-2</v>
      </c>
    </row>
    <row r="2752" spans="6:7" x14ac:dyDescent="0.2">
      <c r="F2752" s="591">
        <v>2743</v>
      </c>
      <c r="G2752" s="420">
        <f t="shared" ca="1" si="50"/>
        <v>8.8658024573892887E-4</v>
      </c>
    </row>
    <row r="2753" spans="6:7" x14ac:dyDescent="0.2">
      <c r="F2753" s="591">
        <v>2744</v>
      </c>
      <c r="G2753" s="420">
        <f t="shared" ca="1" si="50"/>
        <v>0.12082497911913719</v>
      </c>
    </row>
    <row r="2754" spans="6:7" x14ac:dyDescent="0.2">
      <c r="F2754" s="591">
        <v>2745</v>
      </c>
      <c r="G2754" s="420">
        <f t="shared" ca="1" si="50"/>
        <v>9.2876527693833671E-2</v>
      </c>
    </row>
    <row r="2755" spans="6:7" x14ac:dyDescent="0.2">
      <c r="F2755" s="591">
        <v>2746</v>
      </c>
      <c r="G2755" s="420">
        <f t="shared" ca="1" si="50"/>
        <v>2.7147418576756177E-2</v>
      </c>
    </row>
    <row r="2756" spans="6:7" x14ac:dyDescent="0.2">
      <c r="F2756" s="591">
        <v>2747</v>
      </c>
      <c r="G2756" s="420">
        <f t="shared" ca="1" si="50"/>
        <v>2.5911300835374396E-3</v>
      </c>
    </row>
    <row r="2757" spans="6:7" x14ac:dyDescent="0.2">
      <c r="F2757" s="591">
        <v>2748</v>
      </c>
      <c r="G2757" s="420">
        <f t="shared" ca="1" si="50"/>
        <v>3.6495786886503151E-2</v>
      </c>
    </row>
    <row r="2758" spans="6:7" x14ac:dyDescent="0.2">
      <c r="F2758" s="591">
        <v>2749</v>
      </c>
      <c r="G2758" s="420">
        <f t="shared" ca="1" si="50"/>
        <v>3.8852184345950835E-2</v>
      </c>
    </row>
    <row r="2759" spans="6:7" x14ac:dyDescent="0.2">
      <c r="F2759" s="591">
        <v>2750</v>
      </c>
      <c r="G2759" s="420">
        <f t="shared" ca="1" si="50"/>
        <v>-4.776647839201939E-2</v>
      </c>
    </row>
    <row r="2760" spans="6:7" x14ac:dyDescent="0.2">
      <c r="F2760" s="591">
        <v>2751</v>
      </c>
      <c r="G2760" s="420">
        <f t="shared" ca="1" si="50"/>
        <v>1.2192021167988539E-2</v>
      </c>
    </row>
    <row r="2761" spans="6:7" x14ac:dyDescent="0.2">
      <c r="F2761" s="591">
        <v>2752</v>
      </c>
      <c r="G2761" s="420">
        <f t="shared" ca="1" si="50"/>
        <v>9.0510116927215833E-2</v>
      </c>
    </row>
    <row r="2762" spans="6:7" x14ac:dyDescent="0.2">
      <c r="F2762" s="591">
        <v>2753</v>
      </c>
      <c r="G2762" s="420">
        <f t="shared" ca="1" si="50"/>
        <v>9.0729353432046522E-2</v>
      </c>
    </row>
    <row r="2763" spans="6:7" x14ac:dyDescent="0.2">
      <c r="F2763" s="591">
        <v>2754</v>
      </c>
      <c r="G2763" s="420">
        <f t="shared" ref="G2763:G2826" ca="1" si="51">_xlfn.NORM.INV(RAND(), $M$11,$M$12)</f>
        <v>9.8663078003135077E-4</v>
      </c>
    </row>
    <row r="2764" spans="6:7" x14ac:dyDescent="0.2">
      <c r="F2764" s="591">
        <v>2755</v>
      </c>
      <c r="G2764" s="420">
        <f t="shared" ca="1" si="51"/>
        <v>-0.12254966564832613</v>
      </c>
    </row>
    <row r="2765" spans="6:7" x14ac:dyDescent="0.2">
      <c r="F2765" s="591">
        <v>2756</v>
      </c>
      <c r="G2765" s="420">
        <f t="shared" ca="1" si="51"/>
        <v>-3.4970028324162628E-2</v>
      </c>
    </row>
    <row r="2766" spans="6:7" x14ac:dyDescent="0.2">
      <c r="F2766" s="591">
        <v>2757</v>
      </c>
      <c r="G2766" s="420">
        <f t="shared" ca="1" si="51"/>
        <v>-3.4911061849290798E-2</v>
      </c>
    </row>
    <row r="2767" spans="6:7" x14ac:dyDescent="0.2">
      <c r="F2767" s="591">
        <v>2758</v>
      </c>
      <c r="G2767" s="420">
        <f t="shared" ca="1" si="51"/>
        <v>-0.22709483338304637</v>
      </c>
    </row>
    <row r="2768" spans="6:7" x14ac:dyDescent="0.2">
      <c r="F2768" s="591">
        <v>2759</v>
      </c>
      <c r="G2768" s="420">
        <f t="shared" ca="1" si="51"/>
        <v>-5.4055017847435168E-3</v>
      </c>
    </row>
    <row r="2769" spans="6:7" x14ac:dyDescent="0.2">
      <c r="F2769" s="591">
        <v>2760</v>
      </c>
      <c r="G2769" s="420">
        <f t="shared" ca="1" si="51"/>
        <v>2.3066478875923183E-2</v>
      </c>
    </row>
    <row r="2770" spans="6:7" x14ac:dyDescent="0.2">
      <c r="F2770" s="591">
        <v>2761</v>
      </c>
      <c r="G2770" s="420">
        <f t="shared" ca="1" si="51"/>
        <v>-3.6508759651868047E-2</v>
      </c>
    </row>
    <row r="2771" spans="6:7" x14ac:dyDescent="0.2">
      <c r="F2771" s="591">
        <v>2762</v>
      </c>
      <c r="G2771" s="420">
        <f t="shared" ca="1" si="51"/>
        <v>-4.9287482130064494E-3</v>
      </c>
    </row>
    <row r="2772" spans="6:7" x14ac:dyDescent="0.2">
      <c r="F2772" s="591">
        <v>2763</v>
      </c>
      <c r="G2772" s="420">
        <f t="shared" ca="1" si="51"/>
        <v>4.0271088294378907E-2</v>
      </c>
    </row>
    <row r="2773" spans="6:7" x14ac:dyDescent="0.2">
      <c r="F2773" s="591">
        <v>2764</v>
      </c>
      <c r="G2773" s="420">
        <f t="shared" ca="1" si="51"/>
        <v>6.2431098684403413E-2</v>
      </c>
    </row>
    <row r="2774" spans="6:7" x14ac:dyDescent="0.2">
      <c r="F2774" s="591">
        <v>2765</v>
      </c>
      <c r="G2774" s="420">
        <f t="shared" ca="1" si="51"/>
        <v>5.864712015816656E-2</v>
      </c>
    </row>
    <row r="2775" spans="6:7" x14ac:dyDescent="0.2">
      <c r="F2775" s="591">
        <v>2766</v>
      </c>
      <c r="G2775" s="420">
        <f t="shared" ca="1" si="51"/>
        <v>-1.9376557017805097E-2</v>
      </c>
    </row>
    <row r="2776" spans="6:7" x14ac:dyDescent="0.2">
      <c r="F2776" s="591">
        <v>2767</v>
      </c>
      <c r="G2776" s="420">
        <f t="shared" ca="1" si="51"/>
        <v>7.5494354546798148E-2</v>
      </c>
    </row>
    <row r="2777" spans="6:7" x14ac:dyDescent="0.2">
      <c r="F2777" s="591">
        <v>2768</v>
      </c>
      <c r="G2777" s="420">
        <f t="shared" ca="1" si="51"/>
        <v>-5.4724967127048926E-2</v>
      </c>
    </row>
    <row r="2778" spans="6:7" x14ac:dyDescent="0.2">
      <c r="F2778" s="591">
        <v>2769</v>
      </c>
      <c r="G2778" s="420">
        <f t="shared" ca="1" si="51"/>
        <v>-4.108273800987236E-2</v>
      </c>
    </row>
    <row r="2779" spans="6:7" x14ac:dyDescent="0.2">
      <c r="F2779" s="591">
        <v>2770</v>
      </c>
      <c r="G2779" s="420">
        <f t="shared" ca="1" si="51"/>
        <v>-3.8895855123038045E-2</v>
      </c>
    </row>
    <row r="2780" spans="6:7" x14ac:dyDescent="0.2">
      <c r="F2780" s="591">
        <v>2771</v>
      </c>
      <c r="G2780" s="420">
        <f t="shared" ca="1" si="51"/>
        <v>5.4158781470537445E-2</v>
      </c>
    </row>
    <row r="2781" spans="6:7" x14ac:dyDescent="0.2">
      <c r="F2781" s="591">
        <v>2772</v>
      </c>
      <c r="G2781" s="420">
        <f t="shared" ca="1" si="51"/>
        <v>7.9490117321600509E-2</v>
      </c>
    </row>
    <row r="2782" spans="6:7" x14ac:dyDescent="0.2">
      <c r="F2782" s="591">
        <v>2773</v>
      </c>
      <c r="G2782" s="420">
        <f t="shared" ca="1" si="51"/>
        <v>6.0889639221412398E-2</v>
      </c>
    </row>
    <row r="2783" spans="6:7" x14ac:dyDescent="0.2">
      <c r="F2783" s="591">
        <v>2774</v>
      </c>
      <c r="G2783" s="420">
        <f t="shared" ca="1" si="51"/>
        <v>-6.1260306735792608E-2</v>
      </c>
    </row>
    <row r="2784" spans="6:7" x14ac:dyDescent="0.2">
      <c r="F2784" s="591">
        <v>2775</v>
      </c>
      <c r="G2784" s="420">
        <f t="shared" ca="1" si="51"/>
        <v>3.7056002755420391E-2</v>
      </c>
    </row>
    <row r="2785" spans="6:7" x14ac:dyDescent="0.2">
      <c r="F2785" s="591">
        <v>2776</v>
      </c>
      <c r="G2785" s="420">
        <f t="shared" ca="1" si="51"/>
        <v>7.308377873072594E-2</v>
      </c>
    </row>
    <row r="2786" spans="6:7" x14ac:dyDescent="0.2">
      <c r="F2786" s="591">
        <v>2777</v>
      </c>
      <c r="G2786" s="420">
        <f t="shared" ca="1" si="51"/>
        <v>0.15820026184890337</v>
      </c>
    </row>
    <row r="2787" spans="6:7" x14ac:dyDescent="0.2">
      <c r="F2787" s="591">
        <v>2778</v>
      </c>
      <c r="G2787" s="420">
        <f t="shared" ca="1" si="51"/>
        <v>-3.9131234227937517E-2</v>
      </c>
    </row>
    <row r="2788" spans="6:7" x14ac:dyDescent="0.2">
      <c r="F2788" s="591">
        <v>2779</v>
      </c>
      <c r="G2788" s="420">
        <f t="shared" ca="1" si="51"/>
        <v>5.3048472393227075E-2</v>
      </c>
    </row>
    <row r="2789" spans="6:7" x14ac:dyDescent="0.2">
      <c r="F2789" s="591">
        <v>2780</v>
      </c>
      <c r="G2789" s="420">
        <f t="shared" ca="1" si="51"/>
        <v>-8.0553539980984606E-2</v>
      </c>
    </row>
    <row r="2790" spans="6:7" x14ac:dyDescent="0.2">
      <c r="F2790" s="591">
        <v>2781</v>
      </c>
      <c r="G2790" s="420">
        <f t="shared" ca="1" si="51"/>
        <v>-3.2502149271943809E-2</v>
      </c>
    </row>
    <row r="2791" spans="6:7" x14ac:dyDescent="0.2">
      <c r="F2791" s="591">
        <v>2782</v>
      </c>
      <c r="G2791" s="420">
        <f t="shared" ca="1" si="51"/>
        <v>-4.709369828932243E-2</v>
      </c>
    </row>
    <row r="2792" spans="6:7" x14ac:dyDescent="0.2">
      <c r="F2792" s="591">
        <v>2783</v>
      </c>
      <c r="G2792" s="420">
        <f t="shared" ca="1" si="51"/>
        <v>6.9773094247098294E-2</v>
      </c>
    </row>
    <row r="2793" spans="6:7" x14ac:dyDescent="0.2">
      <c r="F2793" s="591">
        <v>2784</v>
      </c>
      <c r="G2793" s="420">
        <f t="shared" ca="1" si="51"/>
        <v>3.574354353744235E-2</v>
      </c>
    </row>
    <row r="2794" spans="6:7" x14ac:dyDescent="0.2">
      <c r="F2794" s="591">
        <v>2785</v>
      </c>
      <c r="G2794" s="420">
        <f t="shared" ca="1" si="51"/>
        <v>-0.11975466474884498</v>
      </c>
    </row>
    <row r="2795" spans="6:7" x14ac:dyDescent="0.2">
      <c r="F2795" s="591">
        <v>2786</v>
      </c>
      <c r="G2795" s="420">
        <f t="shared" ca="1" si="51"/>
        <v>-2.3997787944481475E-2</v>
      </c>
    </row>
    <row r="2796" spans="6:7" x14ac:dyDescent="0.2">
      <c r="F2796" s="591">
        <v>2787</v>
      </c>
      <c r="G2796" s="420">
        <f t="shared" ca="1" si="51"/>
        <v>6.7356657599155628E-2</v>
      </c>
    </row>
    <row r="2797" spans="6:7" x14ac:dyDescent="0.2">
      <c r="F2797" s="591">
        <v>2788</v>
      </c>
      <c r="G2797" s="420">
        <f t="shared" ca="1" si="51"/>
        <v>2.8052464151466342E-2</v>
      </c>
    </row>
    <row r="2798" spans="6:7" x14ac:dyDescent="0.2">
      <c r="F2798" s="591">
        <v>2789</v>
      </c>
      <c r="G2798" s="420">
        <f t="shared" ca="1" si="51"/>
        <v>-3.0030557771482568E-2</v>
      </c>
    </row>
    <row r="2799" spans="6:7" x14ac:dyDescent="0.2">
      <c r="F2799" s="591">
        <v>2790</v>
      </c>
      <c r="G2799" s="420">
        <f t="shared" ca="1" si="51"/>
        <v>3.083389233339592E-2</v>
      </c>
    </row>
    <row r="2800" spans="6:7" x14ac:dyDescent="0.2">
      <c r="F2800" s="591">
        <v>2791</v>
      </c>
      <c r="G2800" s="420">
        <f t="shared" ca="1" si="51"/>
        <v>-2.1827895942842793E-2</v>
      </c>
    </row>
    <row r="2801" spans="6:7" x14ac:dyDescent="0.2">
      <c r="F2801" s="591">
        <v>2792</v>
      </c>
      <c r="G2801" s="420">
        <f t="shared" ca="1" si="51"/>
        <v>-4.7562811690807061E-2</v>
      </c>
    </row>
    <row r="2802" spans="6:7" x14ac:dyDescent="0.2">
      <c r="F2802" s="591">
        <v>2793</v>
      </c>
      <c r="G2802" s="420">
        <f t="shared" ca="1" si="51"/>
        <v>5.847558983570017E-2</v>
      </c>
    </row>
    <row r="2803" spans="6:7" x14ac:dyDescent="0.2">
      <c r="F2803" s="591">
        <v>2794</v>
      </c>
      <c r="G2803" s="420">
        <f t="shared" ca="1" si="51"/>
        <v>-7.1828839754169801E-2</v>
      </c>
    </row>
    <row r="2804" spans="6:7" x14ac:dyDescent="0.2">
      <c r="F2804" s="591">
        <v>2795</v>
      </c>
      <c r="G2804" s="420">
        <f t="shared" ca="1" si="51"/>
        <v>7.2609590428661275E-2</v>
      </c>
    </row>
    <row r="2805" spans="6:7" x14ac:dyDescent="0.2">
      <c r="F2805" s="591">
        <v>2796</v>
      </c>
      <c r="G2805" s="420">
        <f t="shared" ca="1" si="51"/>
        <v>2.8676923331695858E-2</v>
      </c>
    </row>
    <row r="2806" spans="6:7" x14ac:dyDescent="0.2">
      <c r="F2806" s="591">
        <v>2797</v>
      </c>
      <c r="G2806" s="420">
        <f t="shared" ca="1" si="51"/>
        <v>5.540704937814335E-2</v>
      </c>
    </row>
    <row r="2807" spans="6:7" x14ac:dyDescent="0.2">
      <c r="F2807" s="591">
        <v>2798</v>
      </c>
      <c r="G2807" s="420">
        <f t="shared" ca="1" si="51"/>
        <v>-2.2733536911259147E-2</v>
      </c>
    </row>
    <row r="2808" spans="6:7" x14ac:dyDescent="0.2">
      <c r="F2808" s="591">
        <v>2799</v>
      </c>
      <c r="G2808" s="420">
        <f t="shared" ca="1" si="51"/>
        <v>7.9252980430443432E-2</v>
      </c>
    </row>
    <row r="2809" spans="6:7" x14ac:dyDescent="0.2">
      <c r="F2809" s="591">
        <v>2800</v>
      </c>
      <c r="G2809" s="420">
        <f t="shared" ca="1" si="51"/>
        <v>2.4744718277271326E-2</v>
      </c>
    </row>
    <row r="2810" spans="6:7" x14ac:dyDescent="0.2">
      <c r="F2810" s="591">
        <v>2801</v>
      </c>
      <c r="G2810" s="420">
        <f t="shared" ca="1" si="51"/>
        <v>-3.951140733074076E-3</v>
      </c>
    </row>
    <row r="2811" spans="6:7" x14ac:dyDescent="0.2">
      <c r="F2811" s="591">
        <v>2802</v>
      </c>
      <c r="G2811" s="420">
        <f t="shared" ca="1" si="51"/>
        <v>-3.1402118007894456E-2</v>
      </c>
    </row>
    <row r="2812" spans="6:7" x14ac:dyDescent="0.2">
      <c r="F2812" s="591">
        <v>2803</v>
      </c>
      <c r="G2812" s="420">
        <f t="shared" ca="1" si="51"/>
        <v>6.1391874907043675E-2</v>
      </c>
    </row>
    <row r="2813" spans="6:7" x14ac:dyDescent="0.2">
      <c r="F2813" s="591">
        <v>2804</v>
      </c>
      <c r="G2813" s="420">
        <f t="shared" ca="1" si="51"/>
        <v>7.0838022810941079E-2</v>
      </c>
    </row>
    <row r="2814" spans="6:7" x14ac:dyDescent="0.2">
      <c r="F2814" s="591">
        <v>2805</v>
      </c>
      <c r="G2814" s="420">
        <f t="shared" ca="1" si="51"/>
        <v>3.3303665225169008E-3</v>
      </c>
    </row>
    <row r="2815" spans="6:7" x14ac:dyDescent="0.2">
      <c r="F2815" s="591">
        <v>2806</v>
      </c>
      <c r="G2815" s="420">
        <f t="shared" ca="1" si="51"/>
        <v>3.308776297632314E-2</v>
      </c>
    </row>
    <row r="2816" spans="6:7" x14ac:dyDescent="0.2">
      <c r="F2816" s="591">
        <v>2807</v>
      </c>
      <c r="G2816" s="420">
        <f t="shared" ca="1" si="51"/>
        <v>1.1176668640249871E-2</v>
      </c>
    </row>
    <row r="2817" spans="6:7" x14ac:dyDescent="0.2">
      <c r="F2817" s="591">
        <v>2808</v>
      </c>
      <c r="G2817" s="420">
        <f t="shared" ca="1" si="51"/>
        <v>-8.8798388228096728E-2</v>
      </c>
    </row>
    <row r="2818" spans="6:7" x14ac:dyDescent="0.2">
      <c r="F2818" s="591">
        <v>2809</v>
      </c>
      <c r="G2818" s="420">
        <f t="shared" ca="1" si="51"/>
        <v>-6.4384444180456371E-2</v>
      </c>
    </row>
    <row r="2819" spans="6:7" x14ac:dyDescent="0.2">
      <c r="F2819" s="591">
        <v>2810</v>
      </c>
      <c r="G2819" s="420">
        <f t="shared" ca="1" si="51"/>
        <v>1.8683436719079773E-2</v>
      </c>
    </row>
    <row r="2820" spans="6:7" x14ac:dyDescent="0.2">
      <c r="F2820" s="591">
        <v>2811</v>
      </c>
      <c r="G2820" s="420">
        <f t="shared" ca="1" si="51"/>
        <v>7.554007518193831E-2</v>
      </c>
    </row>
    <row r="2821" spans="6:7" x14ac:dyDescent="0.2">
      <c r="F2821" s="591">
        <v>2812</v>
      </c>
      <c r="G2821" s="420">
        <f t="shared" ca="1" si="51"/>
        <v>2.4960370124038976E-2</v>
      </c>
    </row>
    <row r="2822" spans="6:7" x14ac:dyDescent="0.2">
      <c r="F2822" s="591">
        <v>2813</v>
      </c>
      <c r="G2822" s="420">
        <f t="shared" ca="1" si="51"/>
        <v>2.8412424593883212E-2</v>
      </c>
    </row>
    <row r="2823" spans="6:7" x14ac:dyDescent="0.2">
      <c r="F2823" s="591">
        <v>2814</v>
      </c>
      <c r="G2823" s="420">
        <f t="shared" ca="1" si="51"/>
        <v>-5.3193973949864179E-2</v>
      </c>
    </row>
    <row r="2824" spans="6:7" x14ac:dyDescent="0.2">
      <c r="F2824" s="591">
        <v>2815</v>
      </c>
      <c r="G2824" s="420">
        <f t="shared" ca="1" si="51"/>
        <v>9.4506720058108867E-2</v>
      </c>
    </row>
    <row r="2825" spans="6:7" x14ac:dyDescent="0.2">
      <c r="F2825" s="591">
        <v>2816</v>
      </c>
      <c r="G2825" s="420">
        <f t="shared" ca="1" si="51"/>
        <v>1.6892161882466075E-2</v>
      </c>
    </row>
    <row r="2826" spans="6:7" x14ac:dyDescent="0.2">
      <c r="F2826" s="591">
        <v>2817</v>
      </c>
      <c r="G2826" s="420">
        <f t="shared" ca="1" si="51"/>
        <v>3.3435272888382918E-2</v>
      </c>
    </row>
    <row r="2827" spans="6:7" x14ac:dyDescent="0.2">
      <c r="F2827" s="591">
        <v>2818</v>
      </c>
      <c r="G2827" s="420">
        <f t="shared" ref="G2827:G2890" ca="1" si="52">_xlfn.NORM.INV(RAND(), $M$11,$M$12)</f>
        <v>7.6161638101435919E-2</v>
      </c>
    </row>
    <row r="2828" spans="6:7" x14ac:dyDescent="0.2">
      <c r="F2828" s="591">
        <v>2819</v>
      </c>
      <c r="G2828" s="420">
        <f t="shared" ca="1" si="52"/>
        <v>-0.12539841205321436</v>
      </c>
    </row>
    <row r="2829" spans="6:7" x14ac:dyDescent="0.2">
      <c r="F2829" s="591">
        <v>2820</v>
      </c>
      <c r="G2829" s="420">
        <f t="shared" ca="1" si="52"/>
        <v>-8.000086645386012E-2</v>
      </c>
    </row>
    <row r="2830" spans="6:7" x14ac:dyDescent="0.2">
      <c r="F2830" s="591">
        <v>2821</v>
      </c>
      <c r="G2830" s="420">
        <f t="shared" ca="1" si="52"/>
        <v>1.1352010672353743E-2</v>
      </c>
    </row>
    <row r="2831" spans="6:7" x14ac:dyDescent="0.2">
      <c r="F2831" s="591">
        <v>2822</v>
      </c>
      <c r="G2831" s="420">
        <f t="shared" ca="1" si="52"/>
        <v>-8.5242934792339117E-3</v>
      </c>
    </row>
    <row r="2832" spans="6:7" x14ac:dyDescent="0.2">
      <c r="F2832" s="591">
        <v>2823</v>
      </c>
      <c r="G2832" s="420">
        <f t="shared" ca="1" si="52"/>
        <v>0.11650598440231226</v>
      </c>
    </row>
    <row r="2833" spans="6:7" x14ac:dyDescent="0.2">
      <c r="F2833" s="591">
        <v>2824</v>
      </c>
      <c r="G2833" s="420">
        <f t="shared" ca="1" si="52"/>
        <v>-2.4043929854954463E-2</v>
      </c>
    </row>
    <row r="2834" spans="6:7" x14ac:dyDescent="0.2">
      <c r="F2834" s="591">
        <v>2825</v>
      </c>
      <c r="G2834" s="420">
        <f t="shared" ca="1" si="52"/>
        <v>5.5903845848935929E-2</v>
      </c>
    </row>
    <row r="2835" spans="6:7" x14ac:dyDescent="0.2">
      <c r="F2835" s="591">
        <v>2826</v>
      </c>
      <c r="G2835" s="420">
        <f t="shared" ca="1" si="52"/>
        <v>3.8529620113805257E-2</v>
      </c>
    </row>
    <row r="2836" spans="6:7" x14ac:dyDescent="0.2">
      <c r="F2836" s="591">
        <v>2827</v>
      </c>
      <c r="G2836" s="420">
        <f t="shared" ca="1" si="52"/>
        <v>-5.3738838467238953E-3</v>
      </c>
    </row>
    <row r="2837" spans="6:7" x14ac:dyDescent="0.2">
      <c r="F2837" s="591">
        <v>2828</v>
      </c>
      <c r="G2837" s="420">
        <f t="shared" ca="1" si="52"/>
        <v>-3.9387785787349389E-2</v>
      </c>
    </row>
    <row r="2838" spans="6:7" x14ac:dyDescent="0.2">
      <c r="F2838" s="591">
        <v>2829</v>
      </c>
      <c r="G2838" s="420">
        <f t="shared" ca="1" si="52"/>
        <v>4.8957692452122836E-2</v>
      </c>
    </row>
    <row r="2839" spans="6:7" x14ac:dyDescent="0.2">
      <c r="F2839" s="591">
        <v>2830</v>
      </c>
      <c r="G2839" s="420">
        <f t="shared" ca="1" si="52"/>
        <v>9.8017127444152127E-2</v>
      </c>
    </row>
    <row r="2840" spans="6:7" x14ac:dyDescent="0.2">
      <c r="F2840" s="591">
        <v>2831</v>
      </c>
      <c r="G2840" s="420">
        <f t="shared" ca="1" si="52"/>
        <v>-5.9053703130086871E-2</v>
      </c>
    </row>
    <row r="2841" spans="6:7" x14ac:dyDescent="0.2">
      <c r="F2841" s="591">
        <v>2832</v>
      </c>
      <c r="G2841" s="420">
        <f t="shared" ca="1" si="52"/>
        <v>-4.9765569686311156E-2</v>
      </c>
    </row>
    <row r="2842" spans="6:7" x14ac:dyDescent="0.2">
      <c r="F2842" s="591">
        <v>2833</v>
      </c>
      <c r="G2842" s="420">
        <f t="shared" ca="1" si="52"/>
        <v>-3.8312934468295881E-2</v>
      </c>
    </row>
    <row r="2843" spans="6:7" x14ac:dyDescent="0.2">
      <c r="F2843" s="591">
        <v>2834</v>
      </c>
      <c r="G2843" s="420">
        <f t="shared" ca="1" si="52"/>
        <v>-1.3118444308806168E-2</v>
      </c>
    </row>
    <row r="2844" spans="6:7" x14ac:dyDescent="0.2">
      <c r="F2844" s="591">
        <v>2835</v>
      </c>
      <c r="G2844" s="420">
        <f t="shared" ca="1" si="52"/>
        <v>0.10966491912159256</v>
      </c>
    </row>
    <row r="2845" spans="6:7" x14ac:dyDescent="0.2">
      <c r="F2845" s="591">
        <v>2836</v>
      </c>
      <c r="G2845" s="420">
        <f t="shared" ca="1" si="52"/>
        <v>-3.5017865951333924E-2</v>
      </c>
    </row>
    <row r="2846" spans="6:7" x14ac:dyDescent="0.2">
      <c r="F2846" s="591">
        <v>2837</v>
      </c>
      <c r="G2846" s="420">
        <f t="shared" ca="1" si="52"/>
        <v>-1.0614914255840262E-2</v>
      </c>
    </row>
    <row r="2847" spans="6:7" x14ac:dyDescent="0.2">
      <c r="F2847" s="591">
        <v>2838</v>
      </c>
      <c r="G2847" s="420">
        <f t="shared" ca="1" si="52"/>
        <v>-0.14891568723277115</v>
      </c>
    </row>
    <row r="2848" spans="6:7" x14ac:dyDescent="0.2">
      <c r="F2848" s="591">
        <v>2839</v>
      </c>
      <c r="G2848" s="420">
        <f t="shared" ca="1" si="52"/>
        <v>3.2015018353566127E-2</v>
      </c>
    </row>
    <row r="2849" spans="6:7" x14ac:dyDescent="0.2">
      <c r="F2849" s="591">
        <v>2840</v>
      </c>
      <c r="G2849" s="420">
        <f t="shared" ca="1" si="52"/>
        <v>-6.4195962306500973E-2</v>
      </c>
    </row>
    <row r="2850" spans="6:7" x14ac:dyDescent="0.2">
      <c r="F2850" s="591">
        <v>2841</v>
      </c>
      <c r="G2850" s="420">
        <f t="shared" ca="1" si="52"/>
        <v>-2.0679541800800918E-2</v>
      </c>
    </row>
    <row r="2851" spans="6:7" x14ac:dyDescent="0.2">
      <c r="F2851" s="591">
        <v>2842</v>
      </c>
      <c r="G2851" s="420">
        <f t="shared" ca="1" si="52"/>
        <v>5.9671530290266145E-2</v>
      </c>
    </row>
    <row r="2852" spans="6:7" x14ac:dyDescent="0.2">
      <c r="F2852" s="591">
        <v>2843</v>
      </c>
      <c r="G2852" s="420">
        <f t="shared" ca="1" si="52"/>
        <v>-4.6633861785689457E-2</v>
      </c>
    </row>
    <row r="2853" spans="6:7" x14ac:dyDescent="0.2">
      <c r="F2853" s="591">
        <v>2844</v>
      </c>
      <c r="G2853" s="420">
        <f t="shared" ca="1" si="52"/>
        <v>1.0868030752532043E-2</v>
      </c>
    </row>
    <row r="2854" spans="6:7" x14ac:dyDescent="0.2">
      <c r="F2854" s="591">
        <v>2845</v>
      </c>
      <c r="G2854" s="420">
        <f t="shared" ca="1" si="52"/>
        <v>-2.8326048305117483E-2</v>
      </c>
    </row>
    <row r="2855" spans="6:7" x14ac:dyDescent="0.2">
      <c r="F2855" s="591">
        <v>2846</v>
      </c>
      <c r="G2855" s="420">
        <f t="shared" ca="1" si="52"/>
        <v>-4.7052397505423213E-2</v>
      </c>
    </row>
    <row r="2856" spans="6:7" x14ac:dyDescent="0.2">
      <c r="F2856" s="591">
        <v>2847</v>
      </c>
      <c r="G2856" s="420">
        <f t="shared" ca="1" si="52"/>
        <v>5.3415720562253341E-2</v>
      </c>
    </row>
    <row r="2857" spans="6:7" x14ac:dyDescent="0.2">
      <c r="F2857" s="591">
        <v>2848</v>
      </c>
      <c r="G2857" s="420">
        <f t="shared" ca="1" si="52"/>
        <v>9.9803245603453911E-2</v>
      </c>
    </row>
    <row r="2858" spans="6:7" x14ac:dyDescent="0.2">
      <c r="F2858" s="591">
        <v>2849</v>
      </c>
      <c r="G2858" s="420">
        <f t="shared" ca="1" si="52"/>
        <v>-2.912961164976868E-2</v>
      </c>
    </row>
    <row r="2859" spans="6:7" x14ac:dyDescent="0.2">
      <c r="F2859" s="591">
        <v>2850</v>
      </c>
      <c r="G2859" s="420">
        <f t="shared" ca="1" si="52"/>
        <v>0.11555791162112505</v>
      </c>
    </row>
    <row r="2860" spans="6:7" x14ac:dyDescent="0.2">
      <c r="F2860" s="591">
        <v>2851</v>
      </c>
      <c r="G2860" s="420">
        <f t="shared" ca="1" si="52"/>
        <v>5.9869461594281442E-3</v>
      </c>
    </row>
    <row r="2861" spans="6:7" x14ac:dyDescent="0.2">
      <c r="F2861" s="591">
        <v>2852</v>
      </c>
      <c r="G2861" s="420">
        <f t="shared" ca="1" si="52"/>
        <v>8.3375566172205789E-2</v>
      </c>
    </row>
    <row r="2862" spans="6:7" x14ac:dyDescent="0.2">
      <c r="F2862" s="591">
        <v>2853</v>
      </c>
      <c r="G2862" s="420">
        <f t="shared" ca="1" si="52"/>
        <v>1.365483595284309E-2</v>
      </c>
    </row>
    <row r="2863" spans="6:7" x14ac:dyDescent="0.2">
      <c r="F2863" s="591">
        <v>2854</v>
      </c>
      <c r="G2863" s="420">
        <f t="shared" ca="1" si="52"/>
        <v>-3.0458816310288971E-2</v>
      </c>
    </row>
    <row r="2864" spans="6:7" x14ac:dyDescent="0.2">
      <c r="F2864" s="591">
        <v>2855</v>
      </c>
      <c r="G2864" s="420">
        <f t="shared" ca="1" si="52"/>
        <v>0.11528478417006917</v>
      </c>
    </row>
    <row r="2865" spans="6:7" x14ac:dyDescent="0.2">
      <c r="F2865" s="591">
        <v>2856</v>
      </c>
      <c r="G2865" s="420">
        <f t="shared" ca="1" si="52"/>
        <v>-5.257415152511799E-2</v>
      </c>
    </row>
    <row r="2866" spans="6:7" x14ac:dyDescent="0.2">
      <c r="F2866" s="591">
        <v>2857</v>
      </c>
      <c r="G2866" s="420">
        <f t="shared" ca="1" si="52"/>
        <v>2.5248701651129961E-2</v>
      </c>
    </row>
    <row r="2867" spans="6:7" x14ac:dyDescent="0.2">
      <c r="F2867" s="591">
        <v>2858</v>
      </c>
      <c r="G2867" s="420">
        <f t="shared" ca="1" si="52"/>
        <v>-5.7910606296071976E-2</v>
      </c>
    </row>
    <row r="2868" spans="6:7" x14ac:dyDescent="0.2">
      <c r="F2868" s="591">
        <v>2859</v>
      </c>
      <c r="G2868" s="420">
        <f t="shared" ca="1" si="52"/>
        <v>4.5444044490600785E-2</v>
      </c>
    </row>
    <row r="2869" spans="6:7" x14ac:dyDescent="0.2">
      <c r="F2869" s="591">
        <v>2860</v>
      </c>
      <c r="G2869" s="420">
        <f t="shared" ca="1" si="52"/>
        <v>-4.1028672596855692E-2</v>
      </c>
    </row>
    <row r="2870" spans="6:7" x14ac:dyDescent="0.2">
      <c r="F2870" s="591">
        <v>2861</v>
      </c>
      <c r="G2870" s="420">
        <f t="shared" ca="1" si="52"/>
        <v>0.12150977408578006</v>
      </c>
    </row>
    <row r="2871" spans="6:7" x14ac:dyDescent="0.2">
      <c r="F2871" s="591">
        <v>2862</v>
      </c>
      <c r="G2871" s="420">
        <f t="shared" ca="1" si="52"/>
        <v>9.8570462299861147E-2</v>
      </c>
    </row>
    <row r="2872" spans="6:7" x14ac:dyDescent="0.2">
      <c r="F2872" s="591">
        <v>2863</v>
      </c>
      <c r="G2872" s="420">
        <f t="shared" ca="1" si="52"/>
        <v>5.4472528910162354E-2</v>
      </c>
    </row>
    <row r="2873" spans="6:7" x14ac:dyDescent="0.2">
      <c r="F2873" s="591">
        <v>2864</v>
      </c>
      <c r="G2873" s="420">
        <f t="shared" ca="1" si="52"/>
        <v>2.8610810457832682E-2</v>
      </c>
    </row>
    <row r="2874" spans="6:7" x14ac:dyDescent="0.2">
      <c r="F2874" s="591">
        <v>2865</v>
      </c>
      <c r="G2874" s="420">
        <f t="shared" ca="1" si="52"/>
        <v>8.4643621436792826E-2</v>
      </c>
    </row>
    <row r="2875" spans="6:7" x14ac:dyDescent="0.2">
      <c r="F2875" s="591">
        <v>2866</v>
      </c>
      <c r="G2875" s="420">
        <f t="shared" ca="1" si="52"/>
        <v>1.4464522745599786E-2</v>
      </c>
    </row>
    <row r="2876" spans="6:7" x14ac:dyDescent="0.2">
      <c r="F2876" s="591">
        <v>2867</v>
      </c>
      <c r="G2876" s="420">
        <f t="shared" ca="1" si="52"/>
        <v>-1.0179626676601317E-2</v>
      </c>
    </row>
    <row r="2877" spans="6:7" x14ac:dyDescent="0.2">
      <c r="F2877" s="591">
        <v>2868</v>
      </c>
      <c r="G2877" s="420">
        <f t="shared" ca="1" si="52"/>
        <v>7.8197688715016589E-2</v>
      </c>
    </row>
    <row r="2878" spans="6:7" x14ac:dyDescent="0.2">
      <c r="F2878" s="591">
        <v>2869</v>
      </c>
      <c r="G2878" s="420">
        <f t="shared" ca="1" si="52"/>
        <v>-0.14445084314346324</v>
      </c>
    </row>
    <row r="2879" spans="6:7" x14ac:dyDescent="0.2">
      <c r="F2879" s="591">
        <v>2870</v>
      </c>
      <c r="G2879" s="420">
        <f t="shared" ca="1" si="52"/>
        <v>-5.3699963095227704E-2</v>
      </c>
    </row>
    <row r="2880" spans="6:7" x14ac:dyDescent="0.2">
      <c r="F2880" s="591">
        <v>2871</v>
      </c>
      <c r="G2880" s="420">
        <f t="shared" ca="1" si="52"/>
        <v>9.80537473147171E-3</v>
      </c>
    </row>
    <row r="2881" spans="6:7" x14ac:dyDescent="0.2">
      <c r="F2881" s="591">
        <v>2872</v>
      </c>
      <c r="G2881" s="420">
        <f t="shared" ca="1" si="52"/>
        <v>2.5711797985782218E-2</v>
      </c>
    </row>
    <row r="2882" spans="6:7" x14ac:dyDescent="0.2">
      <c r="F2882" s="591">
        <v>2873</v>
      </c>
      <c r="G2882" s="420">
        <f t="shared" ca="1" si="52"/>
        <v>8.5750308225684038E-2</v>
      </c>
    </row>
    <row r="2883" spans="6:7" x14ac:dyDescent="0.2">
      <c r="F2883" s="591">
        <v>2874</v>
      </c>
      <c r="G2883" s="420">
        <f t="shared" ca="1" si="52"/>
        <v>-8.2611025987240488E-2</v>
      </c>
    </row>
    <row r="2884" spans="6:7" x14ac:dyDescent="0.2">
      <c r="F2884" s="591">
        <v>2875</v>
      </c>
      <c r="G2884" s="420">
        <f t="shared" ca="1" si="52"/>
        <v>-3.108809640647681E-2</v>
      </c>
    </row>
    <row r="2885" spans="6:7" x14ac:dyDescent="0.2">
      <c r="F2885" s="591">
        <v>2876</v>
      </c>
      <c r="G2885" s="420">
        <f t="shared" ca="1" si="52"/>
        <v>6.3824195127753738E-2</v>
      </c>
    </row>
    <row r="2886" spans="6:7" x14ac:dyDescent="0.2">
      <c r="F2886" s="591">
        <v>2877</v>
      </c>
      <c r="G2886" s="420">
        <f t="shared" ca="1" si="52"/>
        <v>0.16247804432456864</v>
      </c>
    </row>
    <row r="2887" spans="6:7" x14ac:dyDescent="0.2">
      <c r="F2887" s="591">
        <v>2878</v>
      </c>
      <c r="G2887" s="420">
        <f t="shared" ca="1" si="52"/>
        <v>-1.6509685475030015E-2</v>
      </c>
    </row>
    <row r="2888" spans="6:7" x14ac:dyDescent="0.2">
      <c r="F2888" s="591">
        <v>2879</v>
      </c>
      <c r="G2888" s="420">
        <f t="shared" ca="1" si="52"/>
        <v>0.11025684338632664</v>
      </c>
    </row>
    <row r="2889" spans="6:7" x14ac:dyDescent="0.2">
      <c r="F2889" s="591">
        <v>2880</v>
      </c>
      <c r="G2889" s="420">
        <f t="shared" ca="1" si="52"/>
        <v>8.2120662327695632E-2</v>
      </c>
    </row>
    <row r="2890" spans="6:7" x14ac:dyDescent="0.2">
      <c r="F2890" s="591">
        <v>2881</v>
      </c>
      <c r="G2890" s="420">
        <f t="shared" ca="1" si="52"/>
        <v>9.9750194259267344E-2</v>
      </c>
    </row>
    <row r="2891" spans="6:7" x14ac:dyDescent="0.2">
      <c r="F2891" s="591">
        <v>2882</v>
      </c>
      <c r="G2891" s="420">
        <f t="shared" ref="G2891:G2954" ca="1" si="53">_xlfn.NORM.INV(RAND(), $M$11,$M$12)</f>
        <v>7.789597519878514E-3</v>
      </c>
    </row>
    <row r="2892" spans="6:7" x14ac:dyDescent="0.2">
      <c r="F2892" s="591">
        <v>2883</v>
      </c>
      <c r="G2892" s="420">
        <f t="shared" ca="1" si="53"/>
        <v>-1.3829040884850298E-2</v>
      </c>
    </row>
    <row r="2893" spans="6:7" x14ac:dyDescent="0.2">
      <c r="F2893" s="591">
        <v>2884</v>
      </c>
      <c r="G2893" s="420">
        <f t="shared" ca="1" si="53"/>
        <v>7.4838513392412209E-2</v>
      </c>
    </row>
    <row r="2894" spans="6:7" x14ac:dyDescent="0.2">
      <c r="F2894" s="591">
        <v>2885</v>
      </c>
      <c r="G2894" s="420">
        <f t="shared" ca="1" si="53"/>
        <v>-9.6927754151060405E-3</v>
      </c>
    </row>
    <row r="2895" spans="6:7" x14ac:dyDescent="0.2">
      <c r="F2895" s="591">
        <v>2886</v>
      </c>
      <c r="G2895" s="420">
        <f t="shared" ca="1" si="53"/>
        <v>6.8216624731701661E-2</v>
      </c>
    </row>
    <row r="2896" spans="6:7" x14ac:dyDescent="0.2">
      <c r="F2896" s="591">
        <v>2887</v>
      </c>
      <c r="G2896" s="420">
        <f t="shared" ca="1" si="53"/>
        <v>-3.0206609023311053E-2</v>
      </c>
    </row>
    <row r="2897" spans="6:7" x14ac:dyDescent="0.2">
      <c r="F2897" s="591">
        <v>2888</v>
      </c>
      <c r="G2897" s="420">
        <f t="shared" ca="1" si="53"/>
        <v>3.3903739007819796E-2</v>
      </c>
    </row>
    <row r="2898" spans="6:7" x14ac:dyDescent="0.2">
      <c r="F2898" s="591">
        <v>2889</v>
      </c>
      <c r="G2898" s="420">
        <f t="shared" ca="1" si="53"/>
        <v>7.5986767553446341E-2</v>
      </c>
    </row>
    <row r="2899" spans="6:7" x14ac:dyDescent="0.2">
      <c r="F2899" s="591">
        <v>2890</v>
      </c>
      <c r="G2899" s="420">
        <f t="shared" ca="1" si="53"/>
        <v>3.4588539962725387E-2</v>
      </c>
    </row>
    <row r="2900" spans="6:7" x14ac:dyDescent="0.2">
      <c r="F2900" s="591">
        <v>2891</v>
      </c>
      <c r="G2900" s="420">
        <f t="shared" ca="1" si="53"/>
        <v>-3.4609167845375214E-3</v>
      </c>
    </row>
    <row r="2901" spans="6:7" x14ac:dyDescent="0.2">
      <c r="F2901" s="591">
        <v>2892</v>
      </c>
      <c r="G2901" s="420">
        <f t="shared" ca="1" si="53"/>
        <v>-7.2767258812138497E-3</v>
      </c>
    </row>
    <row r="2902" spans="6:7" x14ac:dyDescent="0.2">
      <c r="F2902" s="591">
        <v>2893</v>
      </c>
      <c r="G2902" s="420">
        <f t="shared" ca="1" si="53"/>
        <v>0.10244552329444025</v>
      </c>
    </row>
    <row r="2903" spans="6:7" x14ac:dyDescent="0.2">
      <c r="F2903" s="591">
        <v>2894</v>
      </c>
      <c r="G2903" s="420">
        <f t="shared" ca="1" si="53"/>
        <v>-2.9864301404929652E-2</v>
      </c>
    </row>
    <row r="2904" spans="6:7" x14ac:dyDescent="0.2">
      <c r="F2904" s="591">
        <v>2895</v>
      </c>
      <c r="G2904" s="420">
        <f t="shared" ca="1" si="53"/>
        <v>-4.7694703498074642E-2</v>
      </c>
    </row>
    <row r="2905" spans="6:7" x14ac:dyDescent="0.2">
      <c r="F2905" s="591">
        <v>2896</v>
      </c>
      <c r="G2905" s="420">
        <f t="shared" ca="1" si="53"/>
        <v>-4.4791398625402962E-2</v>
      </c>
    </row>
    <row r="2906" spans="6:7" x14ac:dyDescent="0.2">
      <c r="F2906" s="591">
        <v>2897</v>
      </c>
      <c r="G2906" s="420">
        <f t="shared" ca="1" si="53"/>
        <v>1.4153619516306415E-2</v>
      </c>
    </row>
    <row r="2907" spans="6:7" x14ac:dyDescent="0.2">
      <c r="F2907" s="591">
        <v>2898</v>
      </c>
      <c r="G2907" s="420">
        <f t="shared" ca="1" si="53"/>
        <v>-1.6044491543486399E-2</v>
      </c>
    </row>
    <row r="2908" spans="6:7" x14ac:dyDescent="0.2">
      <c r="F2908" s="591">
        <v>2899</v>
      </c>
      <c r="G2908" s="420">
        <f t="shared" ca="1" si="53"/>
        <v>0.22350297785403214</v>
      </c>
    </row>
    <row r="2909" spans="6:7" x14ac:dyDescent="0.2">
      <c r="F2909" s="591">
        <v>2900</v>
      </c>
      <c r="G2909" s="420">
        <f t="shared" ca="1" si="53"/>
        <v>0.10705874112187919</v>
      </c>
    </row>
    <row r="2910" spans="6:7" x14ac:dyDescent="0.2">
      <c r="F2910" s="591">
        <v>2901</v>
      </c>
      <c r="G2910" s="420">
        <f t="shared" ca="1" si="53"/>
        <v>-4.8080013786566664E-2</v>
      </c>
    </row>
    <row r="2911" spans="6:7" x14ac:dyDescent="0.2">
      <c r="F2911" s="591">
        <v>2902</v>
      </c>
      <c r="G2911" s="420">
        <f t="shared" ca="1" si="53"/>
        <v>5.0891697021467923E-3</v>
      </c>
    </row>
    <row r="2912" spans="6:7" x14ac:dyDescent="0.2">
      <c r="F2912" s="591">
        <v>2903</v>
      </c>
      <c r="G2912" s="420">
        <f t="shared" ca="1" si="53"/>
        <v>-0.10783996751307436</v>
      </c>
    </row>
    <row r="2913" spans="6:7" x14ac:dyDescent="0.2">
      <c r="F2913" s="591">
        <v>2904</v>
      </c>
      <c r="G2913" s="420">
        <f t="shared" ca="1" si="53"/>
        <v>1.2403327315075305E-2</v>
      </c>
    </row>
    <row r="2914" spans="6:7" x14ac:dyDescent="0.2">
      <c r="F2914" s="591">
        <v>2905</v>
      </c>
      <c r="G2914" s="420">
        <f t="shared" ca="1" si="53"/>
        <v>-4.0844822937584097E-2</v>
      </c>
    </row>
    <row r="2915" spans="6:7" x14ac:dyDescent="0.2">
      <c r="F2915" s="591">
        <v>2906</v>
      </c>
      <c r="G2915" s="420">
        <f t="shared" ca="1" si="53"/>
        <v>0.11608788483434271</v>
      </c>
    </row>
    <row r="2916" spans="6:7" x14ac:dyDescent="0.2">
      <c r="F2916" s="591">
        <v>2907</v>
      </c>
      <c r="G2916" s="420">
        <f t="shared" ca="1" si="53"/>
        <v>-3.0153560535654267E-3</v>
      </c>
    </row>
    <row r="2917" spans="6:7" x14ac:dyDescent="0.2">
      <c r="F2917" s="591">
        <v>2908</v>
      </c>
      <c r="G2917" s="420">
        <f t="shared" ca="1" si="53"/>
        <v>-8.9795115945505544E-2</v>
      </c>
    </row>
    <row r="2918" spans="6:7" x14ac:dyDescent="0.2">
      <c r="F2918" s="591">
        <v>2909</v>
      </c>
      <c r="G2918" s="420">
        <f t="shared" ca="1" si="53"/>
        <v>-4.3105118509119258E-2</v>
      </c>
    </row>
    <row r="2919" spans="6:7" x14ac:dyDescent="0.2">
      <c r="F2919" s="591">
        <v>2910</v>
      </c>
      <c r="G2919" s="420">
        <f t="shared" ca="1" si="53"/>
        <v>-8.664029375568362E-2</v>
      </c>
    </row>
    <row r="2920" spans="6:7" x14ac:dyDescent="0.2">
      <c r="F2920" s="591">
        <v>2911</v>
      </c>
      <c r="G2920" s="420">
        <f t="shared" ca="1" si="53"/>
        <v>-4.4036330742535587E-2</v>
      </c>
    </row>
    <row r="2921" spans="6:7" x14ac:dyDescent="0.2">
      <c r="F2921" s="591">
        <v>2912</v>
      </c>
      <c r="G2921" s="420">
        <f t="shared" ca="1" si="53"/>
        <v>-7.1304183811582392E-2</v>
      </c>
    </row>
    <row r="2922" spans="6:7" x14ac:dyDescent="0.2">
      <c r="F2922" s="591">
        <v>2913</v>
      </c>
      <c r="G2922" s="420">
        <f t="shared" ca="1" si="53"/>
        <v>0.13464405401056176</v>
      </c>
    </row>
    <row r="2923" spans="6:7" x14ac:dyDescent="0.2">
      <c r="F2923" s="591">
        <v>2914</v>
      </c>
      <c r="G2923" s="420">
        <f t="shared" ca="1" si="53"/>
        <v>-2.5620743709807488E-2</v>
      </c>
    </row>
    <row r="2924" spans="6:7" x14ac:dyDescent="0.2">
      <c r="F2924" s="591">
        <v>2915</v>
      </c>
      <c r="G2924" s="420">
        <f t="shared" ca="1" si="53"/>
        <v>9.9563890540810634E-2</v>
      </c>
    </row>
    <row r="2925" spans="6:7" x14ac:dyDescent="0.2">
      <c r="F2925" s="591">
        <v>2916</v>
      </c>
      <c r="G2925" s="420">
        <f t="shared" ca="1" si="53"/>
        <v>-3.8469696246734922E-4</v>
      </c>
    </row>
    <row r="2926" spans="6:7" x14ac:dyDescent="0.2">
      <c r="F2926" s="591">
        <v>2917</v>
      </c>
      <c r="G2926" s="420">
        <f t="shared" ca="1" si="53"/>
        <v>5.169894509933827E-2</v>
      </c>
    </row>
    <row r="2927" spans="6:7" x14ac:dyDescent="0.2">
      <c r="F2927" s="591">
        <v>2918</v>
      </c>
      <c r="G2927" s="420">
        <f t="shared" ca="1" si="53"/>
        <v>1.522939190577984E-2</v>
      </c>
    </row>
    <row r="2928" spans="6:7" x14ac:dyDescent="0.2">
      <c r="F2928" s="591">
        <v>2919</v>
      </c>
      <c r="G2928" s="420">
        <f t="shared" ca="1" si="53"/>
        <v>6.018014250308508E-2</v>
      </c>
    </row>
    <row r="2929" spans="6:7" x14ac:dyDescent="0.2">
      <c r="F2929" s="591">
        <v>2920</v>
      </c>
      <c r="G2929" s="420">
        <f t="shared" ca="1" si="53"/>
        <v>6.9493749248952505E-2</v>
      </c>
    </row>
    <row r="2930" spans="6:7" x14ac:dyDescent="0.2">
      <c r="F2930" s="591">
        <v>2921</v>
      </c>
      <c r="G2930" s="420">
        <f t="shared" ca="1" si="53"/>
        <v>-5.05502499649194E-2</v>
      </c>
    </row>
    <row r="2931" spans="6:7" x14ac:dyDescent="0.2">
      <c r="F2931" s="591">
        <v>2922</v>
      </c>
      <c r="G2931" s="420">
        <f t="shared" ca="1" si="53"/>
        <v>0.10183206010026166</v>
      </c>
    </row>
    <row r="2932" spans="6:7" x14ac:dyDescent="0.2">
      <c r="F2932" s="591">
        <v>2923</v>
      </c>
      <c r="G2932" s="420">
        <f t="shared" ca="1" si="53"/>
        <v>0.17316568922083669</v>
      </c>
    </row>
    <row r="2933" spans="6:7" x14ac:dyDescent="0.2">
      <c r="F2933" s="591">
        <v>2924</v>
      </c>
      <c r="G2933" s="420">
        <f t="shared" ca="1" si="53"/>
        <v>0.13166308488232661</v>
      </c>
    </row>
    <row r="2934" spans="6:7" x14ac:dyDescent="0.2">
      <c r="F2934" s="591">
        <v>2925</v>
      </c>
      <c r="G2934" s="420">
        <f t="shared" ca="1" si="53"/>
        <v>-3.7352585034097413E-2</v>
      </c>
    </row>
    <row r="2935" spans="6:7" x14ac:dyDescent="0.2">
      <c r="F2935" s="591">
        <v>2926</v>
      </c>
      <c r="G2935" s="420">
        <f t="shared" ca="1" si="53"/>
        <v>1.2363203228425882E-2</v>
      </c>
    </row>
    <row r="2936" spans="6:7" x14ac:dyDescent="0.2">
      <c r="F2936" s="591">
        <v>2927</v>
      </c>
      <c r="G2936" s="420">
        <f t="shared" ca="1" si="53"/>
        <v>-3.1671467289895658E-2</v>
      </c>
    </row>
    <row r="2937" spans="6:7" x14ac:dyDescent="0.2">
      <c r="F2937" s="591">
        <v>2928</v>
      </c>
      <c r="G2937" s="420">
        <f t="shared" ca="1" si="53"/>
        <v>-1.385269630811143E-2</v>
      </c>
    </row>
    <row r="2938" spans="6:7" x14ac:dyDescent="0.2">
      <c r="F2938" s="591">
        <v>2929</v>
      </c>
      <c r="G2938" s="420">
        <f t="shared" ca="1" si="53"/>
        <v>0.15724242232640437</v>
      </c>
    </row>
    <row r="2939" spans="6:7" x14ac:dyDescent="0.2">
      <c r="F2939" s="591">
        <v>2930</v>
      </c>
      <c r="G2939" s="420">
        <f t="shared" ca="1" si="53"/>
        <v>-4.2190961900223437E-2</v>
      </c>
    </row>
    <row r="2940" spans="6:7" x14ac:dyDescent="0.2">
      <c r="F2940" s="591">
        <v>2931</v>
      </c>
      <c r="G2940" s="420">
        <f t="shared" ca="1" si="53"/>
        <v>1.1854514135994837E-2</v>
      </c>
    </row>
    <row r="2941" spans="6:7" x14ac:dyDescent="0.2">
      <c r="F2941" s="591">
        <v>2932</v>
      </c>
      <c r="G2941" s="420">
        <f t="shared" ca="1" si="53"/>
        <v>-8.9126179479482051E-2</v>
      </c>
    </row>
    <row r="2942" spans="6:7" x14ac:dyDescent="0.2">
      <c r="F2942" s="591">
        <v>2933</v>
      </c>
      <c r="G2942" s="420">
        <f t="shared" ca="1" si="53"/>
        <v>-9.1816664836361722E-2</v>
      </c>
    </row>
    <row r="2943" spans="6:7" x14ac:dyDescent="0.2">
      <c r="F2943" s="591">
        <v>2934</v>
      </c>
      <c r="G2943" s="420">
        <f t="shared" ca="1" si="53"/>
        <v>-1.8894961840159652E-2</v>
      </c>
    </row>
    <row r="2944" spans="6:7" x14ac:dyDescent="0.2">
      <c r="F2944" s="591">
        <v>2935</v>
      </c>
      <c r="G2944" s="420">
        <f t="shared" ca="1" si="53"/>
        <v>-4.1437953662958674E-3</v>
      </c>
    </row>
    <row r="2945" spans="6:7" x14ac:dyDescent="0.2">
      <c r="F2945" s="591">
        <v>2936</v>
      </c>
      <c r="G2945" s="420">
        <f t="shared" ca="1" si="53"/>
        <v>-7.4096051255340495E-2</v>
      </c>
    </row>
    <row r="2946" spans="6:7" x14ac:dyDescent="0.2">
      <c r="F2946" s="591">
        <v>2937</v>
      </c>
      <c r="G2946" s="420">
        <f t="shared" ca="1" si="53"/>
        <v>0.12249389714922962</v>
      </c>
    </row>
    <row r="2947" spans="6:7" x14ac:dyDescent="0.2">
      <c r="F2947" s="591">
        <v>2938</v>
      </c>
      <c r="G2947" s="420">
        <f t="shared" ca="1" si="53"/>
        <v>1.8965630259293709E-2</v>
      </c>
    </row>
    <row r="2948" spans="6:7" x14ac:dyDescent="0.2">
      <c r="F2948" s="591">
        <v>2939</v>
      </c>
      <c r="G2948" s="420">
        <f t="shared" ca="1" si="53"/>
        <v>4.8842669456552495E-2</v>
      </c>
    </row>
    <row r="2949" spans="6:7" x14ac:dyDescent="0.2">
      <c r="F2949" s="591">
        <v>2940</v>
      </c>
      <c r="G2949" s="420">
        <f t="shared" ca="1" si="53"/>
        <v>0.14835071062583632</v>
      </c>
    </row>
    <row r="2950" spans="6:7" x14ac:dyDescent="0.2">
      <c r="F2950" s="591">
        <v>2941</v>
      </c>
      <c r="G2950" s="420">
        <f t="shared" ca="1" si="53"/>
        <v>3.0963714235576697E-2</v>
      </c>
    </row>
    <row r="2951" spans="6:7" x14ac:dyDescent="0.2">
      <c r="F2951" s="591">
        <v>2942</v>
      </c>
      <c r="G2951" s="420">
        <f t="shared" ca="1" si="53"/>
        <v>0.10898672711408042</v>
      </c>
    </row>
    <row r="2952" spans="6:7" x14ac:dyDescent="0.2">
      <c r="F2952" s="591">
        <v>2943</v>
      </c>
      <c r="G2952" s="420">
        <f t="shared" ca="1" si="53"/>
        <v>2.8468727178328296E-2</v>
      </c>
    </row>
    <row r="2953" spans="6:7" x14ac:dyDescent="0.2">
      <c r="F2953" s="591">
        <v>2944</v>
      </c>
      <c r="G2953" s="420">
        <f t="shared" ca="1" si="53"/>
        <v>2.8545949203693601E-2</v>
      </c>
    </row>
    <row r="2954" spans="6:7" x14ac:dyDescent="0.2">
      <c r="F2954" s="591">
        <v>2945</v>
      </c>
      <c r="G2954" s="420">
        <f t="shared" ca="1" si="53"/>
        <v>-2.105209605356111E-2</v>
      </c>
    </row>
    <row r="2955" spans="6:7" x14ac:dyDescent="0.2">
      <c r="F2955" s="591">
        <v>2946</v>
      </c>
      <c r="G2955" s="420">
        <f t="shared" ref="G2955:G3018" ca="1" si="54">_xlfn.NORM.INV(RAND(), $M$11,$M$12)</f>
        <v>3.7509216316628687E-2</v>
      </c>
    </row>
    <row r="2956" spans="6:7" x14ac:dyDescent="0.2">
      <c r="F2956" s="591">
        <v>2947</v>
      </c>
      <c r="G2956" s="420">
        <f t="shared" ca="1" si="54"/>
        <v>-9.0707959265683244E-2</v>
      </c>
    </row>
    <row r="2957" spans="6:7" x14ac:dyDescent="0.2">
      <c r="F2957" s="591">
        <v>2948</v>
      </c>
      <c r="G2957" s="420">
        <f t="shared" ca="1" si="54"/>
        <v>-4.7132400434057822E-2</v>
      </c>
    </row>
    <row r="2958" spans="6:7" x14ac:dyDescent="0.2">
      <c r="F2958" s="591">
        <v>2949</v>
      </c>
      <c r="G2958" s="420">
        <f t="shared" ca="1" si="54"/>
        <v>-0.10062697189029551</v>
      </c>
    </row>
    <row r="2959" spans="6:7" x14ac:dyDescent="0.2">
      <c r="F2959" s="591">
        <v>2950</v>
      </c>
      <c r="G2959" s="420">
        <f t="shared" ca="1" si="54"/>
        <v>4.1525258327849354E-2</v>
      </c>
    </row>
    <row r="2960" spans="6:7" x14ac:dyDescent="0.2">
      <c r="F2960" s="591">
        <v>2951</v>
      </c>
      <c r="G2960" s="420">
        <f t="shared" ca="1" si="54"/>
        <v>-1.5874814153914802E-2</v>
      </c>
    </row>
    <row r="2961" spans="6:7" x14ac:dyDescent="0.2">
      <c r="F2961" s="591">
        <v>2952</v>
      </c>
      <c r="G2961" s="420">
        <f t="shared" ca="1" si="54"/>
        <v>6.3267116916458616E-2</v>
      </c>
    </row>
    <row r="2962" spans="6:7" x14ac:dyDescent="0.2">
      <c r="F2962" s="591">
        <v>2953</v>
      </c>
      <c r="G2962" s="420">
        <f t="shared" ca="1" si="54"/>
        <v>5.5519447415232723E-2</v>
      </c>
    </row>
    <row r="2963" spans="6:7" x14ac:dyDescent="0.2">
      <c r="F2963" s="591">
        <v>2954</v>
      </c>
      <c r="G2963" s="420">
        <f t="shared" ca="1" si="54"/>
        <v>0.13680395137630563</v>
      </c>
    </row>
    <row r="2964" spans="6:7" x14ac:dyDescent="0.2">
      <c r="F2964" s="591">
        <v>2955</v>
      </c>
      <c r="G2964" s="420">
        <f t="shared" ca="1" si="54"/>
        <v>9.5078165414907004E-2</v>
      </c>
    </row>
    <row r="2965" spans="6:7" x14ac:dyDescent="0.2">
      <c r="F2965" s="591">
        <v>2956</v>
      </c>
      <c r="G2965" s="420">
        <f t="shared" ca="1" si="54"/>
        <v>-0.16249019823171448</v>
      </c>
    </row>
    <row r="2966" spans="6:7" x14ac:dyDescent="0.2">
      <c r="F2966" s="591">
        <v>2957</v>
      </c>
      <c r="G2966" s="420">
        <f t="shared" ca="1" si="54"/>
        <v>2.5285766990929031E-2</v>
      </c>
    </row>
    <row r="2967" spans="6:7" x14ac:dyDescent="0.2">
      <c r="F2967" s="591">
        <v>2958</v>
      </c>
      <c r="G2967" s="420">
        <f t="shared" ca="1" si="54"/>
        <v>1.4748304465085137E-2</v>
      </c>
    </row>
    <row r="2968" spans="6:7" x14ac:dyDescent="0.2">
      <c r="F2968" s="591">
        <v>2959</v>
      </c>
      <c r="G2968" s="420">
        <f t="shared" ca="1" si="54"/>
        <v>-3.819606705195637E-2</v>
      </c>
    </row>
    <row r="2969" spans="6:7" x14ac:dyDescent="0.2">
      <c r="F2969" s="591">
        <v>2960</v>
      </c>
      <c r="G2969" s="420">
        <f t="shared" ca="1" si="54"/>
        <v>0.13397045813215694</v>
      </c>
    </row>
    <row r="2970" spans="6:7" x14ac:dyDescent="0.2">
      <c r="F2970" s="591">
        <v>2961</v>
      </c>
      <c r="G2970" s="420">
        <f t="shared" ca="1" si="54"/>
        <v>-2.8631016050706715E-2</v>
      </c>
    </row>
    <row r="2971" spans="6:7" x14ac:dyDescent="0.2">
      <c r="F2971" s="591">
        <v>2962</v>
      </c>
      <c r="G2971" s="420">
        <f t="shared" ca="1" si="54"/>
        <v>4.889698475264323E-2</v>
      </c>
    </row>
    <row r="2972" spans="6:7" x14ac:dyDescent="0.2">
      <c r="F2972" s="591">
        <v>2963</v>
      </c>
      <c r="G2972" s="420">
        <f t="shared" ca="1" si="54"/>
        <v>4.1561521928301813E-3</v>
      </c>
    </row>
    <row r="2973" spans="6:7" x14ac:dyDescent="0.2">
      <c r="F2973" s="591">
        <v>2964</v>
      </c>
      <c r="G2973" s="420">
        <f t="shared" ca="1" si="54"/>
        <v>1.8641639987593522E-2</v>
      </c>
    </row>
    <row r="2974" spans="6:7" x14ac:dyDescent="0.2">
      <c r="F2974" s="591">
        <v>2965</v>
      </c>
      <c r="G2974" s="420">
        <f t="shared" ca="1" si="54"/>
        <v>-2.9891038204921633E-2</v>
      </c>
    </row>
    <row r="2975" spans="6:7" x14ac:dyDescent="0.2">
      <c r="F2975" s="591">
        <v>2966</v>
      </c>
      <c r="G2975" s="420">
        <f t="shared" ca="1" si="54"/>
        <v>6.4716440940413039E-2</v>
      </c>
    </row>
    <row r="2976" spans="6:7" x14ac:dyDescent="0.2">
      <c r="F2976" s="591">
        <v>2967</v>
      </c>
      <c r="G2976" s="420">
        <f t="shared" ca="1" si="54"/>
        <v>7.1416530651448595E-3</v>
      </c>
    </row>
    <row r="2977" spans="6:7" x14ac:dyDescent="0.2">
      <c r="F2977" s="591">
        <v>2968</v>
      </c>
      <c r="G2977" s="420">
        <f t="shared" ca="1" si="54"/>
        <v>4.8549616497636117E-2</v>
      </c>
    </row>
    <row r="2978" spans="6:7" x14ac:dyDescent="0.2">
      <c r="F2978" s="591">
        <v>2969</v>
      </c>
      <c r="G2978" s="420">
        <f t="shared" ca="1" si="54"/>
        <v>-4.4054482059222563E-2</v>
      </c>
    </row>
    <row r="2979" spans="6:7" x14ac:dyDescent="0.2">
      <c r="F2979" s="591">
        <v>2970</v>
      </c>
      <c r="G2979" s="420">
        <f t="shared" ca="1" si="54"/>
        <v>9.5521777251018958E-2</v>
      </c>
    </row>
    <row r="2980" spans="6:7" x14ac:dyDescent="0.2">
      <c r="F2980" s="591">
        <v>2971</v>
      </c>
      <c r="G2980" s="420">
        <f t="shared" ca="1" si="54"/>
        <v>2.4159085283516277E-2</v>
      </c>
    </row>
    <row r="2981" spans="6:7" x14ac:dyDescent="0.2">
      <c r="F2981" s="591">
        <v>2972</v>
      </c>
      <c r="G2981" s="420">
        <f t="shared" ca="1" si="54"/>
        <v>0.14954757269114885</v>
      </c>
    </row>
    <row r="2982" spans="6:7" x14ac:dyDescent="0.2">
      <c r="F2982" s="591">
        <v>2973</v>
      </c>
      <c r="G2982" s="420">
        <f t="shared" ca="1" si="54"/>
        <v>-4.9772615593376215E-2</v>
      </c>
    </row>
    <row r="2983" spans="6:7" x14ac:dyDescent="0.2">
      <c r="F2983" s="591">
        <v>2974</v>
      </c>
      <c r="G2983" s="420">
        <f t="shared" ca="1" si="54"/>
        <v>-6.3072174105664403E-2</v>
      </c>
    </row>
    <row r="2984" spans="6:7" x14ac:dyDescent="0.2">
      <c r="F2984" s="591">
        <v>2975</v>
      </c>
      <c r="G2984" s="420">
        <f t="shared" ca="1" si="54"/>
        <v>-9.2380209759877374E-2</v>
      </c>
    </row>
    <row r="2985" spans="6:7" x14ac:dyDescent="0.2">
      <c r="F2985" s="591">
        <v>2976</v>
      </c>
      <c r="G2985" s="420">
        <f t="shared" ca="1" si="54"/>
        <v>-7.0840295444705818E-3</v>
      </c>
    </row>
    <row r="2986" spans="6:7" x14ac:dyDescent="0.2">
      <c r="F2986" s="591">
        <v>2977</v>
      </c>
      <c r="G2986" s="420">
        <f t="shared" ca="1" si="54"/>
        <v>0.11640019946074402</v>
      </c>
    </row>
    <row r="2987" spans="6:7" x14ac:dyDescent="0.2">
      <c r="F2987" s="591">
        <v>2978</v>
      </c>
      <c r="G2987" s="420">
        <f t="shared" ca="1" si="54"/>
        <v>5.2466339950593147E-2</v>
      </c>
    </row>
    <row r="2988" spans="6:7" x14ac:dyDescent="0.2">
      <c r="F2988" s="591">
        <v>2979</v>
      </c>
      <c r="G2988" s="420">
        <f t="shared" ca="1" si="54"/>
        <v>0.14677175550261759</v>
      </c>
    </row>
    <row r="2989" spans="6:7" x14ac:dyDescent="0.2">
      <c r="F2989" s="591">
        <v>2980</v>
      </c>
      <c r="G2989" s="420">
        <f t="shared" ca="1" si="54"/>
        <v>-3.0068818617337695E-2</v>
      </c>
    </row>
    <row r="2990" spans="6:7" x14ac:dyDescent="0.2">
      <c r="F2990" s="591">
        <v>2981</v>
      </c>
      <c r="G2990" s="420">
        <f t="shared" ca="1" si="54"/>
        <v>-4.2452798164379524E-2</v>
      </c>
    </row>
    <row r="2991" spans="6:7" x14ac:dyDescent="0.2">
      <c r="F2991" s="591">
        <v>2982</v>
      </c>
      <c r="G2991" s="420">
        <f t="shared" ca="1" si="54"/>
        <v>5.963834838184201E-2</v>
      </c>
    </row>
    <row r="2992" spans="6:7" x14ac:dyDescent="0.2">
      <c r="F2992" s="591">
        <v>2983</v>
      </c>
      <c r="G2992" s="420">
        <f t="shared" ca="1" si="54"/>
        <v>-3.374196070120139E-2</v>
      </c>
    </row>
    <row r="2993" spans="6:7" x14ac:dyDescent="0.2">
      <c r="F2993" s="591">
        <v>2984</v>
      </c>
      <c r="G2993" s="420">
        <f t="shared" ca="1" si="54"/>
        <v>1.8345233954993295E-2</v>
      </c>
    </row>
    <row r="2994" spans="6:7" x14ac:dyDescent="0.2">
      <c r="F2994" s="591">
        <v>2985</v>
      </c>
      <c r="G2994" s="420">
        <f t="shared" ca="1" si="54"/>
        <v>-4.1095307110103826E-2</v>
      </c>
    </row>
    <row r="2995" spans="6:7" x14ac:dyDescent="0.2">
      <c r="F2995" s="591">
        <v>2986</v>
      </c>
      <c r="G2995" s="420">
        <f t="shared" ca="1" si="54"/>
        <v>4.6839914228516818E-3</v>
      </c>
    </row>
    <row r="2996" spans="6:7" x14ac:dyDescent="0.2">
      <c r="F2996" s="591">
        <v>2987</v>
      </c>
      <c r="G2996" s="420">
        <f t="shared" ca="1" si="54"/>
        <v>-8.1519256751132224E-2</v>
      </c>
    </row>
    <row r="2997" spans="6:7" x14ac:dyDescent="0.2">
      <c r="F2997" s="591">
        <v>2988</v>
      </c>
      <c r="G2997" s="420">
        <f t="shared" ca="1" si="54"/>
        <v>-2.8348040804706719E-2</v>
      </c>
    </row>
    <row r="2998" spans="6:7" x14ac:dyDescent="0.2">
      <c r="F2998" s="591">
        <v>2989</v>
      </c>
      <c r="G2998" s="420">
        <f t="shared" ca="1" si="54"/>
        <v>6.7715299942735202E-2</v>
      </c>
    </row>
    <row r="2999" spans="6:7" x14ac:dyDescent="0.2">
      <c r="F2999" s="591">
        <v>2990</v>
      </c>
      <c r="G2999" s="420">
        <f t="shared" ca="1" si="54"/>
        <v>7.7547766094053269E-2</v>
      </c>
    </row>
    <row r="3000" spans="6:7" x14ac:dyDescent="0.2">
      <c r="F3000" s="591">
        <v>2991</v>
      </c>
      <c r="G3000" s="420">
        <f t="shared" ca="1" si="54"/>
        <v>2.4083400696458871E-2</v>
      </c>
    </row>
    <row r="3001" spans="6:7" x14ac:dyDescent="0.2">
      <c r="F3001" s="591">
        <v>2992</v>
      </c>
      <c r="G3001" s="420">
        <f t="shared" ca="1" si="54"/>
        <v>2.5361850869297292E-2</v>
      </c>
    </row>
    <row r="3002" spans="6:7" x14ac:dyDescent="0.2">
      <c r="F3002" s="591">
        <v>2993</v>
      </c>
      <c r="G3002" s="420">
        <f t="shared" ca="1" si="54"/>
        <v>6.1663101316064728E-2</v>
      </c>
    </row>
    <row r="3003" spans="6:7" x14ac:dyDescent="0.2">
      <c r="F3003" s="591">
        <v>2994</v>
      </c>
      <c r="G3003" s="420">
        <f t="shared" ca="1" si="54"/>
        <v>3.05108744594574E-2</v>
      </c>
    </row>
    <row r="3004" spans="6:7" x14ac:dyDescent="0.2">
      <c r="F3004" s="591">
        <v>2995</v>
      </c>
      <c r="G3004" s="420">
        <f t="shared" ca="1" si="54"/>
        <v>3.9788731225287761E-2</v>
      </c>
    </row>
    <row r="3005" spans="6:7" x14ac:dyDescent="0.2">
      <c r="F3005" s="591">
        <v>2996</v>
      </c>
      <c r="G3005" s="420">
        <f t="shared" ca="1" si="54"/>
        <v>9.0348129973357328E-3</v>
      </c>
    </row>
    <row r="3006" spans="6:7" x14ac:dyDescent="0.2">
      <c r="F3006" s="591">
        <v>2997</v>
      </c>
      <c r="G3006" s="420">
        <f t="shared" ca="1" si="54"/>
        <v>-6.2261072356373182E-2</v>
      </c>
    </row>
    <row r="3007" spans="6:7" x14ac:dyDescent="0.2">
      <c r="F3007" s="591">
        <v>2998</v>
      </c>
      <c r="G3007" s="420">
        <f t="shared" ca="1" si="54"/>
        <v>-0.13484293813560488</v>
      </c>
    </row>
    <row r="3008" spans="6:7" x14ac:dyDescent="0.2">
      <c r="F3008" s="591">
        <v>2999</v>
      </c>
      <c r="G3008" s="420">
        <f t="shared" ca="1" si="54"/>
        <v>2.7969206550403719E-2</v>
      </c>
    </row>
    <row r="3009" spans="6:7" x14ac:dyDescent="0.2">
      <c r="F3009" s="591">
        <v>3000</v>
      </c>
      <c r="G3009" s="420">
        <f t="shared" ca="1" si="54"/>
        <v>-2.6556536816883265E-2</v>
      </c>
    </row>
    <row r="3010" spans="6:7" x14ac:dyDescent="0.2">
      <c r="F3010" s="591">
        <v>3001</v>
      </c>
      <c r="G3010" s="420">
        <f t="shared" ca="1" si="54"/>
        <v>1.7990549818408731E-2</v>
      </c>
    </row>
    <row r="3011" spans="6:7" x14ac:dyDescent="0.2">
      <c r="F3011" s="591">
        <v>3002</v>
      </c>
      <c r="G3011" s="420">
        <f t="shared" ca="1" si="54"/>
        <v>1.0386146800711017E-2</v>
      </c>
    </row>
    <row r="3012" spans="6:7" x14ac:dyDescent="0.2">
      <c r="F3012" s="591">
        <v>3003</v>
      </c>
      <c r="G3012" s="420">
        <f t="shared" ca="1" si="54"/>
        <v>2.8322061082135405E-2</v>
      </c>
    </row>
    <row r="3013" spans="6:7" x14ac:dyDescent="0.2">
      <c r="F3013" s="591">
        <v>3004</v>
      </c>
      <c r="G3013" s="420">
        <f t="shared" ca="1" si="54"/>
        <v>-7.1166758082963424E-2</v>
      </c>
    </row>
    <row r="3014" spans="6:7" x14ac:dyDescent="0.2">
      <c r="F3014" s="591">
        <v>3005</v>
      </c>
      <c r="G3014" s="420">
        <f t="shared" ca="1" si="54"/>
        <v>-7.9430560433596337E-2</v>
      </c>
    </row>
    <row r="3015" spans="6:7" x14ac:dyDescent="0.2">
      <c r="F3015" s="591">
        <v>3006</v>
      </c>
      <c r="G3015" s="420">
        <f t="shared" ca="1" si="54"/>
        <v>1.503174670356365E-2</v>
      </c>
    </row>
    <row r="3016" spans="6:7" x14ac:dyDescent="0.2">
      <c r="F3016" s="591">
        <v>3007</v>
      </c>
      <c r="G3016" s="420">
        <f t="shared" ca="1" si="54"/>
        <v>6.6767265968170189E-2</v>
      </c>
    </row>
    <row r="3017" spans="6:7" x14ac:dyDescent="0.2">
      <c r="F3017" s="591">
        <v>3008</v>
      </c>
      <c r="G3017" s="420">
        <f t="shared" ca="1" si="54"/>
        <v>-8.1072398213861127E-2</v>
      </c>
    </row>
    <row r="3018" spans="6:7" x14ac:dyDescent="0.2">
      <c r="F3018" s="591">
        <v>3009</v>
      </c>
      <c r="G3018" s="420">
        <f t="shared" ca="1" si="54"/>
        <v>-8.6875028855317324E-2</v>
      </c>
    </row>
    <row r="3019" spans="6:7" x14ac:dyDescent="0.2">
      <c r="F3019" s="591">
        <v>3010</v>
      </c>
      <c r="G3019" s="420">
        <f t="shared" ref="G3019:G3082" ca="1" si="55">_xlfn.NORM.INV(RAND(), $M$11,$M$12)</f>
        <v>-6.0625126715900361E-4</v>
      </c>
    </row>
    <row r="3020" spans="6:7" x14ac:dyDescent="0.2">
      <c r="F3020" s="591">
        <v>3011</v>
      </c>
      <c r="G3020" s="420">
        <f t="shared" ca="1" si="55"/>
        <v>1.6902735567833366E-2</v>
      </c>
    </row>
    <row r="3021" spans="6:7" x14ac:dyDescent="0.2">
      <c r="F3021" s="591">
        <v>3012</v>
      </c>
      <c r="G3021" s="420">
        <f t="shared" ca="1" si="55"/>
        <v>-5.8264576567877181E-4</v>
      </c>
    </row>
    <row r="3022" spans="6:7" x14ac:dyDescent="0.2">
      <c r="F3022" s="591">
        <v>3013</v>
      </c>
      <c r="G3022" s="420">
        <f t="shared" ca="1" si="55"/>
        <v>5.1293643498567437E-2</v>
      </c>
    </row>
    <row r="3023" spans="6:7" x14ac:dyDescent="0.2">
      <c r="F3023" s="591">
        <v>3014</v>
      </c>
      <c r="G3023" s="420">
        <f t="shared" ca="1" si="55"/>
        <v>2.5847221646049544E-2</v>
      </c>
    </row>
    <row r="3024" spans="6:7" x14ac:dyDescent="0.2">
      <c r="F3024" s="591">
        <v>3015</v>
      </c>
      <c r="G3024" s="420">
        <f t="shared" ca="1" si="55"/>
        <v>-5.4379050980678897E-2</v>
      </c>
    </row>
    <row r="3025" spans="6:7" x14ac:dyDescent="0.2">
      <c r="F3025" s="591">
        <v>3016</v>
      </c>
      <c r="G3025" s="420">
        <f t="shared" ca="1" si="55"/>
        <v>8.1125587473431834E-2</v>
      </c>
    </row>
    <row r="3026" spans="6:7" x14ac:dyDescent="0.2">
      <c r="F3026" s="591">
        <v>3017</v>
      </c>
      <c r="G3026" s="420">
        <f t="shared" ca="1" si="55"/>
        <v>7.9020865546684416E-2</v>
      </c>
    </row>
    <row r="3027" spans="6:7" x14ac:dyDescent="0.2">
      <c r="F3027" s="591">
        <v>3018</v>
      </c>
      <c r="G3027" s="420">
        <f t="shared" ca="1" si="55"/>
        <v>7.7674618508617482E-2</v>
      </c>
    </row>
    <row r="3028" spans="6:7" x14ac:dyDescent="0.2">
      <c r="F3028" s="591">
        <v>3019</v>
      </c>
      <c r="G3028" s="420">
        <f t="shared" ca="1" si="55"/>
        <v>-0.180436362968796</v>
      </c>
    </row>
    <row r="3029" spans="6:7" x14ac:dyDescent="0.2">
      <c r="F3029" s="591">
        <v>3020</v>
      </c>
      <c r="G3029" s="420">
        <f t="shared" ca="1" si="55"/>
        <v>6.06542327259494E-2</v>
      </c>
    </row>
    <row r="3030" spans="6:7" x14ac:dyDescent="0.2">
      <c r="F3030" s="591">
        <v>3021</v>
      </c>
      <c r="G3030" s="420">
        <f t="shared" ca="1" si="55"/>
        <v>0.16071364020839696</v>
      </c>
    </row>
    <row r="3031" spans="6:7" x14ac:dyDescent="0.2">
      <c r="F3031" s="591">
        <v>3022</v>
      </c>
      <c r="G3031" s="420">
        <f t="shared" ca="1" si="55"/>
        <v>-6.3823471095552836E-2</v>
      </c>
    </row>
    <row r="3032" spans="6:7" x14ac:dyDescent="0.2">
      <c r="F3032" s="591">
        <v>3023</v>
      </c>
      <c r="G3032" s="420">
        <f t="shared" ca="1" si="55"/>
        <v>-1.5693282948199858E-2</v>
      </c>
    </row>
    <row r="3033" spans="6:7" x14ac:dyDescent="0.2">
      <c r="F3033" s="591">
        <v>3024</v>
      </c>
      <c r="G3033" s="420">
        <f t="shared" ca="1" si="55"/>
        <v>0.12945661686642618</v>
      </c>
    </row>
    <row r="3034" spans="6:7" x14ac:dyDescent="0.2">
      <c r="F3034" s="591">
        <v>3025</v>
      </c>
      <c r="G3034" s="420">
        <f t="shared" ca="1" si="55"/>
        <v>1.8631033011910207E-2</v>
      </c>
    </row>
    <row r="3035" spans="6:7" x14ac:dyDescent="0.2">
      <c r="F3035" s="591">
        <v>3026</v>
      </c>
      <c r="G3035" s="420">
        <f t="shared" ca="1" si="55"/>
        <v>4.0130217890745189E-2</v>
      </c>
    </row>
    <row r="3036" spans="6:7" x14ac:dyDescent="0.2">
      <c r="F3036" s="591">
        <v>3027</v>
      </c>
      <c r="G3036" s="420">
        <f t="shared" ca="1" si="55"/>
        <v>-8.620862113439981E-2</v>
      </c>
    </row>
    <row r="3037" spans="6:7" x14ac:dyDescent="0.2">
      <c r="F3037" s="591">
        <v>3028</v>
      </c>
      <c r="G3037" s="420">
        <f t="shared" ca="1" si="55"/>
        <v>7.2137781240045856E-2</v>
      </c>
    </row>
    <row r="3038" spans="6:7" x14ac:dyDescent="0.2">
      <c r="F3038" s="591">
        <v>3029</v>
      </c>
      <c r="G3038" s="420">
        <f t="shared" ca="1" si="55"/>
        <v>-7.6541565638502965E-2</v>
      </c>
    </row>
    <row r="3039" spans="6:7" x14ac:dyDescent="0.2">
      <c r="F3039" s="591">
        <v>3030</v>
      </c>
      <c r="G3039" s="420">
        <f t="shared" ca="1" si="55"/>
        <v>-0.1004363925229351</v>
      </c>
    </row>
    <row r="3040" spans="6:7" x14ac:dyDescent="0.2">
      <c r="F3040" s="591">
        <v>3031</v>
      </c>
      <c r="G3040" s="420">
        <f t="shared" ca="1" si="55"/>
        <v>4.4369509319070292E-3</v>
      </c>
    </row>
    <row r="3041" spans="6:7" x14ac:dyDescent="0.2">
      <c r="F3041" s="591">
        <v>3032</v>
      </c>
      <c r="G3041" s="420">
        <f t="shared" ca="1" si="55"/>
        <v>2.9850710845533996E-3</v>
      </c>
    </row>
    <row r="3042" spans="6:7" x14ac:dyDescent="0.2">
      <c r="F3042" s="591">
        <v>3033</v>
      </c>
      <c r="G3042" s="420">
        <f t="shared" ca="1" si="55"/>
        <v>-2.6032461421478633E-2</v>
      </c>
    </row>
    <row r="3043" spans="6:7" x14ac:dyDescent="0.2">
      <c r="F3043" s="591">
        <v>3034</v>
      </c>
      <c r="G3043" s="420">
        <f t="shared" ca="1" si="55"/>
        <v>-1.1429661658989298E-2</v>
      </c>
    </row>
    <row r="3044" spans="6:7" x14ac:dyDescent="0.2">
      <c r="F3044" s="591">
        <v>3035</v>
      </c>
      <c r="G3044" s="420">
        <f t="shared" ca="1" si="55"/>
        <v>1.8393958846627673E-2</v>
      </c>
    </row>
    <row r="3045" spans="6:7" x14ac:dyDescent="0.2">
      <c r="F3045" s="591">
        <v>3036</v>
      </c>
      <c r="G3045" s="420">
        <f t="shared" ca="1" si="55"/>
        <v>1.8190375340521994E-2</v>
      </c>
    </row>
    <row r="3046" spans="6:7" x14ac:dyDescent="0.2">
      <c r="F3046" s="591">
        <v>3037</v>
      </c>
      <c r="G3046" s="420">
        <f t="shared" ca="1" si="55"/>
        <v>-8.9630730035894293E-2</v>
      </c>
    </row>
    <row r="3047" spans="6:7" x14ac:dyDescent="0.2">
      <c r="F3047" s="591">
        <v>3038</v>
      </c>
      <c r="G3047" s="420">
        <f t="shared" ca="1" si="55"/>
        <v>-8.6013231482097718E-2</v>
      </c>
    </row>
    <row r="3048" spans="6:7" x14ac:dyDescent="0.2">
      <c r="F3048" s="591">
        <v>3039</v>
      </c>
      <c r="G3048" s="420">
        <f t="shared" ca="1" si="55"/>
        <v>-4.4120217529130368E-2</v>
      </c>
    </row>
    <row r="3049" spans="6:7" x14ac:dyDescent="0.2">
      <c r="F3049" s="591">
        <v>3040</v>
      </c>
      <c r="G3049" s="420">
        <f t="shared" ca="1" si="55"/>
        <v>-3.0360859861498928E-2</v>
      </c>
    </row>
    <row r="3050" spans="6:7" x14ac:dyDescent="0.2">
      <c r="F3050" s="591">
        <v>3041</v>
      </c>
      <c r="G3050" s="420">
        <f t="shared" ca="1" si="55"/>
        <v>0.12883769919776067</v>
      </c>
    </row>
    <row r="3051" spans="6:7" x14ac:dyDescent="0.2">
      <c r="F3051" s="591">
        <v>3042</v>
      </c>
      <c r="G3051" s="420">
        <f t="shared" ca="1" si="55"/>
        <v>0.15839960750220267</v>
      </c>
    </row>
    <row r="3052" spans="6:7" x14ac:dyDescent="0.2">
      <c r="F3052" s="591">
        <v>3043</v>
      </c>
      <c r="G3052" s="420">
        <f t="shared" ca="1" si="55"/>
        <v>-5.3240443674347715E-2</v>
      </c>
    </row>
    <row r="3053" spans="6:7" x14ac:dyDescent="0.2">
      <c r="F3053" s="591">
        <v>3044</v>
      </c>
      <c r="G3053" s="420">
        <f t="shared" ca="1" si="55"/>
        <v>-4.7305797399533084E-2</v>
      </c>
    </row>
    <row r="3054" spans="6:7" x14ac:dyDescent="0.2">
      <c r="F3054" s="591">
        <v>3045</v>
      </c>
      <c r="G3054" s="420">
        <f t="shared" ca="1" si="55"/>
        <v>-5.5330508445174093E-2</v>
      </c>
    </row>
    <row r="3055" spans="6:7" x14ac:dyDescent="0.2">
      <c r="F3055" s="591">
        <v>3046</v>
      </c>
      <c r="G3055" s="420">
        <f t="shared" ca="1" si="55"/>
        <v>-7.7597813356775999E-2</v>
      </c>
    </row>
    <row r="3056" spans="6:7" x14ac:dyDescent="0.2">
      <c r="F3056" s="591">
        <v>3047</v>
      </c>
      <c r="G3056" s="420">
        <f t="shared" ca="1" si="55"/>
        <v>1.5736171258856943E-2</v>
      </c>
    </row>
    <row r="3057" spans="6:7" x14ac:dyDescent="0.2">
      <c r="F3057" s="591">
        <v>3048</v>
      </c>
      <c r="G3057" s="420">
        <f t="shared" ca="1" si="55"/>
        <v>-8.8504270839517604E-2</v>
      </c>
    </row>
    <row r="3058" spans="6:7" x14ac:dyDescent="0.2">
      <c r="F3058" s="591">
        <v>3049</v>
      </c>
      <c r="G3058" s="420">
        <f t="shared" ca="1" si="55"/>
        <v>0.18165250107105338</v>
      </c>
    </row>
    <row r="3059" spans="6:7" x14ac:dyDescent="0.2">
      <c r="F3059" s="591">
        <v>3050</v>
      </c>
      <c r="G3059" s="420">
        <f t="shared" ca="1" si="55"/>
        <v>-5.8339566848876534E-2</v>
      </c>
    </row>
    <row r="3060" spans="6:7" x14ac:dyDescent="0.2">
      <c r="F3060" s="591">
        <v>3051</v>
      </c>
      <c r="G3060" s="420">
        <f t="shared" ca="1" si="55"/>
        <v>2.1184429024783326E-2</v>
      </c>
    </row>
    <row r="3061" spans="6:7" x14ac:dyDescent="0.2">
      <c r="F3061" s="591">
        <v>3052</v>
      </c>
      <c r="G3061" s="420">
        <f t="shared" ca="1" si="55"/>
        <v>-3.8126743835557725E-2</v>
      </c>
    </row>
    <row r="3062" spans="6:7" x14ac:dyDescent="0.2">
      <c r="F3062" s="591">
        <v>3053</v>
      </c>
      <c r="G3062" s="420">
        <f t="shared" ca="1" si="55"/>
        <v>-1.559440388441018E-2</v>
      </c>
    </row>
    <row r="3063" spans="6:7" x14ac:dyDescent="0.2">
      <c r="F3063" s="591">
        <v>3054</v>
      </c>
      <c r="G3063" s="420">
        <f t="shared" ca="1" si="55"/>
        <v>-4.0707151686934909E-2</v>
      </c>
    </row>
    <row r="3064" spans="6:7" x14ac:dyDescent="0.2">
      <c r="F3064" s="591">
        <v>3055</v>
      </c>
      <c r="G3064" s="420">
        <f t="shared" ca="1" si="55"/>
        <v>1.6842471585119832E-2</v>
      </c>
    </row>
    <row r="3065" spans="6:7" x14ac:dyDescent="0.2">
      <c r="F3065" s="591">
        <v>3056</v>
      </c>
      <c r="G3065" s="420">
        <f t="shared" ca="1" si="55"/>
        <v>0.13726151236995909</v>
      </c>
    </row>
    <row r="3066" spans="6:7" x14ac:dyDescent="0.2">
      <c r="F3066" s="591">
        <v>3057</v>
      </c>
      <c r="G3066" s="420">
        <f t="shared" ca="1" si="55"/>
        <v>-5.3217376951231923E-2</v>
      </c>
    </row>
    <row r="3067" spans="6:7" x14ac:dyDescent="0.2">
      <c r="F3067" s="591">
        <v>3058</v>
      </c>
      <c r="G3067" s="420">
        <f t="shared" ca="1" si="55"/>
        <v>-1.9027266626664825E-2</v>
      </c>
    </row>
    <row r="3068" spans="6:7" x14ac:dyDescent="0.2">
      <c r="F3068" s="591">
        <v>3059</v>
      </c>
      <c r="G3068" s="420">
        <f t="shared" ca="1" si="55"/>
        <v>0.10140225229848099</v>
      </c>
    </row>
    <row r="3069" spans="6:7" x14ac:dyDescent="0.2">
      <c r="F3069" s="591">
        <v>3060</v>
      </c>
      <c r="G3069" s="420">
        <f t="shared" ca="1" si="55"/>
        <v>-3.9877092855002839E-3</v>
      </c>
    </row>
    <row r="3070" spans="6:7" x14ac:dyDescent="0.2">
      <c r="F3070" s="591">
        <v>3061</v>
      </c>
      <c r="G3070" s="420">
        <f t="shared" ca="1" si="55"/>
        <v>4.3325683284837116E-2</v>
      </c>
    </row>
    <row r="3071" spans="6:7" x14ac:dyDescent="0.2">
      <c r="F3071" s="591">
        <v>3062</v>
      </c>
      <c r="G3071" s="420">
        <f t="shared" ca="1" si="55"/>
        <v>8.375065124025298E-2</v>
      </c>
    </row>
    <row r="3072" spans="6:7" x14ac:dyDescent="0.2">
      <c r="F3072" s="591">
        <v>3063</v>
      </c>
      <c r="G3072" s="420">
        <f t="shared" ca="1" si="55"/>
        <v>8.6201297192166806E-2</v>
      </c>
    </row>
    <row r="3073" spans="6:7" x14ac:dyDescent="0.2">
      <c r="F3073" s="591">
        <v>3064</v>
      </c>
      <c r="G3073" s="420">
        <f t="shared" ca="1" si="55"/>
        <v>-5.8293433542440154E-2</v>
      </c>
    </row>
    <row r="3074" spans="6:7" x14ac:dyDescent="0.2">
      <c r="F3074" s="591">
        <v>3065</v>
      </c>
      <c r="G3074" s="420">
        <f t="shared" ca="1" si="55"/>
        <v>7.941393361420504E-2</v>
      </c>
    </row>
    <row r="3075" spans="6:7" x14ac:dyDescent="0.2">
      <c r="F3075" s="591">
        <v>3066</v>
      </c>
      <c r="G3075" s="420">
        <f t="shared" ca="1" si="55"/>
        <v>-3.1326339806414007E-4</v>
      </c>
    </row>
    <row r="3076" spans="6:7" x14ac:dyDescent="0.2">
      <c r="F3076" s="591">
        <v>3067</v>
      </c>
      <c r="G3076" s="420">
        <f t="shared" ca="1" si="55"/>
        <v>-4.7132610599677618E-2</v>
      </c>
    </row>
    <row r="3077" spans="6:7" x14ac:dyDescent="0.2">
      <c r="F3077" s="591">
        <v>3068</v>
      </c>
      <c r="G3077" s="420">
        <f t="shared" ca="1" si="55"/>
        <v>8.5561296275977639E-2</v>
      </c>
    </row>
    <row r="3078" spans="6:7" x14ac:dyDescent="0.2">
      <c r="F3078" s="591">
        <v>3069</v>
      </c>
      <c r="G3078" s="420">
        <f t="shared" ca="1" si="55"/>
        <v>5.7720387736032039E-2</v>
      </c>
    </row>
    <row r="3079" spans="6:7" x14ac:dyDescent="0.2">
      <c r="F3079" s="591">
        <v>3070</v>
      </c>
      <c r="G3079" s="420">
        <f t="shared" ca="1" si="55"/>
        <v>-1.44007982671235E-2</v>
      </c>
    </row>
    <row r="3080" spans="6:7" x14ac:dyDescent="0.2">
      <c r="F3080" s="591">
        <v>3071</v>
      </c>
      <c r="G3080" s="420">
        <f t="shared" ca="1" si="55"/>
        <v>1.070370186231537E-2</v>
      </c>
    </row>
    <row r="3081" spans="6:7" x14ac:dyDescent="0.2">
      <c r="F3081" s="591">
        <v>3072</v>
      </c>
      <c r="G3081" s="420">
        <f t="shared" ca="1" si="55"/>
        <v>1.7728508693850849E-2</v>
      </c>
    </row>
    <row r="3082" spans="6:7" x14ac:dyDescent="0.2">
      <c r="F3082" s="591">
        <v>3073</v>
      </c>
      <c r="G3082" s="420">
        <f t="shared" ca="1" si="55"/>
        <v>1.3603909114075639E-2</v>
      </c>
    </row>
    <row r="3083" spans="6:7" x14ac:dyDescent="0.2">
      <c r="F3083" s="591">
        <v>3074</v>
      </c>
      <c r="G3083" s="420">
        <f t="shared" ref="G3083:G3146" ca="1" si="56">_xlfn.NORM.INV(RAND(), $M$11,$M$12)</f>
        <v>-4.9950976025305779E-3</v>
      </c>
    </row>
    <row r="3084" spans="6:7" x14ac:dyDescent="0.2">
      <c r="F3084" s="591">
        <v>3075</v>
      </c>
      <c r="G3084" s="420">
        <f t="shared" ca="1" si="56"/>
        <v>8.2692703522537825E-2</v>
      </c>
    </row>
    <row r="3085" spans="6:7" x14ac:dyDescent="0.2">
      <c r="F3085" s="591">
        <v>3076</v>
      </c>
      <c r="G3085" s="420">
        <f t="shared" ca="1" si="56"/>
        <v>5.6495984142630212E-2</v>
      </c>
    </row>
    <row r="3086" spans="6:7" x14ac:dyDescent="0.2">
      <c r="F3086" s="591">
        <v>3077</v>
      </c>
      <c r="G3086" s="420">
        <f t="shared" ca="1" si="56"/>
        <v>-9.5319030482962808E-2</v>
      </c>
    </row>
    <row r="3087" spans="6:7" x14ac:dyDescent="0.2">
      <c r="F3087" s="591">
        <v>3078</v>
      </c>
      <c r="G3087" s="420">
        <f t="shared" ca="1" si="56"/>
        <v>5.607616978351064E-2</v>
      </c>
    </row>
    <row r="3088" spans="6:7" x14ac:dyDescent="0.2">
      <c r="F3088" s="591">
        <v>3079</v>
      </c>
      <c r="G3088" s="420">
        <f t="shared" ca="1" si="56"/>
        <v>3.4476425953455778E-2</v>
      </c>
    </row>
    <row r="3089" spans="6:7" x14ac:dyDescent="0.2">
      <c r="F3089" s="591">
        <v>3080</v>
      </c>
      <c r="G3089" s="420">
        <f t="shared" ca="1" si="56"/>
        <v>-1.9737292227851099E-2</v>
      </c>
    </row>
    <row r="3090" spans="6:7" x14ac:dyDescent="0.2">
      <c r="F3090" s="591">
        <v>3081</v>
      </c>
      <c r="G3090" s="420">
        <f t="shared" ca="1" si="56"/>
        <v>2.2943169240227247E-2</v>
      </c>
    </row>
    <row r="3091" spans="6:7" x14ac:dyDescent="0.2">
      <c r="F3091" s="591">
        <v>3082</v>
      </c>
      <c r="G3091" s="420">
        <f t="shared" ca="1" si="56"/>
        <v>7.4283761947138746E-2</v>
      </c>
    </row>
    <row r="3092" spans="6:7" x14ac:dyDescent="0.2">
      <c r="F3092" s="591">
        <v>3083</v>
      </c>
      <c r="G3092" s="420">
        <f t="shared" ca="1" si="56"/>
        <v>3.0638705811460977E-2</v>
      </c>
    </row>
    <row r="3093" spans="6:7" x14ac:dyDescent="0.2">
      <c r="F3093" s="591">
        <v>3084</v>
      </c>
      <c r="G3093" s="420">
        <f t="shared" ca="1" si="56"/>
        <v>-7.0125108076274159E-3</v>
      </c>
    </row>
    <row r="3094" spans="6:7" x14ac:dyDescent="0.2">
      <c r="F3094" s="591">
        <v>3085</v>
      </c>
      <c r="G3094" s="420">
        <f t="shared" ca="1" si="56"/>
        <v>0.10189754157627309</v>
      </c>
    </row>
    <row r="3095" spans="6:7" x14ac:dyDescent="0.2">
      <c r="F3095" s="591">
        <v>3086</v>
      </c>
      <c r="G3095" s="420">
        <f t="shared" ca="1" si="56"/>
        <v>-9.0079400492280179E-2</v>
      </c>
    </row>
    <row r="3096" spans="6:7" x14ac:dyDescent="0.2">
      <c r="F3096" s="591">
        <v>3087</v>
      </c>
      <c r="G3096" s="420">
        <f t="shared" ca="1" si="56"/>
        <v>2.9264776951381404E-2</v>
      </c>
    </row>
    <row r="3097" spans="6:7" x14ac:dyDescent="0.2">
      <c r="F3097" s="591">
        <v>3088</v>
      </c>
      <c r="G3097" s="420">
        <f t="shared" ca="1" si="56"/>
        <v>3.4353114717494346E-2</v>
      </c>
    </row>
    <row r="3098" spans="6:7" x14ac:dyDescent="0.2">
      <c r="F3098" s="591">
        <v>3089</v>
      </c>
      <c r="G3098" s="420">
        <f t="shared" ca="1" si="56"/>
        <v>3.3297070982141602E-2</v>
      </c>
    </row>
    <row r="3099" spans="6:7" x14ac:dyDescent="0.2">
      <c r="F3099" s="591">
        <v>3090</v>
      </c>
      <c r="G3099" s="420">
        <f t="shared" ca="1" si="56"/>
        <v>4.0171485205637042E-2</v>
      </c>
    </row>
    <row r="3100" spans="6:7" x14ac:dyDescent="0.2">
      <c r="F3100" s="591">
        <v>3091</v>
      </c>
      <c r="G3100" s="420">
        <f t="shared" ca="1" si="56"/>
        <v>2.3088269334667687E-2</v>
      </c>
    </row>
    <row r="3101" spans="6:7" x14ac:dyDescent="0.2">
      <c r="F3101" s="591">
        <v>3092</v>
      </c>
      <c r="G3101" s="420">
        <f t="shared" ca="1" si="56"/>
        <v>-0.14236607240914564</v>
      </c>
    </row>
    <row r="3102" spans="6:7" x14ac:dyDescent="0.2">
      <c r="F3102" s="591">
        <v>3093</v>
      </c>
      <c r="G3102" s="420">
        <f t="shared" ca="1" si="56"/>
        <v>-0.11627750624056639</v>
      </c>
    </row>
    <row r="3103" spans="6:7" x14ac:dyDescent="0.2">
      <c r="F3103" s="591">
        <v>3094</v>
      </c>
      <c r="G3103" s="420">
        <f t="shared" ca="1" si="56"/>
        <v>-1.0567495647776919E-2</v>
      </c>
    </row>
    <row r="3104" spans="6:7" x14ac:dyDescent="0.2">
      <c r="F3104" s="591">
        <v>3095</v>
      </c>
      <c r="G3104" s="420">
        <f t="shared" ca="1" si="56"/>
        <v>-4.4599364007105513E-2</v>
      </c>
    </row>
    <row r="3105" spans="6:7" x14ac:dyDescent="0.2">
      <c r="F3105" s="591">
        <v>3096</v>
      </c>
      <c r="G3105" s="420">
        <f t="shared" ca="1" si="56"/>
        <v>-9.5670691957757334E-3</v>
      </c>
    </row>
    <row r="3106" spans="6:7" x14ac:dyDescent="0.2">
      <c r="F3106" s="591">
        <v>3097</v>
      </c>
      <c r="G3106" s="420">
        <f t="shared" ca="1" si="56"/>
        <v>-2.2687991377240587E-2</v>
      </c>
    </row>
    <row r="3107" spans="6:7" x14ac:dyDescent="0.2">
      <c r="F3107" s="591">
        <v>3098</v>
      </c>
      <c r="G3107" s="420">
        <f t="shared" ca="1" si="56"/>
        <v>3.6012121019028676E-2</v>
      </c>
    </row>
    <row r="3108" spans="6:7" x14ac:dyDescent="0.2">
      <c r="F3108" s="591">
        <v>3099</v>
      </c>
      <c r="G3108" s="420">
        <f t="shared" ca="1" si="56"/>
        <v>-1.5897622205732979E-2</v>
      </c>
    </row>
    <row r="3109" spans="6:7" x14ac:dyDescent="0.2">
      <c r="F3109" s="591">
        <v>3100</v>
      </c>
      <c r="G3109" s="420">
        <f t="shared" ca="1" si="56"/>
        <v>-3.8365899308430831E-2</v>
      </c>
    </row>
    <row r="3110" spans="6:7" x14ac:dyDescent="0.2">
      <c r="F3110" s="591">
        <v>3101</v>
      </c>
      <c r="G3110" s="420">
        <f t="shared" ca="1" si="56"/>
        <v>-4.3900629334079441E-2</v>
      </c>
    </row>
    <row r="3111" spans="6:7" x14ac:dyDescent="0.2">
      <c r="F3111" s="591">
        <v>3102</v>
      </c>
      <c r="G3111" s="420">
        <f t="shared" ca="1" si="56"/>
        <v>0.18012055962050563</v>
      </c>
    </row>
    <row r="3112" spans="6:7" x14ac:dyDescent="0.2">
      <c r="F3112" s="591">
        <v>3103</v>
      </c>
      <c r="G3112" s="420">
        <f t="shared" ca="1" si="56"/>
        <v>5.637642693135024E-2</v>
      </c>
    </row>
    <row r="3113" spans="6:7" x14ac:dyDescent="0.2">
      <c r="F3113" s="591">
        <v>3104</v>
      </c>
      <c r="G3113" s="420">
        <f t="shared" ca="1" si="56"/>
        <v>7.2730577957163312E-2</v>
      </c>
    </row>
    <row r="3114" spans="6:7" x14ac:dyDescent="0.2">
      <c r="F3114" s="591">
        <v>3105</v>
      </c>
      <c r="G3114" s="420">
        <f t="shared" ca="1" si="56"/>
        <v>1.3752107577219976E-2</v>
      </c>
    </row>
    <row r="3115" spans="6:7" x14ac:dyDescent="0.2">
      <c r="F3115" s="591">
        <v>3106</v>
      </c>
      <c r="G3115" s="420">
        <f t="shared" ca="1" si="56"/>
        <v>-1.2535268571751686E-2</v>
      </c>
    </row>
    <row r="3116" spans="6:7" x14ac:dyDescent="0.2">
      <c r="F3116" s="591">
        <v>3107</v>
      </c>
      <c r="G3116" s="420">
        <f t="shared" ca="1" si="56"/>
        <v>-7.793077456566716E-2</v>
      </c>
    </row>
    <row r="3117" spans="6:7" x14ac:dyDescent="0.2">
      <c r="F3117" s="591">
        <v>3108</v>
      </c>
      <c r="G3117" s="420">
        <f t="shared" ca="1" si="56"/>
        <v>2.7490636484266938E-2</v>
      </c>
    </row>
    <row r="3118" spans="6:7" x14ac:dyDescent="0.2">
      <c r="F3118" s="591">
        <v>3109</v>
      </c>
      <c r="G3118" s="420">
        <f t="shared" ca="1" si="56"/>
        <v>-9.4413170133003932E-2</v>
      </c>
    </row>
    <row r="3119" spans="6:7" x14ac:dyDescent="0.2">
      <c r="F3119" s="591">
        <v>3110</v>
      </c>
      <c r="G3119" s="420">
        <f t="shared" ca="1" si="56"/>
        <v>5.629691083071825E-2</v>
      </c>
    </row>
    <row r="3120" spans="6:7" x14ac:dyDescent="0.2">
      <c r="F3120" s="591">
        <v>3111</v>
      </c>
      <c r="G3120" s="420">
        <f t="shared" ca="1" si="56"/>
        <v>-7.9851531775721421E-2</v>
      </c>
    </row>
    <row r="3121" spans="6:7" x14ac:dyDescent="0.2">
      <c r="F3121" s="591">
        <v>3112</v>
      </c>
      <c r="G3121" s="420">
        <f t="shared" ca="1" si="56"/>
        <v>0.11475380534052314</v>
      </c>
    </row>
    <row r="3122" spans="6:7" x14ac:dyDescent="0.2">
      <c r="F3122" s="591">
        <v>3113</v>
      </c>
      <c r="G3122" s="420">
        <f t="shared" ca="1" si="56"/>
        <v>-6.6683305897487083E-2</v>
      </c>
    </row>
    <row r="3123" spans="6:7" x14ac:dyDescent="0.2">
      <c r="F3123" s="591">
        <v>3114</v>
      </c>
      <c r="G3123" s="420">
        <f t="shared" ca="1" si="56"/>
        <v>-1.7782202113280608E-2</v>
      </c>
    </row>
    <row r="3124" spans="6:7" x14ac:dyDescent="0.2">
      <c r="F3124" s="591">
        <v>3115</v>
      </c>
      <c r="G3124" s="420">
        <f t="shared" ca="1" si="56"/>
        <v>8.4536786988510332E-2</v>
      </c>
    </row>
    <row r="3125" spans="6:7" x14ac:dyDescent="0.2">
      <c r="F3125" s="591">
        <v>3116</v>
      </c>
      <c r="G3125" s="420">
        <f t="shared" ca="1" si="56"/>
        <v>-6.5864184415218019E-5</v>
      </c>
    </row>
    <row r="3126" spans="6:7" x14ac:dyDescent="0.2">
      <c r="F3126" s="591">
        <v>3117</v>
      </c>
      <c r="G3126" s="420">
        <f t="shared" ca="1" si="56"/>
        <v>9.9918064992042515E-3</v>
      </c>
    </row>
    <row r="3127" spans="6:7" x14ac:dyDescent="0.2">
      <c r="F3127" s="591">
        <v>3118</v>
      </c>
      <c r="G3127" s="420">
        <f t="shared" ca="1" si="56"/>
        <v>-7.2848104067270061E-2</v>
      </c>
    </row>
    <row r="3128" spans="6:7" x14ac:dyDescent="0.2">
      <c r="F3128" s="591">
        <v>3119</v>
      </c>
      <c r="G3128" s="420">
        <f t="shared" ca="1" si="56"/>
        <v>2.2652377437212878E-2</v>
      </c>
    </row>
    <row r="3129" spans="6:7" x14ac:dyDescent="0.2">
      <c r="F3129" s="591">
        <v>3120</v>
      </c>
      <c r="G3129" s="420">
        <f t="shared" ca="1" si="56"/>
        <v>-2.0244137441206671E-3</v>
      </c>
    </row>
    <row r="3130" spans="6:7" x14ac:dyDescent="0.2">
      <c r="F3130" s="591">
        <v>3121</v>
      </c>
      <c r="G3130" s="420">
        <f t="shared" ca="1" si="56"/>
        <v>0.10196577449004442</v>
      </c>
    </row>
    <row r="3131" spans="6:7" x14ac:dyDescent="0.2">
      <c r="F3131" s="591">
        <v>3122</v>
      </c>
      <c r="G3131" s="420">
        <f t="shared" ca="1" si="56"/>
        <v>2.6441248966035565E-2</v>
      </c>
    </row>
    <row r="3132" spans="6:7" x14ac:dyDescent="0.2">
      <c r="F3132" s="591">
        <v>3123</v>
      </c>
      <c r="G3132" s="420">
        <f t="shared" ca="1" si="56"/>
        <v>-3.042463355752496E-2</v>
      </c>
    </row>
    <row r="3133" spans="6:7" x14ac:dyDescent="0.2">
      <c r="F3133" s="591">
        <v>3124</v>
      </c>
      <c r="G3133" s="420">
        <f t="shared" ca="1" si="56"/>
        <v>-8.3272644997104947E-2</v>
      </c>
    </row>
    <row r="3134" spans="6:7" x14ac:dyDescent="0.2">
      <c r="F3134" s="591">
        <v>3125</v>
      </c>
      <c r="G3134" s="420">
        <f t="shared" ca="1" si="56"/>
        <v>-9.3989437159528351E-3</v>
      </c>
    </row>
    <row r="3135" spans="6:7" x14ac:dyDescent="0.2">
      <c r="F3135" s="591">
        <v>3126</v>
      </c>
      <c r="G3135" s="420">
        <f t="shared" ca="1" si="56"/>
        <v>2.6861461628312079E-2</v>
      </c>
    </row>
    <row r="3136" spans="6:7" x14ac:dyDescent="0.2">
      <c r="F3136" s="591">
        <v>3127</v>
      </c>
      <c r="G3136" s="420">
        <f t="shared" ca="1" si="56"/>
        <v>-9.9554908289477662E-2</v>
      </c>
    </row>
    <row r="3137" spans="6:7" x14ac:dyDescent="0.2">
      <c r="F3137" s="591">
        <v>3128</v>
      </c>
      <c r="G3137" s="420">
        <f t="shared" ca="1" si="56"/>
        <v>1.924723847968611E-2</v>
      </c>
    </row>
    <row r="3138" spans="6:7" x14ac:dyDescent="0.2">
      <c r="F3138" s="591">
        <v>3129</v>
      </c>
      <c r="G3138" s="420">
        <f t="shared" ca="1" si="56"/>
        <v>1.5193113412564491E-2</v>
      </c>
    </row>
    <row r="3139" spans="6:7" x14ac:dyDescent="0.2">
      <c r="F3139" s="591">
        <v>3130</v>
      </c>
      <c r="G3139" s="420">
        <f t="shared" ca="1" si="56"/>
        <v>4.1390519866434217E-2</v>
      </c>
    </row>
    <row r="3140" spans="6:7" x14ac:dyDescent="0.2">
      <c r="F3140" s="591">
        <v>3131</v>
      </c>
      <c r="G3140" s="420">
        <f t="shared" ca="1" si="56"/>
        <v>-6.0295920449510362E-3</v>
      </c>
    </row>
    <row r="3141" spans="6:7" x14ac:dyDescent="0.2">
      <c r="F3141" s="591">
        <v>3132</v>
      </c>
      <c r="G3141" s="420">
        <f t="shared" ca="1" si="56"/>
        <v>-9.0902791373550909E-2</v>
      </c>
    </row>
    <row r="3142" spans="6:7" x14ac:dyDescent="0.2">
      <c r="F3142" s="591">
        <v>3133</v>
      </c>
      <c r="G3142" s="420">
        <f t="shared" ca="1" si="56"/>
        <v>-7.8991669636921183E-2</v>
      </c>
    </row>
    <row r="3143" spans="6:7" x14ac:dyDescent="0.2">
      <c r="F3143" s="591">
        <v>3134</v>
      </c>
      <c r="G3143" s="420">
        <f t="shared" ca="1" si="56"/>
        <v>7.4782065627297264E-2</v>
      </c>
    </row>
    <row r="3144" spans="6:7" x14ac:dyDescent="0.2">
      <c r="F3144" s="591">
        <v>3135</v>
      </c>
      <c r="G3144" s="420">
        <f t="shared" ca="1" si="56"/>
        <v>2.0544766504394883E-2</v>
      </c>
    </row>
    <row r="3145" spans="6:7" x14ac:dyDescent="0.2">
      <c r="F3145" s="591">
        <v>3136</v>
      </c>
      <c r="G3145" s="420">
        <f t="shared" ca="1" si="56"/>
        <v>-3.9627568713956243E-2</v>
      </c>
    </row>
    <row r="3146" spans="6:7" x14ac:dyDescent="0.2">
      <c r="F3146" s="591">
        <v>3137</v>
      </c>
      <c r="G3146" s="420">
        <f t="shared" ca="1" si="56"/>
        <v>2.0601025551007564E-2</v>
      </c>
    </row>
    <row r="3147" spans="6:7" x14ac:dyDescent="0.2">
      <c r="F3147" s="591">
        <v>3138</v>
      </c>
      <c r="G3147" s="420">
        <f t="shared" ref="G3147:G3210" ca="1" si="57">_xlfn.NORM.INV(RAND(), $M$11,$M$12)</f>
        <v>0.17720799229126613</v>
      </c>
    </row>
    <row r="3148" spans="6:7" x14ac:dyDescent="0.2">
      <c r="F3148" s="591">
        <v>3139</v>
      </c>
      <c r="G3148" s="420">
        <f t="shared" ca="1" si="57"/>
        <v>2.1162709946609515E-2</v>
      </c>
    </row>
    <row r="3149" spans="6:7" x14ac:dyDescent="0.2">
      <c r="F3149" s="591">
        <v>3140</v>
      </c>
      <c r="G3149" s="420">
        <f t="shared" ca="1" si="57"/>
        <v>-1.2169512639620097E-2</v>
      </c>
    </row>
    <row r="3150" spans="6:7" x14ac:dyDescent="0.2">
      <c r="F3150" s="591">
        <v>3141</v>
      </c>
      <c r="G3150" s="420">
        <f t="shared" ca="1" si="57"/>
        <v>5.1294632628082162E-2</v>
      </c>
    </row>
    <row r="3151" spans="6:7" x14ac:dyDescent="0.2">
      <c r="F3151" s="591">
        <v>3142</v>
      </c>
      <c r="G3151" s="420">
        <f t="shared" ca="1" si="57"/>
        <v>3.4463845548793545E-2</v>
      </c>
    </row>
    <row r="3152" spans="6:7" x14ac:dyDescent="0.2">
      <c r="F3152" s="591">
        <v>3143</v>
      </c>
      <c r="G3152" s="420">
        <f t="shared" ca="1" si="57"/>
        <v>-4.9850715635179968E-2</v>
      </c>
    </row>
    <row r="3153" spans="6:7" x14ac:dyDescent="0.2">
      <c r="F3153" s="591">
        <v>3144</v>
      </c>
      <c r="G3153" s="420">
        <f t="shared" ca="1" si="57"/>
        <v>-7.2250187225776294E-4</v>
      </c>
    </row>
    <row r="3154" spans="6:7" x14ac:dyDescent="0.2">
      <c r="F3154" s="591">
        <v>3145</v>
      </c>
      <c r="G3154" s="420">
        <f t="shared" ca="1" si="57"/>
        <v>0.16633280854187704</v>
      </c>
    </row>
    <row r="3155" spans="6:7" x14ac:dyDescent="0.2">
      <c r="F3155" s="591">
        <v>3146</v>
      </c>
      <c r="G3155" s="420">
        <f t="shared" ca="1" si="57"/>
        <v>0.1082147178317876</v>
      </c>
    </row>
    <row r="3156" spans="6:7" x14ac:dyDescent="0.2">
      <c r="F3156" s="591">
        <v>3147</v>
      </c>
      <c r="G3156" s="420">
        <f t="shared" ca="1" si="57"/>
        <v>-3.9768477483502859E-2</v>
      </c>
    </row>
    <row r="3157" spans="6:7" x14ac:dyDescent="0.2">
      <c r="F3157" s="591">
        <v>3148</v>
      </c>
      <c r="G3157" s="420">
        <f t="shared" ca="1" si="57"/>
        <v>5.7280299597841894E-2</v>
      </c>
    </row>
    <row r="3158" spans="6:7" x14ac:dyDescent="0.2">
      <c r="F3158" s="591">
        <v>3149</v>
      </c>
      <c r="G3158" s="420">
        <f t="shared" ca="1" si="57"/>
        <v>-1.5786608781086706E-2</v>
      </c>
    </row>
    <row r="3159" spans="6:7" x14ac:dyDescent="0.2">
      <c r="F3159" s="591">
        <v>3150</v>
      </c>
      <c r="G3159" s="420">
        <f t="shared" ca="1" si="57"/>
        <v>4.3779954473715785E-2</v>
      </c>
    </row>
    <row r="3160" spans="6:7" x14ac:dyDescent="0.2">
      <c r="F3160" s="591">
        <v>3151</v>
      </c>
      <c r="G3160" s="420">
        <f t="shared" ca="1" si="57"/>
        <v>-3.1282481152358488E-3</v>
      </c>
    </row>
    <row r="3161" spans="6:7" x14ac:dyDescent="0.2">
      <c r="F3161" s="591">
        <v>3152</v>
      </c>
      <c r="G3161" s="420">
        <f t="shared" ca="1" si="57"/>
        <v>-5.6968789174234105E-2</v>
      </c>
    </row>
    <row r="3162" spans="6:7" x14ac:dyDescent="0.2">
      <c r="F3162" s="591">
        <v>3153</v>
      </c>
      <c r="G3162" s="420">
        <f t="shared" ca="1" si="57"/>
        <v>-9.1679528502661076E-3</v>
      </c>
    </row>
    <row r="3163" spans="6:7" x14ac:dyDescent="0.2">
      <c r="F3163" s="591">
        <v>3154</v>
      </c>
      <c r="G3163" s="420">
        <f t="shared" ca="1" si="57"/>
        <v>0.15830228243458552</v>
      </c>
    </row>
    <row r="3164" spans="6:7" x14ac:dyDescent="0.2">
      <c r="F3164" s="591">
        <v>3155</v>
      </c>
      <c r="G3164" s="420">
        <f t="shared" ca="1" si="57"/>
        <v>9.9554057747960389E-2</v>
      </c>
    </row>
    <row r="3165" spans="6:7" x14ac:dyDescent="0.2">
      <c r="F3165" s="591">
        <v>3156</v>
      </c>
      <c r="G3165" s="420">
        <f t="shared" ca="1" si="57"/>
        <v>-4.9725432014669155E-2</v>
      </c>
    </row>
    <row r="3166" spans="6:7" x14ac:dyDescent="0.2">
      <c r="F3166" s="591">
        <v>3157</v>
      </c>
      <c r="G3166" s="420">
        <f t="shared" ca="1" si="57"/>
        <v>0.14692528116661038</v>
      </c>
    </row>
    <row r="3167" spans="6:7" x14ac:dyDescent="0.2">
      <c r="F3167" s="591">
        <v>3158</v>
      </c>
      <c r="G3167" s="420">
        <f t="shared" ca="1" si="57"/>
        <v>7.5526050788514328E-3</v>
      </c>
    </row>
    <row r="3168" spans="6:7" x14ac:dyDescent="0.2">
      <c r="F3168" s="591">
        <v>3159</v>
      </c>
      <c r="G3168" s="420">
        <f t="shared" ca="1" si="57"/>
        <v>-6.0655923187381972E-2</v>
      </c>
    </row>
    <row r="3169" spans="6:7" x14ac:dyDescent="0.2">
      <c r="F3169" s="591">
        <v>3160</v>
      </c>
      <c r="G3169" s="420">
        <f t="shared" ca="1" si="57"/>
        <v>0.10444275858720467</v>
      </c>
    </row>
    <row r="3170" spans="6:7" x14ac:dyDescent="0.2">
      <c r="F3170" s="591">
        <v>3161</v>
      </c>
      <c r="G3170" s="420">
        <f t="shared" ca="1" si="57"/>
        <v>-5.9550844890051309E-3</v>
      </c>
    </row>
    <row r="3171" spans="6:7" x14ac:dyDescent="0.2">
      <c r="F3171" s="591">
        <v>3162</v>
      </c>
      <c r="G3171" s="420">
        <f t="shared" ca="1" si="57"/>
        <v>-7.3134604635961734E-2</v>
      </c>
    </row>
    <row r="3172" spans="6:7" x14ac:dyDescent="0.2">
      <c r="F3172" s="591">
        <v>3163</v>
      </c>
      <c r="G3172" s="420">
        <f t="shared" ca="1" si="57"/>
        <v>-8.7382671934628578E-2</v>
      </c>
    </row>
    <row r="3173" spans="6:7" x14ac:dyDescent="0.2">
      <c r="F3173" s="591">
        <v>3164</v>
      </c>
      <c r="G3173" s="420">
        <f t="shared" ca="1" si="57"/>
        <v>3.6644660575227334E-2</v>
      </c>
    </row>
    <row r="3174" spans="6:7" x14ac:dyDescent="0.2">
      <c r="F3174" s="591">
        <v>3165</v>
      </c>
      <c r="G3174" s="420">
        <f t="shared" ca="1" si="57"/>
        <v>-4.2262179060831517E-2</v>
      </c>
    </row>
    <row r="3175" spans="6:7" x14ac:dyDescent="0.2">
      <c r="F3175" s="591">
        <v>3166</v>
      </c>
      <c r="G3175" s="420">
        <f t="shared" ca="1" si="57"/>
        <v>2.2962243432420457E-2</v>
      </c>
    </row>
    <row r="3176" spans="6:7" x14ac:dyDescent="0.2">
      <c r="F3176" s="591">
        <v>3167</v>
      </c>
      <c r="G3176" s="420">
        <f t="shared" ca="1" si="57"/>
        <v>9.4414241045767108E-2</v>
      </c>
    </row>
    <row r="3177" spans="6:7" x14ac:dyDescent="0.2">
      <c r="F3177" s="591">
        <v>3168</v>
      </c>
      <c r="G3177" s="420">
        <f t="shared" ca="1" si="57"/>
        <v>-3.6070094415240672E-2</v>
      </c>
    </row>
    <row r="3178" spans="6:7" x14ac:dyDescent="0.2">
      <c r="F3178" s="591">
        <v>3169</v>
      </c>
      <c r="G3178" s="420">
        <f t="shared" ca="1" si="57"/>
        <v>1.0432303493944858E-2</v>
      </c>
    </row>
    <row r="3179" spans="6:7" x14ac:dyDescent="0.2">
      <c r="F3179" s="591">
        <v>3170</v>
      </c>
      <c r="G3179" s="420">
        <f t="shared" ca="1" si="57"/>
        <v>-4.4796053581172557E-2</v>
      </c>
    </row>
    <row r="3180" spans="6:7" x14ac:dyDescent="0.2">
      <c r="F3180" s="591">
        <v>3171</v>
      </c>
      <c r="G3180" s="420">
        <f t="shared" ca="1" si="57"/>
        <v>4.3486382966045484E-2</v>
      </c>
    </row>
    <row r="3181" spans="6:7" x14ac:dyDescent="0.2">
      <c r="F3181" s="591">
        <v>3172</v>
      </c>
      <c r="G3181" s="420">
        <f t="shared" ca="1" si="57"/>
        <v>1.6799986629530035E-3</v>
      </c>
    </row>
    <row r="3182" spans="6:7" x14ac:dyDescent="0.2">
      <c r="F3182" s="591">
        <v>3173</v>
      </c>
      <c r="G3182" s="420">
        <f t="shared" ca="1" si="57"/>
        <v>1.7964814938721922E-3</v>
      </c>
    </row>
    <row r="3183" spans="6:7" x14ac:dyDescent="0.2">
      <c r="F3183" s="591">
        <v>3174</v>
      </c>
      <c r="G3183" s="420">
        <f t="shared" ca="1" si="57"/>
        <v>0.1059212958376842</v>
      </c>
    </row>
    <row r="3184" spans="6:7" x14ac:dyDescent="0.2">
      <c r="F3184" s="591">
        <v>3175</v>
      </c>
      <c r="G3184" s="420">
        <f t="shared" ca="1" si="57"/>
        <v>8.720604162302463E-2</v>
      </c>
    </row>
    <row r="3185" spans="6:7" x14ac:dyDescent="0.2">
      <c r="F3185" s="591">
        <v>3176</v>
      </c>
      <c r="G3185" s="420">
        <f t="shared" ca="1" si="57"/>
        <v>-6.4690902259984098E-2</v>
      </c>
    </row>
    <row r="3186" spans="6:7" x14ac:dyDescent="0.2">
      <c r="F3186" s="591">
        <v>3177</v>
      </c>
      <c r="G3186" s="420">
        <f t="shared" ca="1" si="57"/>
        <v>8.2779357787637706E-3</v>
      </c>
    </row>
    <row r="3187" spans="6:7" x14ac:dyDescent="0.2">
      <c r="F3187" s="591">
        <v>3178</v>
      </c>
      <c r="G3187" s="420">
        <f t="shared" ca="1" si="57"/>
        <v>-2.2058578612690342E-2</v>
      </c>
    </row>
    <row r="3188" spans="6:7" x14ac:dyDescent="0.2">
      <c r="F3188" s="591">
        <v>3179</v>
      </c>
      <c r="G3188" s="420">
        <f t="shared" ca="1" si="57"/>
        <v>0.14453879122168065</v>
      </c>
    </row>
    <row r="3189" spans="6:7" x14ac:dyDescent="0.2">
      <c r="F3189" s="591">
        <v>3180</v>
      </c>
      <c r="G3189" s="420">
        <f t="shared" ca="1" si="57"/>
        <v>-5.4172430517486464E-2</v>
      </c>
    </row>
    <row r="3190" spans="6:7" x14ac:dyDescent="0.2">
      <c r="F3190" s="591">
        <v>3181</v>
      </c>
      <c r="G3190" s="420">
        <f t="shared" ca="1" si="57"/>
        <v>-1.7042883861745607E-2</v>
      </c>
    </row>
    <row r="3191" spans="6:7" x14ac:dyDescent="0.2">
      <c r="F3191" s="591">
        <v>3182</v>
      </c>
      <c r="G3191" s="420">
        <f t="shared" ca="1" si="57"/>
        <v>-2.5610959449771684E-2</v>
      </c>
    </row>
    <row r="3192" spans="6:7" x14ac:dyDescent="0.2">
      <c r="F3192" s="591">
        <v>3183</v>
      </c>
      <c r="G3192" s="420">
        <f t="shared" ca="1" si="57"/>
        <v>-1.162286454641023E-3</v>
      </c>
    </row>
    <row r="3193" spans="6:7" x14ac:dyDescent="0.2">
      <c r="F3193" s="591">
        <v>3184</v>
      </c>
      <c r="G3193" s="420">
        <f t="shared" ca="1" si="57"/>
        <v>3.1520723740355812E-2</v>
      </c>
    </row>
    <row r="3194" spans="6:7" x14ac:dyDescent="0.2">
      <c r="F3194" s="591">
        <v>3185</v>
      </c>
      <c r="G3194" s="420">
        <f t="shared" ca="1" si="57"/>
        <v>6.8206439430291338E-2</v>
      </c>
    </row>
    <row r="3195" spans="6:7" x14ac:dyDescent="0.2">
      <c r="F3195" s="591">
        <v>3186</v>
      </c>
      <c r="G3195" s="420">
        <f t="shared" ca="1" si="57"/>
        <v>2.8221807261565382E-3</v>
      </c>
    </row>
    <row r="3196" spans="6:7" x14ac:dyDescent="0.2">
      <c r="F3196" s="591">
        <v>3187</v>
      </c>
      <c r="G3196" s="420">
        <f t="shared" ca="1" si="57"/>
        <v>5.5566230542046124E-2</v>
      </c>
    </row>
    <row r="3197" spans="6:7" x14ac:dyDescent="0.2">
      <c r="F3197" s="591">
        <v>3188</v>
      </c>
      <c r="G3197" s="420">
        <f t="shared" ca="1" si="57"/>
        <v>9.6458761798573767E-2</v>
      </c>
    </row>
    <row r="3198" spans="6:7" x14ac:dyDescent="0.2">
      <c r="F3198" s="591">
        <v>3189</v>
      </c>
      <c r="G3198" s="420">
        <f t="shared" ca="1" si="57"/>
        <v>0.13085300325362378</v>
      </c>
    </row>
    <row r="3199" spans="6:7" x14ac:dyDescent="0.2">
      <c r="F3199" s="591">
        <v>3190</v>
      </c>
      <c r="G3199" s="420">
        <f t="shared" ca="1" si="57"/>
        <v>8.3165457981416915E-3</v>
      </c>
    </row>
    <row r="3200" spans="6:7" x14ac:dyDescent="0.2">
      <c r="F3200" s="591">
        <v>3191</v>
      </c>
      <c r="G3200" s="420">
        <f t="shared" ca="1" si="57"/>
        <v>-0.1598048004722635</v>
      </c>
    </row>
    <row r="3201" spans="6:7" x14ac:dyDescent="0.2">
      <c r="F3201" s="591">
        <v>3192</v>
      </c>
      <c r="G3201" s="420">
        <f t="shared" ca="1" si="57"/>
        <v>-0.14876828137748607</v>
      </c>
    </row>
    <row r="3202" spans="6:7" x14ac:dyDescent="0.2">
      <c r="F3202" s="591">
        <v>3193</v>
      </c>
      <c r="G3202" s="420">
        <f t="shared" ca="1" si="57"/>
        <v>-7.5006062700234237E-3</v>
      </c>
    </row>
    <row r="3203" spans="6:7" x14ac:dyDescent="0.2">
      <c r="F3203" s="591">
        <v>3194</v>
      </c>
      <c r="G3203" s="420">
        <f t="shared" ca="1" si="57"/>
        <v>-3.7627764569858432E-2</v>
      </c>
    </row>
    <row r="3204" spans="6:7" x14ac:dyDescent="0.2">
      <c r="F3204" s="591">
        <v>3195</v>
      </c>
      <c r="G3204" s="420">
        <f t="shared" ca="1" si="57"/>
        <v>-5.61332477075073E-3</v>
      </c>
    </row>
    <row r="3205" spans="6:7" x14ac:dyDescent="0.2">
      <c r="F3205" s="591">
        <v>3196</v>
      </c>
      <c r="G3205" s="420">
        <f t="shared" ca="1" si="57"/>
        <v>-0.1209671609891665</v>
      </c>
    </row>
    <row r="3206" spans="6:7" x14ac:dyDescent="0.2">
      <c r="F3206" s="591">
        <v>3197</v>
      </c>
      <c r="G3206" s="420">
        <f t="shared" ca="1" si="57"/>
        <v>-0.12332493140300825</v>
      </c>
    </row>
    <row r="3207" spans="6:7" x14ac:dyDescent="0.2">
      <c r="F3207" s="591">
        <v>3198</v>
      </c>
      <c r="G3207" s="420">
        <f t="shared" ca="1" si="57"/>
        <v>-3.5704234078759112E-2</v>
      </c>
    </row>
    <row r="3208" spans="6:7" x14ac:dyDescent="0.2">
      <c r="F3208" s="591">
        <v>3199</v>
      </c>
      <c r="G3208" s="420">
        <f t="shared" ca="1" si="57"/>
        <v>1.9321911671208239E-4</v>
      </c>
    </row>
    <row r="3209" spans="6:7" x14ac:dyDescent="0.2">
      <c r="F3209" s="591">
        <v>3200</v>
      </c>
      <c r="G3209" s="420">
        <f t="shared" ca="1" si="57"/>
        <v>-0.17339675978926314</v>
      </c>
    </row>
    <row r="3210" spans="6:7" x14ac:dyDescent="0.2">
      <c r="F3210" s="591">
        <v>3201</v>
      </c>
      <c r="G3210" s="420">
        <f t="shared" ca="1" si="57"/>
        <v>3.8013928723501914E-2</v>
      </c>
    </row>
    <row r="3211" spans="6:7" x14ac:dyDescent="0.2">
      <c r="F3211" s="591">
        <v>3202</v>
      </c>
      <c r="G3211" s="420">
        <f t="shared" ref="G3211:G3274" ca="1" si="58">_xlfn.NORM.INV(RAND(), $M$11,$M$12)</f>
        <v>4.8242925284709942E-2</v>
      </c>
    </row>
    <row r="3212" spans="6:7" x14ac:dyDescent="0.2">
      <c r="F3212" s="591">
        <v>3203</v>
      </c>
      <c r="G3212" s="420">
        <f t="shared" ca="1" si="58"/>
        <v>-4.713880524834077E-2</v>
      </c>
    </row>
    <row r="3213" spans="6:7" x14ac:dyDescent="0.2">
      <c r="F3213" s="591">
        <v>3204</v>
      </c>
      <c r="G3213" s="420">
        <f t="shared" ca="1" si="58"/>
        <v>9.595942121896836E-3</v>
      </c>
    </row>
    <row r="3214" spans="6:7" x14ac:dyDescent="0.2">
      <c r="F3214" s="591">
        <v>3205</v>
      </c>
      <c r="G3214" s="420">
        <f t="shared" ca="1" si="58"/>
        <v>-3.1672256555597092E-2</v>
      </c>
    </row>
    <row r="3215" spans="6:7" x14ac:dyDescent="0.2">
      <c r="F3215" s="591">
        <v>3206</v>
      </c>
      <c r="G3215" s="420">
        <f t="shared" ca="1" si="58"/>
        <v>0.11322235414315038</v>
      </c>
    </row>
    <row r="3216" spans="6:7" x14ac:dyDescent="0.2">
      <c r="F3216" s="591">
        <v>3207</v>
      </c>
      <c r="G3216" s="420">
        <f t="shared" ca="1" si="58"/>
        <v>-1.8233555635503332E-2</v>
      </c>
    </row>
    <row r="3217" spans="6:7" x14ac:dyDescent="0.2">
      <c r="F3217" s="591">
        <v>3208</v>
      </c>
      <c r="G3217" s="420">
        <f t="shared" ca="1" si="58"/>
        <v>3.2935251920667034E-2</v>
      </c>
    </row>
    <row r="3218" spans="6:7" x14ac:dyDescent="0.2">
      <c r="F3218" s="591">
        <v>3209</v>
      </c>
      <c r="G3218" s="420">
        <f t="shared" ca="1" si="58"/>
        <v>-2.3823790443170217E-2</v>
      </c>
    </row>
    <row r="3219" spans="6:7" x14ac:dyDescent="0.2">
      <c r="F3219" s="591">
        <v>3210</v>
      </c>
      <c r="G3219" s="420">
        <f t="shared" ca="1" si="58"/>
        <v>5.3136068609604417E-2</v>
      </c>
    </row>
    <row r="3220" spans="6:7" x14ac:dyDescent="0.2">
      <c r="F3220" s="591">
        <v>3211</v>
      </c>
      <c r="G3220" s="420">
        <f t="shared" ca="1" si="58"/>
        <v>0.11726239644842872</v>
      </c>
    </row>
    <row r="3221" spans="6:7" x14ac:dyDescent="0.2">
      <c r="F3221" s="591">
        <v>3212</v>
      </c>
      <c r="G3221" s="420">
        <f t="shared" ca="1" si="58"/>
        <v>-4.7410740529301207E-2</v>
      </c>
    </row>
    <row r="3222" spans="6:7" x14ac:dyDescent="0.2">
      <c r="F3222" s="591">
        <v>3213</v>
      </c>
      <c r="G3222" s="420">
        <f t="shared" ca="1" si="58"/>
        <v>-6.157403065040612E-2</v>
      </c>
    </row>
    <row r="3223" spans="6:7" x14ac:dyDescent="0.2">
      <c r="F3223" s="591">
        <v>3214</v>
      </c>
      <c r="G3223" s="420">
        <f t="shared" ca="1" si="58"/>
        <v>-5.4592041372599057E-2</v>
      </c>
    </row>
    <row r="3224" spans="6:7" x14ac:dyDescent="0.2">
      <c r="F3224" s="591">
        <v>3215</v>
      </c>
      <c r="G3224" s="420">
        <f t="shared" ca="1" si="58"/>
        <v>1.1397480140939185E-2</v>
      </c>
    </row>
    <row r="3225" spans="6:7" x14ac:dyDescent="0.2">
      <c r="F3225" s="591">
        <v>3216</v>
      </c>
      <c r="G3225" s="420">
        <f t="shared" ca="1" si="58"/>
        <v>-8.4978167274627862E-3</v>
      </c>
    </row>
    <row r="3226" spans="6:7" x14ac:dyDescent="0.2">
      <c r="F3226" s="591">
        <v>3217</v>
      </c>
      <c r="G3226" s="420">
        <f t="shared" ca="1" si="58"/>
        <v>9.4258480634987638E-2</v>
      </c>
    </row>
    <row r="3227" spans="6:7" x14ac:dyDescent="0.2">
      <c r="F3227" s="591">
        <v>3218</v>
      </c>
      <c r="G3227" s="420">
        <f t="shared" ca="1" si="58"/>
        <v>-1.9325719963974169E-3</v>
      </c>
    </row>
    <row r="3228" spans="6:7" x14ac:dyDescent="0.2">
      <c r="F3228" s="591">
        <v>3219</v>
      </c>
      <c r="G3228" s="420">
        <f t="shared" ca="1" si="58"/>
        <v>-9.388851744326767E-3</v>
      </c>
    </row>
    <row r="3229" spans="6:7" x14ac:dyDescent="0.2">
      <c r="F3229" s="591">
        <v>3220</v>
      </c>
      <c r="G3229" s="420">
        <f t="shared" ca="1" si="58"/>
        <v>-2.4725775281663798E-2</v>
      </c>
    </row>
    <row r="3230" spans="6:7" x14ac:dyDescent="0.2">
      <c r="F3230" s="591">
        <v>3221</v>
      </c>
      <c r="G3230" s="420">
        <f t="shared" ca="1" si="58"/>
        <v>8.8797632045217914E-2</v>
      </c>
    </row>
    <row r="3231" spans="6:7" x14ac:dyDescent="0.2">
      <c r="F3231" s="591">
        <v>3222</v>
      </c>
      <c r="G3231" s="420">
        <f t="shared" ca="1" si="58"/>
        <v>-2.1495092487249231E-2</v>
      </c>
    </row>
    <row r="3232" spans="6:7" x14ac:dyDescent="0.2">
      <c r="F3232" s="591">
        <v>3223</v>
      </c>
      <c r="G3232" s="420">
        <f t="shared" ca="1" si="58"/>
        <v>1.0254821931231574E-2</v>
      </c>
    </row>
    <row r="3233" spans="6:7" x14ac:dyDescent="0.2">
      <c r="F3233" s="591">
        <v>3224</v>
      </c>
      <c r="G3233" s="420">
        <f t="shared" ca="1" si="58"/>
        <v>-9.1761616419318251E-2</v>
      </c>
    </row>
    <row r="3234" spans="6:7" x14ac:dyDescent="0.2">
      <c r="F3234" s="591">
        <v>3225</v>
      </c>
      <c r="G3234" s="420">
        <f t="shared" ca="1" si="58"/>
        <v>-0.10281132006558692</v>
      </c>
    </row>
    <row r="3235" spans="6:7" x14ac:dyDescent="0.2">
      <c r="F3235" s="591">
        <v>3226</v>
      </c>
      <c r="G3235" s="420">
        <f t="shared" ca="1" si="58"/>
        <v>0.15162247060055242</v>
      </c>
    </row>
    <row r="3236" spans="6:7" x14ac:dyDescent="0.2">
      <c r="F3236" s="591">
        <v>3227</v>
      </c>
      <c r="G3236" s="420">
        <f t="shared" ca="1" si="58"/>
        <v>4.7345024530045937E-2</v>
      </c>
    </row>
    <row r="3237" spans="6:7" x14ac:dyDescent="0.2">
      <c r="F3237" s="591">
        <v>3228</v>
      </c>
      <c r="G3237" s="420">
        <f t="shared" ca="1" si="58"/>
        <v>4.8971499304496346E-2</v>
      </c>
    </row>
    <row r="3238" spans="6:7" x14ac:dyDescent="0.2">
      <c r="F3238" s="591">
        <v>3229</v>
      </c>
      <c r="G3238" s="420">
        <f t="shared" ca="1" si="58"/>
        <v>5.5926732553834832E-2</v>
      </c>
    </row>
    <row r="3239" spans="6:7" x14ac:dyDescent="0.2">
      <c r="F3239" s="591">
        <v>3230</v>
      </c>
      <c r="G3239" s="420">
        <f t="shared" ca="1" si="58"/>
        <v>1.154430357105104E-2</v>
      </c>
    </row>
    <row r="3240" spans="6:7" x14ac:dyDescent="0.2">
      <c r="F3240" s="591">
        <v>3231</v>
      </c>
      <c r="G3240" s="420">
        <f t="shared" ca="1" si="58"/>
        <v>0.11713648729989456</v>
      </c>
    </row>
    <row r="3241" spans="6:7" x14ac:dyDescent="0.2">
      <c r="F3241" s="591">
        <v>3232</v>
      </c>
      <c r="G3241" s="420">
        <f t="shared" ca="1" si="58"/>
        <v>1.0990623063615456E-2</v>
      </c>
    </row>
    <row r="3242" spans="6:7" x14ac:dyDescent="0.2">
      <c r="F3242" s="591">
        <v>3233</v>
      </c>
      <c r="G3242" s="420">
        <f t="shared" ca="1" si="58"/>
        <v>1.0426654525130946E-2</v>
      </c>
    </row>
    <row r="3243" spans="6:7" x14ac:dyDescent="0.2">
      <c r="F3243" s="591">
        <v>3234</v>
      </c>
      <c r="G3243" s="420">
        <f t="shared" ca="1" si="58"/>
        <v>0.1425675006785716</v>
      </c>
    </row>
    <row r="3244" spans="6:7" x14ac:dyDescent="0.2">
      <c r="F3244" s="591">
        <v>3235</v>
      </c>
      <c r="G3244" s="420">
        <f t="shared" ca="1" si="58"/>
        <v>0.13799823311619161</v>
      </c>
    </row>
    <row r="3245" spans="6:7" x14ac:dyDescent="0.2">
      <c r="F3245" s="591">
        <v>3236</v>
      </c>
      <c r="G3245" s="420">
        <f t="shared" ca="1" si="58"/>
        <v>-1.0283344910655551E-3</v>
      </c>
    </row>
    <row r="3246" spans="6:7" x14ac:dyDescent="0.2">
      <c r="F3246" s="591">
        <v>3237</v>
      </c>
      <c r="G3246" s="420">
        <f t="shared" ca="1" si="58"/>
        <v>-1.0666839300828457E-2</v>
      </c>
    </row>
    <row r="3247" spans="6:7" x14ac:dyDescent="0.2">
      <c r="F3247" s="591">
        <v>3238</v>
      </c>
      <c r="G3247" s="420">
        <f t="shared" ca="1" si="58"/>
        <v>-8.2749395459840988E-2</v>
      </c>
    </row>
    <row r="3248" spans="6:7" x14ac:dyDescent="0.2">
      <c r="F3248" s="591">
        <v>3239</v>
      </c>
      <c r="G3248" s="420">
        <f t="shared" ca="1" si="58"/>
        <v>-3.2019829893847884E-3</v>
      </c>
    </row>
    <row r="3249" spans="6:7" x14ac:dyDescent="0.2">
      <c r="F3249" s="591">
        <v>3240</v>
      </c>
      <c r="G3249" s="420">
        <f t="shared" ca="1" si="58"/>
        <v>2.8679206564131067E-2</v>
      </c>
    </row>
    <row r="3250" spans="6:7" x14ac:dyDescent="0.2">
      <c r="F3250" s="591">
        <v>3241</v>
      </c>
      <c r="G3250" s="420">
        <f t="shared" ca="1" si="58"/>
        <v>-2.3546070104000307E-2</v>
      </c>
    </row>
    <row r="3251" spans="6:7" x14ac:dyDescent="0.2">
      <c r="F3251" s="591">
        <v>3242</v>
      </c>
      <c r="G3251" s="420">
        <f t="shared" ca="1" si="58"/>
        <v>9.4460285561688451E-2</v>
      </c>
    </row>
    <row r="3252" spans="6:7" x14ac:dyDescent="0.2">
      <c r="F3252" s="591">
        <v>3243</v>
      </c>
      <c r="G3252" s="420">
        <f t="shared" ca="1" si="58"/>
        <v>0.12893007129843437</v>
      </c>
    </row>
    <row r="3253" spans="6:7" x14ac:dyDescent="0.2">
      <c r="F3253" s="591">
        <v>3244</v>
      </c>
      <c r="G3253" s="420">
        <f t="shared" ca="1" si="58"/>
        <v>4.9689279597619179E-2</v>
      </c>
    </row>
    <row r="3254" spans="6:7" x14ac:dyDescent="0.2">
      <c r="F3254" s="591">
        <v>3245</v>
      </c>
      <c r="G3254" s="420">
        <f t="shared" ca="1" si="58"/>
        <v>1.8956246339092615E-2</v>
      </c>
    </row>
    <row r="3255" spans="6:7" x14ac:dyDescent="0.2">
      <c r="F3255" s="591">
        <v>3246</v>
      </c>
      <c r="G3255" s="420">
        <f t="shared" ca="1" si="58"/>
        <v>-2.7399711337373883E-2</v>
      </c>
    </row>
    <row r="3256" spans="6:7" x14ac:dyDescent="0.2">
      <c r="F3256" s="591">
        <v>3247</v>
      </c>
      <c r="G3256" s="420">
        <f t="shared" ca="1" si="58"/>
        <v>-1.190617698262306E-2</v>
      </c>
    </row>
    <row r="3257" spans="6:7" x14ac:dyDescent="0.2">
      <c r="F3257" s="591">
        <v>3248</v>
      </c>
      <c r="G3257" s="420">
        <f t="shared" ca="1" si="58"/>
        <v>-0.11933674586399783</v>
      </c>
    </row>
    <row r="3258" spans="6:7" x14ac:dyDescent="0.2">
      <c r="F3258" s="591">
        <v>3249</v>
      </c>
      <c r="G3258" s="420">
        <f t="shared" ca="1" si="58"/>
        <v>-0.16654787610703733</v>
      </c>
    </row>
    <row r="3259" spans="6:7" x14ac:dyDescent="0.2">
      <c r="F3259" s="591">
        <v>3250</v>
      </c>
      <c r="G3259" s="420">
        <f t="shared" ca="1" si="58"/>
        <v>4.854127107235115E-2</v>
      </c>
    </row>
    <row r="3260" spans="6:7" x14ac:dyDescent="0.2">
      <c r="F3260" s="591">
        <v>3251</v>
      </c>
      <c r="G3260" s="420">
        <f t="shared" ca="1" si="58"/>
        <v>-2.7965338133589309E-3</v>
      </c>
    </row>
    <row r="3261" spans="6:7" x14ac:dyDescent="0.2">
      <c r="F3261" s="591">
        <v>3252</v>
      </c>
      <c r="G3261" s="420">
        <f t="shared" ca="1" si="58"/>
        <v>5.9501994739635609E-3</v>
      </c>
    </row>
    <row r="3262" spans="6:7" x14ac:dyDescent="0.2">
      <c r="F3262" s="591">
        <v>3253</v>
      </c>
      <c r="G3262" s="420">
        <f t="shared" ca="1" si="58"/>
        <v>7.4217516856501034E-2</v>
      </c>
    </row>
    <row r="3263" spans="6:7" x14ac:dyDescent="0.2">
      <c r="F3263" s="591">
        <v>3254</v>
      </c>
      <c r="G3263" s="420">
        <f t="shared" ca="1" si="58"/>
        <v>0.14328693428822586</v>
      </c>
    </row>
    <row r="3264" spans="6:7" x14ac:dyDescent="0.2">
      <c r="F3264" s="591">
        <v>3255</v>
      </c>
      <c r="G3264" s="420">
        <f t="shared" ca="1" si="58"/>
        <v>-1.8390715801952215E-2</v>
      </c>
    </row>
    <row r="3265" spans="6:7" x14ac:dyDescent="0.2">
      <c r="F3265" s="591">
        <v>3256</v>
      </c>
      <c r="G3265" s="420">
        <f t="shared" ca="1" si="58"/>
        <v>-0.12454786106876888</v>
      </c>
    </row>
    <row r="3266" spans="6:7" x14ac:dyDescent="0.2">
      <c r="F3266" s="591">
        <v>3257</v>
      </c>
      <c r="G3266" s="420">
        <f t="shared" ca="1" si="58"/>
        <v>4.673344960386358E-2</v>
      </c>
    </row>
    <row r="3267" spans="6:7" x14ac:dyDescent="0.2">
      <c r="F3267" s="591">
        <v>3258</v>
      </c>
      <c r="G3267" s="420">
        <f t="shared" ca="1" si="58"/>
        <v>9.2731936628989986E-2</v>
      </c>
    </row>
    <row r="3268" spans="6:7" x14ac:dyDescent="0.2">
      <c r="F3268" s="591">
        <v>3259</v>
      </c>
      <c r="G3268" s="420">
        <f t="shared" ca="1" si="58"/>
        <v>1.8821635444356839E-2</v>
      </c>
    </row>
    <row r="3269" spans="6:7" x14ac:dyDescent="0.2">
      <c r="F3269" s="591">
        <v>3260</v>
      </c>
      <c r="G3269" s="420">
        <f t="shared" ca="1" si="58"/>
        <v>-1.2664981419074607E-2</v>
      </c>
    </row>
    <row r="3270" spans="6:7" x14ac:dyDescent="0.2">
      <c r="F3270" s="591">
        <v>3261</v>
      </c>
      <c r="G3270" s="420">
        <f t="shared" ca="1" si="58"/>
        <v>1.9832417676532706E-2</v>
      </c>
    </row>
    <row r="3271" spans="6:7" x14ac:dyDescent="0.2">
      <c r="F3271" s="591">
        <v>3262</v>
      </c>
      <c r="G3271" s="420">
        <f t="shared" ca="1" si="58"/>
        <v>-7.5785831789928537E-2</v>
      </c>
    </row>
    <row r="3272" spans="6:7" x14ac:dyDescent="0.2">
      <c r="F3272" s="591">
        <v>3263</v>
      </c>
      <c r="G3272" s="420">
        <f t="shared" ca="1" si="58"/>
        <v>3.2716062862578832E-2</v>
      </c>
    </row>
    <row r="3273" spans="6:7" x14ac:dyDescent="0.2">
      <c r="F3273" s="591">
        <v>3264</v>
      </c>
      <c r="G3273" s="420">
        <f t="shared" ca="1" si="58"/>
        <v>-7.7561488672142576E-2</v>
      </c>
    </row>
    <row r="3274" spans="6:7" x14ac:dyDescent="0.2">
      <c r="F3274" s="591">
        <v>3265</v>
      </c>
      <c r="G3274" s="420">
        <f t="shared" ca="1" si="58"/>
        <v>-2.7748462197186411E-2</v>
      </c>
    </row>
    <row r="3275" spans="6:7" x14ac:dyDescent="0.2">
      <c r="F3275" s="591">
        <v>3266</v>
      </c>
      <c r="G3275" s="420">
        <f t="shared" ref="G3275:G3338" ca="1" si="59">_xlfn.NORM.INV(RAND(), $M$11,$M$12)</f>
        <v>5.7826062451951057E-2</v>
      </c>
    </row>
    <row r="3276" spans="6:7" x14ac:dyDescent="0.2">
      <c r="F3276" s="591">
        <v>3267</v>
      </c>
      <c r="G3276" s="420">
        <f t="shared" ca="1" si="59"/>
        <v>-2.9902108554249875E-2</v>
      </c>
    </row>
    <row r="3277" spans="6:7" x14ac:dyDescent="0.2">
      <c r="F3277" s="591">
        <v>3268</v>
      </c>
      <c r="G3277" s="420">
        <f t="shared" ca="1" si="59"/>
        <v>-9.5161264583019933E-4</v>
      </c>
    </row>
    <row r="3278" spans="6:7" x14ac:dyDescent="0.2">
      <c r="F3278" s="591">
        <v>3269</v>
      </c>
      <c r="G3278" s="420">
        <f t="shared" ca="1" si="59"/>
        <v>-7.0068767474323362E-2</v>
      </c>
    </row>
    <row r="3279" spans="6:7" x14ac:dyDescent="0.2">
      <c r="F3279" s="591">
        <v>3270</v>
      </c>
      <c r="G3279" s="420">
        <f t="shared" ca="1" si="59"/>
        <v>2.3239204641819299E-2</v>
      </c>
    </row>
    <row r="3280" spans="6:7" x14ac:dyDescent="0.2">
      <c r="F3280" s="591">
        <v>3271</v>
      </c>
      <c r="G3280" s="420">
        <f t="shared" ca="1" si="59"/>
        <v>-6.7940780396890943E-2</v>
      </c>
    </row>
    <row r="3281" spans="6:7" x14ac:dyDescent="0.2">
      <c r="F3281" s="591">
        <v>3272</v>
      </c>
      <c r="G3281" s="420">
        <f t="shared" ca="1" si="59"/>
        <v>-3.9769877957356661E-3</v>
      </c>
    </row>
    <row r="3282" spans="6:7" x14ac:dyDescent="0.2">
      <c r="F3282" s="591">
        <v>3273</v>
      </c>
      <c r="G3282" s="420">
        <f t="shared" ca="1" si="59"/>
        <v>-1.7916248029714657E-3</v>
      </c>
    </row>
    <row r="3283" spans="6:7" x14ac:dyDescent="0.2">
      <c r="F3283" s="591">
        <v>3274</v>
      </c>
      <c r="G3283" s="420">
        <f t="shared" ca="1" si="59"/>
        <v>0.14809404061539691</v>
      </c>
    </row>
    <row r="3284" spans="6:7" x14ac:dyDescent="0.2">
      <c r="F3284" s="591">
        <v>3275</v>
      </c>
      <c r="G3284" s="420">
        <f t="shared" ca="1" si="59"/>
        <v>-3.567730532321825E-2</v>
      </c>
    </row>
    <row r="3285" spans="6:7" x14ac:dyDescent="0.2">
      <c r="F3285" s="591">
        <v>3276</v>
      </c>
      <c r="G3285" s="420">
        <f t="shared" ca="1" si="59"/>
        <v>0.10857866648086847</v>
      </c>
    </row>
    <row r="3286" spans="6:7" x14ac:dyDescent="0.2">
      <c r="F3286" s="591">
        <v>3277</v>
      </c>
      <c r="G3286" s="420">
        <f t="shared" ca="1" si="59"/>
        <v>-5.3624798648517227E-2</v>
      </c>
    </row>
    <row r="3287" spans="6:7" x14ac:dyDescent="0.2">
      <c r="F3287" s="591">
        <v>3278</v>
      </c>
      <c r="G3287" s="420">
        <f t="shared" ca="1" si="59"/>
        <v>8.9978640970976523E-3</v>
      </c>
    </row>
    <row r="3288" spans="6:7" x14ac:dyDescent="0.2">
      <c r="F3288" s="591">
        <v>3279</v>
      </c>
      <c r="G3288" s="420">
        <f t="shared" ca="1" si="59"/>
        <v>9.24010327504763E-3</v>
      </c>
    </row>
    <row r="3289" spans="6:7" x14ac:dyDescent="0.2">
      <c r="F3289" s="591">
        <v>3280</v>
      </c>
      <c r="G3289" s="420">
        <f t="shared" ca="1" si="59"/>
        <v>0.11288751161553494</v>
      </c>
    </row>
    <row r="3290" spans="6:7" x14ac:dyDescent="0.2">
      <c r="F3290" s="591">
        <v>3281</v>
      </c>
      <c r="G3290" s="420">
        <f t="shared" ca="1" si="59"/>
        <v>-6.8668000360259634E-2</v>
      </c>
    </row>
    <row r="3291" spans="6:7" x14ac:dyDescent="0.2">
      <c r="F3291" s="591">
        <v>3282</v>
      </c>
      <c r="G3291" s="420">
        <f t="shared" ca="1" si="59"/>
        <v>5.497071552087022E-3</v>
      </c>
    </row>
    <row r="3292" spans="6:7" x14ac:dyDescent="0.2">
      <c r="F3292" s="591">
        <v>3283</v>
      </c>
      <c r="G3292" s="420">
        <f t="shared" ca="1" si="59"/>
        <v>5.2081281319552197E-2</v>
      </c>
    </row>
    <row r="3293" spans="6:7" x14ac:dyDescent="0.2">
      <c r="F3293" s="591">
        <v>3284</v>
      </c>
      <c r="G3293" s="420">
        <f t="shared" ca="1" si="59"/>
        <v>9.2307264116579246E-2</v>
      </c>
    </row>
    <row r="3294" spans="6:7" x14ac:dyDescent="0.2">
      <c r="F3294" s="591">
        <v>3285</v>
      </c>
      <c r="G3294" s="420">
        <f t="shared" ca="1" si="59"/>
        <v>-7.1397925926790881E-2</v>
      </c>
    </row>
    <row r="3295" spans="6:7" x14ac:dyDescent="0.2">
      <c r="F3295" s="591">
        <v>3286</v>
      </c>
      <c r="G3295" s="420">
        <f t="shared" ca="1" si="59"/>
        <v>0.12520181812008083</v>
      </c>
    </row>
    <row r="3296" spans="6:7" x14ac:dyDescent="0.2">
      <c r="F3296" s="591">
        <v>3287</v>
      </c>
      <c r="G3296" s="420">
        <f t="shared" ca="1" si="59"/>
        <v>-5.6793761181407852E-3</v>
      </c>
    </row>
    <row r="3297" spans="6:7" x14ac:dyDescent="0.2">
      <c r="F3297" s="591">
        <v>3288</v>
      </c>
      <c r="G3297" s="420">
        <f t="shared" ca="1" si="59"/>
        <v>7.7346735891945462E-2</v>
      </c>
    </row>
    <row r="3298" spans="6:7" x14ac:dyDescent="0.2">
      <c r="F3298" s="591">
        <v>3289</v>
      </c>
      <c r="G3298" s="420">
        <f t="shared" ca="1" si="59"/>
        <v>-5.2309157849912996E-2</v>
      </c>
    </row>
    <row r="3299" spans="6:7" x14ac:dyDescent="0.2">
      <c r="F3299" s="591">
        <v>3290</v>
      </c>
      <c r="G3299" s="420">
        <f t="shared" ca="1" si="59"/>
        <v>-4.1474947873349294E-2</v>
      </c>
    </row>
    <row r="3300" spans="6:7" x14ac:dyDescent="0.2">
      <c r="F3300" s="591">
        <v>3291</v>
      </c>
      <c r="G3300" s="420">
        <f t="shared" ca="1" si="59"/>
        <v>1.1938229173981381E-2</v>
      </c>
    </row>
    <row r="3301" spans="6:7" x14ac:dyDescent="0.2">
      <c r="F3301" s="591">
        <v>3292</v>
      </c>
      <c r="G3301" s="420">
        <f t="shared" ca="1" si="59"/>
        <v>-8.3624722767253502E-3</v>
      </c>
    </row>
    <row r="3302" spans="6:7" x14ac:dyDescent="0.2">
      <c r="F3302" s="591">
        <v>3293</v>
      </c>
      <c r="G3302" s="420">
        <f t="shared" ca="1" si="59"/>
        <v>-7.0608349507296511E-2</v>
      </c>
    </row>
    <row r="3303" spans="6:7" x14ac:dyDescent="0.2">
      <c r="F3303" s="591">
        <v>3294</v>
      </c>
      <c r="G3303" s="420">
        <f t="shared" ca="1" si="59"/>
        <v>0.15167739867669844</v>
      </c>
    </row>
    <row r="3304" spans="6:7" x14ac:dyDescent="0.2">
      <c r="F3304" s="591">
        <v>3295</v>
      </c>
      <c r="G3304" s="420">
        <f t="shared" ca="1" si="59"/>
        <v>-6.5250786257341764E-2</v>
      </c>
    </row>
    <row r="3305" spans="6:7" x14ac:dyDescent="0.2">
      <c r="F3305" s="591">
        <v>3296</v>
      </c>
      <c r="G3305" s="420">
        <f t="shared" ca="1" si="59"/>
        <v>5.8417179784940404E-2</v>
      </c>
    </row>
    <row r="3306" spans="6:7" x14ac:dyDescent="0.2">
      <c r="F3306" s="591">
        <v>3297</v>
      </c>
      <c r="G3306" s="420">
        <f t="shared" ca="1" si="59"/>
        <v>-9.0633169681076167E-3</v>
      </c>
    </row>
    <row r="3307" spans="6:7" x14ac:dyDescent="0.2">
      <c r="F3307" s="591">
        <v>3298</v>
      </c>
      <c r="G3307" s="420">
        <f t="shared" ca="1" si="59"/>
        <v>1.5025106984907971E-2</v>
      </c>
    </row>
    <row r="3308" spans="6:7" x14ac:dyDescent="0.2">
      <c r="F3308" s="591">
        <v>3299</v>
      </c>
      <c r="G3308" s="420">
        <f t="shared" ca="1" si="59"/>
        <v>8.6411557442501123E-3</v>
      </c>
    </row>
    <row r="3309" spans="6:7" x14ac:dyDescent="0.2">
      <c r="F3309" s="591">
        <v>3300</v>
      </c>
      <c r="G3309" s="420">
        <f t="shared" ca="1" si="59"/>
        <v>-3.3540035225352472E-3</v>
      </c>
    </row>
    <row r="3310" spans="6:7" x14ac:dyDescent="0.2">
      <c r="F3310" s="591">
        <v>3301</v>
      </c>
      <c r="G3310" s="420">
        <f t="shared" ca="1" si="59"/>
        <v>2.2953741931793399E-2</v>
      </c>
    </row>
    <row r="3311" spans="6:7" x14ac:dyDescent="0.2">
      <c r="F3311" s="591">
        <v>3302</v>
      </c>
      <c r="G3311" s="420">
        <f t="shared" ca="1" si="59"/>
        <v>5.3225889210470292E-2</v>
      </c>
    </row>
    <row r="3312" spans="6:7" x14ac:dyDescent="0.2">
      <c r="F3312" s="591">
        <v>3303</v>
      </c>
      <c r="G3312" s="420">
        <f t="shared" ca="1" si="59"/>
        <v>0.10666598592285628</v>
      </c>
    </row>
    <row r="3313" spans="6:7" x14ac:dyDescent="0.2">
      <c r="F3313" s="591">
        <v>3304</v>
      </c>
      <c r="G3313" s="420">
        <f t="shared" ca="1" si="59"/>
        <v>0.10744236513249981</v>
      </c>
    </row>
    <row r="3314" spans="6:7" x14ac:dyDescent="0.2">
      <c r="F3314" s="591">
        <v>3305</v>
      </c>
      <c r="G3314" s="420">
        <f t="shared" ca="1" si="59"/>
        <v>-9.0875473828287909E-2</v>
      </c>
    </row>
    <row r="3315" spans="6:7" x14ac:dyDescent="0.2">
      <c r="F3315" s="591">
        <v>3306</v>
      </c>
      <c r="G3315" s="420">
        <f t="shared" ca="1" si="59"/>
        <v>-3.7122824155561757E-2</v>
      </c>
    </row>
    <row r="3316" spans="6:7" x14ac:dyDescent="0.2">
      <c r="F3316" s="591">
        <v>3307</v>
      </c>
      <c r="G3316" s="420">
        <f t="shared" ca="1" si="59"/>
        <v>9.1806901402742572E-2</v>
      </c>
    </row>
    <row r="3317" spans="6:7" x14ac:dyDescent="0.2">
      <c r="F3317" s="591">
        <v>3308</v>
      </c>
      <c r="G3317" s="420">
        <f t="shared" ca="1" si="59"/>
        <v>-6.6446992724699741E-3</v>
      </c>
    </row>
    <row r="3318" spans="6:7" x14ac:dyDescent="0.2">
      <c r="F3318" s="591">
        <v>3309</v>
      </c>
      <c r="G3318" s="420">
        <f t="shared" ca="1" si="59"/>
        <v>7.0212770346451375E-2</v>
      </c>
    </row>
    <row r="3319" spans="6:7" x14ac:dyDescent="0.2">
      <c r="F3319" s="591">
        <v>3310</v>
      </c>
      <c r="G3319" s="420">
        <f t="shared" ca="1" si="59"/>
        <v>-6.895584833586231E-2</v>
      </c>
    </row>
    <row r="3320" spans="6:7" x14ac:dyDescent="0.2">
      <c r="F3320" s="591">
        <v>3311</v>
      </c>
      <c r="G3320" s="420">
        <f t="shared" ca="1" si="59"/>
        <v>0.10026925246640181</v>
      </c>
    </row>
    <row r="3321" spans="6:7" x14ac:dyDescent="0.2">
      <c r="F3321" s="591">
        <v>3312</v>
      </c>
      <c r="G3321" s="420">
        <f t="shared" ca="1" si="59"/>
        <v>1.2242615010693379E-3</v>
      </c>
    </row>
    <row r="3322" spans="6:7" x14ac:dyDescent="0.2">
      <c r="F3322" s="591">
        <v>3313</v>
      </c>
      <c r="G3322" s="420">
        <f t="shared" ca="1" si="59"/>
        <v>5.1996145516246844E-2</v>
      </c>
    </row>
    <row r="3323" spans="6:7" x14ac:dyDescent="0.2">
      <c r="F3323" s="591">
        <v>3314</v>
      </c>
      <c r="G3323" s="420">
        <f t="shared" ca="1" si="59"/>
        <v>6.8091989409806378E-3</v>
      </c>
    </row>
    <row r="3324" spans="6:7" x14ac:dyDescent="0.2">
      <c r="F3324" s="591">
        <v>3315</v>
      </c>
      <c r="G3324" s="420">
        <f t="shared" ca="1" si="59"/>
        <v>2.2768375537640391E-2</v>
      </c>
    </row>
    <row r="3325" spans="6:7" x14ac:dyDescent="0.2">
      <c r="F3325" s="591">
        <v>3316</v>
      </c>
      <c r="G3325" s="420">
        <f t="shared" ca="1" si="59"/>
        <v>-1.0403947685273043E-2</v>
      </c>
    </row>
    <row r="3326" spans="6:7" x14ac:dyDescent="0.2">
      <c r="F3326" s="591">
        <v>3317</v>
      </c>
      <c r="G3326" s="420">
        <f t="shared" ca="1" si="59"/>
        <v>-7.0068667643114216E-2</v>
      </c>
    </row>
    <row r="3327" spans="6:7" x14ac:dyDescent="0.2">
      <c r="F3327" s="591">
        <v>3318</v>
      </c>
      <c r="G3327" s="420">
        <f t="shared" ca="1" si="59"/>
        <v>0.16700857159755753</v>
      </c>
    </row>
    <row r="3328" spans="6:7" x14ac:dyDescent="0.2">
      <c r="F3328" s="591">
        <v>3319</v>
      </c>
      <c r="G3328" s="420">
        <f t="shared" ca="1" si="59"/>
        <v>-8.5663902346137591E-2</v>
      </c>
    </row>
    <row r="3329" spans="6:7" x14ac:dyDescent="0.2">
      <c r="F3329" s="591">
        <v>3320</v>
      </c>
      <c r="G3329" s="420">
        <f t="shared" ca="1" si="59"/>
        <v>3.6031443572872662E-2</v>
      </c>
    </row>
    <row r="3330" spans="6:7" x14ac:dyDescent="0.2">
      <c r="F3330" s="591">
        <v>3321</v>
      </c>
      <c r="G3330" s="420">
        <f t="shared" ca="1" si="59"/>
        <v>-2.4716681649314554E-2</v>
      </c>
    </row>
    <row r="3331" spans="6:7" x14ac:dyDescent="0.2">
      <c r="F3331" s="591">
        <v>3322</v>
      </c>
      <c r="G3331" s="420">
        <f t="shared" ca="1" si="59"/>
        <v>3.7098162813318722E-3</v>
      </c>
    </row>
    <row r="3332" spans="6:7" x14ac:dyDescent="0.2">
      <c r="F3332" s="591">
        <v>3323</v>
      </c>
      <c r="G3332" s="420">
        <f t="shared" ca="1" si="59"/>
        <v>2.6694197486565707E-2</v>
      </c>
    </row>
    <row r="3333" spans="6:7" x14ac:dyDescent="0.2">
      <c r="F3333" s="591">
        <v>3324</v>
      </c>
      <c r="G3333" s="420">
        <f t="shared" ca="1" si="59"/>
        <v>6.8144622615144951E-2</v>
      </c>
    </row>
    <row r="3334" spans="6:7" x14ac:dyDescent="0.2">
      <c r="F3334" s="591">
        <v>3325</v>
      </c>
      <c r="G3334" s="420">
        <f t="shared" ca="1" si="59"/>
        <v>1.4867893832996054E-2</v>
      </c>
    </row>
    <row r="3335" spans="6:7" x14ac:dyDescent="0.2">
      <c r="F3335" s="591">
        <v>3326</v>
      </c>
      <c r="G3335" s="420">
        <f t="shared" ca="1" si="59"/>
        <v>-3.2813857448935599E-2</v>
      </c>
    </row>
    <row r="3336" spans="6:7" x14ac:dyDescent="0.2">
      <c r="F3336" s="591">
        <v>3327</v>
      </c>
      <c r="G3336" s="420">
        <f t="shared" ca="1" si="59"/>
        <v>3.3564485204820818E-2</v>
      </c>
    </row>
    <row r="3337" spans="6:7" x14ac:dyDescent="0.2">
      <c r="F3337" s="591">
        <v>3328</v>
      </c>
      <c r="G3337" s="420">
        <f t="shared" ca="1" si="59"/>
        <v>-2.6771844131714063E-2</v>
      </c>
    </row>
    <row r="3338" spans="6:7" x14ac:dyDescent="0.2">
      <c r="F3338" s="591">
        <v>3329</v>
      </c>
      <c r="G3338" s="420">
        <f t="shared" ca="1" si="59"/>
        <v>1.4260145818561169E-2</v>
      </c>
    </row>
    <row r="3339" spans="6:7" x14ac:dyDescent="0.2">
      <c r="F3339" s="591">
        <v>3330</v>
      </c>
      <c r="G3339" s="420">
        <f t="shared" ref="G3339:G3402" ca="1" si="60">_xlfn.NORM.INV(RAND(), $M$11,$M$12)</f>
        <v>8.6535076617765758E-3</v>
      </c>
    </row>
    <row r="3340" spans="6:7" x14ac:dyDescent="0.2">
      <c r="F3340" s="591">
        <v>3331</v>
      </c>
      <c r="G3340" s="420">
        <f t="shared" ca="1" si="60"/>
        <v>-0.12963955082565329</v>
      </c>
    </row>
    <row r="3341" spans="6:7" x14ac:dyDescent="0.2">
      <c r="F3341" s="591">
        <v>3332</v>
      </c>
      <c r="G3341" s="420">
        <f t="shared" ca="1" si="60"/>
        <v>-7.1309138479651576E-2</v>
      </c>
    </row>
    <row r="3342" spans="6:7" x14ac:dyDescent="0.2">
      <c r="F3342" s="591">
        <v>3333</v>
      </c>
      <c r="G3342" s="420">
        <f t="shared" ca="1" si="60"/>
        <v>1.510215248586912E-2</v>
      </c>
    </row>
    <row r="3343" spans="6:7" x14ac:dyDescent="0.2">
      <c r="F3343" s="591">
        <v>3334</v>
      </c>
      <c r="G3343" s="420">
        <f t="shared" ca="1" si="60"/>
        <v>5.0361832197633599E-2</v>
      </c>
    </row>
    <row r="3344" spans="6:7" x14ac:dyDescent="0.2">
      <c r="F3344" s="591">
        <v>3335</v>
      </c>
      <c r="G3344" s="420">
        <f t="shared" ca="1" si="60"/>
        <v>-5.9810187546938481E-2</v>
      </c>
    </row>
    <row r="3345" spans="6:7" x14ac:dyDescent="0.2">
      <c r="F3345" s="591">
        <v>3336</v>
      </c>
      <c r="G3345" s="420">
        <f t="shared" ca="1" si="60"/>
        <v>-2.1305860049921788E-2</v>
      </c>
    </row>
    <row r="3346" spans="6:7" x14ac:dyDescent="0.2">
      <c r="F3346" s="591">
        <v>3337</v>
      </c>
      <c r="G3346" s="420">
        <f t="shared" ca="1" si="60"/>
        <v>-5.4739180580931954E-2</v>
      </c>
    </row>
    <row r="3347" spans="6:7" x14ac:dyDescent="0.2">
      <c r="F3347" s="591">
        <v>3338</v>
      </c>
      <c r="G3347" s="420">
        <f t="shared" ca="1" si="60"/>
        <v>-1.3951637493365945E-2</v>
      </c>
    </row>
    <row r="3348" spans="6:7" x14ac:dyDescent="0.2">
      <c r="F3348" s="591">
        <v>3339</v>
      </c>
      <c r="G3348" s="420">
        <f t="shared" ca="1" si="60"/>
        <v>4.9802343141132299E-2</v>
      </c>
    </row>
    <row r="3349" spans="6:7" x14ac:dyDescent="0.2">
      <c r="F3349" s="591">
        <v>3340</v>
      </c>
      <c r="G3349" s="420">
        <f t="shared" ca="1" si="60"/>
        <v>-2.9743213838011626E-2</v>
      </c>
    </row>
    <row r="3350" spans="6:7" x14ac:dyDescent="0.2">
      <c r="F3350" s="591">
        <v>3341</v>
      </c>
      <c r="G3350" s="420">
        <f t="shared" ca="1" si="60"/>
        <v>6.3946341352394243E-2</v>
      </c>
    </row>
    <row r="3351" spans="6:7" x14ac:dyDescent="0.2">
      <c r="F3351" s="591">
        <v>3342</v>
      </c>
      <c r="G3351" s="420">
        <f t="shared" ca="1" si="60"/>
        <v>0.12553658254300662</v>
      </c>
    </row>
    <row r="3352" spans="6:7" x14ac:dyDescent="0.2">
      <c r="F3352" s="591">
        <v>3343</v>
      </c>
      <c r="G3352" s="420">
        <f t="shared" ca="1" si="60"/>
        <v>2.8424353151107126E-3</v>
      </c>
    </row>
    <row r="3353" spans="6:7" x14ac:dyDescent="0.2">
      <c r="F3353" s="591">
        <v>3344</v>
      </c>
      <c r="G3353" s="420">
        <f t="shared" ca="1" si="60"/>
        <v>9.3919962894277093E-2</v>
      </c>
    </row>
    <row r="3354" spans="6:7" x14ac:dyDescent="0.2">
      <c r="F3354" s="591">
        <v>3345</v>
      </c>
      <c r="G3354" s="420">
        <f t="shared" ca="1" si="60"/>
        <v>7.3354651971807419E-2</v>
      </c>
    </row>
    <row r="3355" spans="6:7" x14ac:dyDescent="0.2">
      <c r="F3355" s="591">
        <v>3346</v>
      </c>
      <c r="G3355" s="420">
        <f t="shared" ca="1" si="60"/>
        <v>1.2530729539589277E-2</v>
      </c>
    </row>
    <row r="3356" spans="6:7" x14ac:dyDescent="0.2">
      <c r="F3356" s="591">
        <v>3347</v>
      </c>
      <c r="G3356" s="420">
        <f t="shared" ca="1" si="60"/>
        <v>8.4008156159895292E-2</v>
      </c>
    </row>
    <row r="3357" spans="6:7" x14ac:dyDescent="0.2">
      <c r="F3357" s="591">
        <v>3348</v>
      </c>
      <c r="G3357" s="420">
        <f t="shared" ca="1" si="60"/>
        <v>-6.8793129395776878E-2</v>
      </c>
    </row>
    <row r="3358" spans="6:7" x14ac:dyDescent="0.2">
      <c r="F3358" s="591">
        <v>3349</v>
      </c>
      <c r="G3358" s="420">
        <f t="shared" ca="1" si="60"/>
        <v>1.7109480403277096E-2</v>
      </c>
    </row>
    <row r="3359" spans="6:7" x14ac:dyDescent="0.2">
      <c r="F3359" s="591">
        <v>3350</v>
      </c>
      <c r="G3359" s="420">
        <f t="shared" ca="1" si="60"/>
        <v>6.6465197370246476E-2</v>
      </c>
    </row>
    <row r="3360" spans="6:7" x14ac:dyDescent="0.2">
      <c r="F3360" s="591">
        <v>3351</v>
      </c>
      <c r="G3360" s="420">
        <f t="shared" ca="1" si="60"/>
        <v>6.3536872041401751E-2</v>
      </c>
    </row>
    <row r="3361" spans="6:7" x14ac:dyDescent="0.2">
      <c r="F3361" s="591">
        <v>3352</v>
      </c>
      <c r="G3361" s="420">
        <f t="shared" ca="1" si="60"/>
        <v>-5.9865982589269243E-3</v>
      </c>
    </row>
    <row r="3362" spans="6:7" x14ac:dyDescent="0.2">
      <c r="F3362" s="591">
        <v>3353</v>
      </c>
      <c r="G3362" s="420">
        <f t="shared" ca="1" si="60"/>
        <v>5.4815959532631062E-2</v>
      </c>
    </row>
    <row r="3363" spans="6:7" x14ac:dyDescent="0.2">
      <c r="F3363" s="591">
        <v>3354</v>
      </c>
      <c r="G3363" s="420">
        <f t="shared" ca="1" si="60"/>
        <v>-8.4141053803696964E-2</v>
      </c>
    </row>
    <row r="3364" spans="6:7" x14ac:dyDescent="0.2">
      <c r="F3364" s="591">
        <v>3355</v>
      </c>
      <c r="G3364" s="420">
        <f t="shared" ca="1" si="60"/>
        <v>-7.4037403209282655E-3</v>
      </c>
    </row>
    <row r="3365" spans="6:7" x14ac:dyDescent="0.2">
      <c r="F3365" s="591">
        <v>3356</v>
      </c>
      <c r="G3365" s="420">
        <f t="shared" ca="1" si="60"/>
        <v>-2.5268998273448483E-2</v>
      </c>
    </row>
    <row r="3366" spans="6:7" x14ac:dyDescent="0.2">
      <c r="F3366" s="591">
        <v>3357</v>
      </c>
      <c r="G3366" s="420">
        <f t="shared" ca="1" si="60"/>
        <v>-6.7374029750984166E-2</v>
      </c>
    </row>
    <row r="3367" spans="6:7" x14ac:dyDescent="0.2">
      <c r="F3367" s="591">
        <v>3358</v>
      </c>
      <c r="G3367" s="420">
        <f t="shared" ca="1" si="60"/>
        <v>-0.11271204960993964</v>
      </c>
    </row>
    <row r="3368" spans="6:7" x14ac:dyDescent="0.2">
      <c r="F3368" s="591">
        <v>3359</v>
      </c>
      <c r="G3368" s="420">
        <f t="shared" ca="1" si="60"/>
        <v>2.5239458400184364E-2</v>
      </c>
    </row>
    <row r="3369" spans="6:7" x14ac:dyDescent="0.2">
      <c r="F3369" s="591">
        <v>3360</v>
      </c>
      <c r="G3369" s="420">
        <f t="shared" ca="1" si="60"/>
        <v>-0.10017868685548208</v>
      </c>
    </row>
    <row r="3370" spans="6:7" x14ac:dyDescent="0.2">
      <c r="F3370" s="591">
        <v>3361</v>
      </c>
      <c r="G3370" s="420">
        <f t="shared" ca="1" si="60"/>
        <v>-5.6160463182694464E-2</v>
      </c>
    </row>
    <row r="3371" spans="6:7" x14ac:dyDescent="0.2">
      <c r="F3371" s="591">
        <v>3362</v>
      </c>
      <c r="G3371" s="420">
        <f t="shared" ca="1" si="60"/>
        <v>7.4148328317481513E-2</v>
      </c>
    </row>
    <row r="3372" spans="6:7" x14ac:dyDescent="0.2">
      <c r="F3372" s="591">
        <v>3363</v>
      </c>
      <c r="G3372" s="420">
        <f t="shared" ca="1" si="60"/>
        <v>5.2824621054935933E-2</v>
      </c>
    </row>
    <row r="3373" spans="6:7" x14ac:dyDescent="0.2">
      <c r="F3373" s="591">
        <v>3364</v>
      </c>
      <c r="G3373" s="420">
        <f t="shared" ca="1" si="60"/>
        <v>-2.3113309352113639E-2</v>
      </c>
    </row>
    <row r="3374" spans="6:7" x14ac:dyDescent="0.2">
      <c r="F3374" s="591">
        <v>3365</v>
      </c>
      <c r="G3374" s="420">
        <f t="shared" ca="1" si="60"/>
        <v>-5.2037705793874997E-2</v>
      </c>
    </row>
    <row r="3375" spans="6:7" x14ac:dyDescent="0.2">
      <c r="F3375" s="591">
        <v>3366</v>
      </c>
      <c r="G3375" s="420">
        <f t="shared" ca="1" si="60"/>
        <v>6.6456476485404092E-2</v>
      </c>
    </row>
    <row r="3376" spans="6:7" x14ac:dyDescent="0.2">
      <c r="F3376" s="591">
        <v>3367</v>
      </c>
      <c r="G3376" s="420">
        <f t="shared" ca="1" si="60"/>
        <v>1.8706861345593545E-2</v>
      </c>
    </row>
    <row r="3377" spans="6:7" x14ac:dyDescent="0.2">
      <c r="F3377" s="591">
        <v>3368</v>
      </c>
      <c r="G3377" s="420">
        <f t="shared" ca="1" si="60"/>
        <v>-3.0883445425775435E-2</v>
      </c>
    </row>
    <row r="3378" spans="6:7" x14ac:dyDescent="0.2">
      <c r="F3378" s="591">
        <v>3369</v>
      </c>
      <c r="G3378" s="420">
        <f t="shared" ca="1" si="60"/>
        <v>4.39018905182052E-2</v>
      </c>
    </row>
    <row r="3379" spans="6:7" x14ac:dyDescent="0.2">
      <c r="F3379" s="591">
        <v>3370</v>
      </c>
      <c r="G3379" s="420">
        <f t="shared" ca="1" si="60"/>
        <v>9.8917191548956979E-2</v>
      </c>
    </row>
    <row r="3380" spans="6:7" x14ac:dyDescent="0.2">
      <c r="F3380" s="591">
        <v>3371</v>
      </c>
      <c r="G3380" s="420">
        <f t="shared" ca="1" si="60"/>
        <v>-5.6273653465003459E-2</v>
      </c>
    </row>
    <row r="3381" spans="6:7" x14ac:dyDescent="0.2">
      <c r="F3381" s="591">
        <v>3372</v>
      </c>
      <c r="G3381" s="420">
        <f t="shared" ca="1" si="60"/>
        <v>4.1362450761622061E-3</v>
      </c>
    </row>
    <row r="3382" spans="6:7" x14ac:dyDescent="0.2">
      <c r="F3382" s="591">
        <v>3373</v>
      </c>
      <c r="G3382" s="420">
        <f t="shared" ca="1" si="60"/>
        <v>-1.5500909520060713E-2</v>
      </c>
    </row>
    <row r="3383" spans="6:7" x14ac:dyDescent="0.2">
      <c r="F3383" s="591">
        <v>3374</v>
      </c>
      <c r="G3383" s="420">
        <f t="shared" ca="1" si="60"/>
        <v>-3.0781925283028356E-2</v>
      </c>
    </row>
    <row r="3384" spans="6:7" x14ac:dyDescent="0.2">
      <c r="F3384" s="591">
        <v>3375</v>
      </c>
      <c r="G3384" s="420">
        <f t="shared" ca="1" si="60"/>
        <v>4.7429480747674668E-2</v>
      </c>
    </row>
    <row r="3385" spans="6:7" x14ac:dyDescent="0.2">
      <c r="F3385" s="591">
        <v>3376</v>
      </c>
      <c r="G3385" s="420">
        <f t="shared" ca="1" si="60"/>
        <v>3.5684471606423851E-2</v>
      </c>
    </row>
    <row r="3386" spans="6:7" x14ac:dyDescent="0.2">
      <c r="F3386" s="591">
        <v>3377</v>
      </c>
      <c r="G3386" s="420">
        <f t="shared" ca="1" si="60"/>
        <v>4.1218489671909699E-2</v>
      </c>
    </row>
    <row r="3387" spans="6:7" x14ac:dyDescent="0.2">
      <c r="F3387" s="591">
        <v>3378</v>
      </c>
      <c r="G3387" s="420">
        <f t="shared" ca="1" si="60"/>
        <v>6.4032677917696318E-2</v>
      </c>
    </row>
    <row r="3388" spans="6:7" x14ac:dyDescent="0.2">
      <c r="F3388" s="591">
        <v>3379</v>
      </c>
      <c r="G3388" s="420">
        <f t="shared" ca="1" si="60"/>
        <v>-1.2719729128677654E-3</v>
      </c>
    </row>
    <row r="3389" spans="6:7" x14ac:dyDescent="0.2">
      <c r="F3389" s="591">
        <v>3380</v>
      </c>
      <c r="G3389" s="420">
        <f t="shared" ca="1" si="60"/>
        <v>0.13865733702672772</v>
      </c>
    </row>
    <row r="3390" spans="6:7" x14ac:dyDescent="0.2">
      <c r="F3390" s="591">
        <v>3381</v>
      </c>
      <c r="G3390" s="420">
        <f t="shared" ca="1" si="60"/>
        <v>-5.3717632840270063E-2</v>
      </c>
    </row>
    <row r="3391" spans="6:7" x14ac:dyDescent="0.2">
      <c r="F3391" s="591">
        <v>3382</v>
      </c>
      <c r="G3391" s="420">
        <f t="shared" ca="1" si="60"/>
        <v>5.5822334030632581E-2</v>
      </c>
    </row>
    <row r="3392" spans="6:7" x14ac:dyDescent="0.2">
      <c r="F3392" s="591">
        <v>3383</v>
      </c>
      <c r="G3392" s="420">
        <f t="shared" ca="1" si="60"/>
        <v>0.10870884790138119</v>
      </c>
    </row>
    <row r="3393" spans="6:7" x14ac:dyDescent="0.2">
      <c r="F3393" s="591">
        <v>3384</v>
      </c>
      <c r="G3393" s="420">
        <f t="shared" ca="1" si="60"/>
        <v>6.5020416772857637E-2</v>
      </c>
    </row>
    <row r="3394" spans="6:7" x14ac:dyDescent="0.2">
      <c r="F3394" s="591">
        <v>3385</v>
      </c>
      <c r="G3394" s="420">
        <f t="shared" ca="1" si="60"/>
        <v>8.3225381239400667E-2</v>
      </c>
    </row>
    <row r="3395" spans="6:7" x14ac:dyDescent="0.2">
      <c r="F3395" s="591">
        <v>3386</v>
      </c>
      <c r="G3395" s="420">
        <f t="shared" ca="1" si="60"/>
        <v>6.5843571264478401E-2</v>
      </c>
    </row>
    <row r="3396" spans="6:7" x14ac:dyDescent="0.2">
      <c r="F3396" s="591">
        <v>3387</v>
      </c>
      <c r="G3396" s="420">
        <f t="shared" ca="1" si="60"/>
        <v>-1.5116437761220302E-2</v>
      </c>
    </row>
    <row r="3397" spans="6:7" x14ac:dyDescent="0.2">
      <c r="F3397" s="591">
        <v>3388</v>
      </c>
      <c r="G3397" s="420">
        <f t="shared" ca="1" si="60"/>
        <v>-8.5409612484702829E-2</v>
      </c>
    </row>
    <row r="3398" spans="6:7" x14ac:dyDescent="0.2">
      <c r="F3398" s="591">
        <v>3389</v>
      </c>
      <c r="G3398" s="420">
        <f t="shared" ca="1" si="60"/>
        <v>2.4085219598903404E-2</v>
      </c>
    </row>
    <row r="3399" spans="6:7" x14ac:dyDescent="0.2">
      <c r="F3399" s="591">
        <v>3390</v>
      </c>
      <c r="G3399" s="420">
        <f t="shared" ca="1" si="60"/>
        <v>8.9005473728527004E-2</v>
      </c>
    </row>
    <row r="3400" spans="6:7" x14ac:dyDescent="0.2">
      <c r="F3400" s="591">
        <v>3391</v>
      </c>
      <c r="G3400" s="420">
        <f t="shared" ca="1" si="60"/>
        <v>5.3853099456585868E-2</v>
      </c>
    </row>
    <row r="3401" spans="6:7" x14ac:dyDescent="0.2">
      <c r="F3401" s="591">
        <v>3392</v>
      </c>
      <c r="G3401" s="420">
        <f t="shared" ca="1" si="60"/>
        <v>2.0325887865442323E-2</v>
      </c>
    </row>
    <row r="3402" spans="6:7" x14ac:dyDescent="0.2">
      <c r="F3402" s="591">
        <v>3393</v>
      </c>
      <c r="G3402" s="420">
        <f t="shared" ca="1" si="60"/>
        <v>-3.1764299287934838E-2</v>
      </c>
    </row>
    <row r="3403" spans="6:7" x14ac:dyDescent="0.2">
      <c r="F3403" s="591">
        <v>3394</v>
      </c>
      <c r="G3403" s="420">
        <f t="shared" ref="G3403:G3466" ca="1" si="61">_xlfn.NORM.INV(RAND(), $M$11,$M$12)</f>
        <v>0.14207055843132282</v>
      </c>
    </row>
    <row r="3404" spans="6:7" x14ac:dyDescent="0.2">
      <c r="F3404" s="591">
        <v>3395</v>
      </c>
      <c r="G3404" s="420">
        <f t="shared" ca="1" si="61"/>
        <v>7.7903873645244398E-2</v>
      </c>
    </row>
    <row r="3405" spans="6:7" x14ac:dyDescent="0.2">
      <c r="F3405" s="591">
        <v>3396</v>
      </c>
      <c r="G3405" s="420">
        <f t="shared" ca="1" si="61"/>
        <v>1.6852583017968926E-2</v>
      </c>
    </row>
    <row r="3406" spans="6:7" x14ac:dyDescent="0.2">
      <c r="F3406" s="591">
        <v>3397</v>
      </c>
      <c r="G3406" s="420">
        <f t="shared" ca="1" si="61"/>
        <v>-0.10650164866163109</v>
      </c>
    </row>
    <row r="3407" spans="6:7" x14ac:dyDescent="0.2">
      <c r="F3407" s="591">
        <v>3398</v>
      </c>
      <c r="G3407" s="420">
        <f t="shared" ca="1" si="61"/>
        <v>5.9131554955974414E-2</v>
      </c>
    </row>
    <row r="3408" spans="6:7" x14ac:dyDescent="0.2">
      <c r="F3408" s="591">
        <v>3399</v>
      </c>
      <c r="G3408" s="420">
        <f t="shared" ca="1" si="61"/>
        <v>-4.5576865009265707E-2</v>
      </c>
    </row>
    <row r="3409" spans="6:7" x14ac:dyDescent="0.2">
      <c r="F3409" s="591">
        <v>3400</v>
      </c>
      <c r="G3409" s="420">
        <f t="shared" ca="1" si="61"/>
        <v>-3.1258506843876623E-3</v>
      </c>
    </row>
    <row r="3410" spans="6:7" x14ac:dyDescent="0.2">
      <c r="F3410" s="591">
        <v>3401</v>
      </c>
      <c r="G3410" s="420">
        <f t="shared" ca="1" si="61"/>
        <v>-3.8034397288262231E-2</v>
      </c>
    </row>
    <row r="3411" spans="6:7" x14ac:dyDescent="0.2">
      <c r="F3411" s="591">
        <v>3402</v>
      </c>
      <c r="G3411" s="420">
        <f t="shared" ca="1" si="61"/>
        <v>6.7367984021119307E-2</v>
      </c>
    </row>
    <row r="3412" spans="6:7" x14ac:dyDescent="0.2">
      <c r="F3412" s="591">
        <v>3403</v>
      </c>
      <c r="G3412" s="420">
        <f t="shared" ca="1" si="61"/>
        <v>8.1720214298306934E-2</v>
      </c>
    </row>
    <row r="3413" spans="6:7" x14ac:dyDescent="0.2">
      <c r="F3413" s="591">
        <v>3404</v>
      </c>
      <c r="G3413" s="420">
        <f t="shared" ca="1" si="61"/>
        <v>4.5693325427399498E-2</v>
      </c>
    </row>
    <row r="3414" spans="6:7" x14ac:dyDescent="0.2">
      <c r="F3414" s="591">
        <v>3405</v>
      </c>
      <c r="G3414" s="420">
        <f t="shared" ca="1" si="61"/>
        <v>-2.3237814853827855E-2</v>
      </c>
    </row>
    <row r="3415" spans="6:7" x14ac:dyDescent="0.2">
      <c r="F3415" s="591">
        <v>3406</v>
      </c>
      <c r="G3415" s="420">
        <f t="shared" ca="1" si="61"/>
        <v>-2.5626832158353079E-2</v>
      </c>
    </row>
    <row r="3416" spans="6:7" x14ac:dyDescent="0.2">
      <c r="F3416" s="591">
        <v>3407</v>
      </c>
      <c r="G3416" s="420">
        <f t="shared" ca="1" si="61"/>
        <v>4.4530665954840828E-2</v>
      </c>
    </row>
    <row r="3417" spans="6:7" x14ac:dyDescent="0.2">
      <c r="F3417" s="591">
        <v>3408</v>
      </c>
      <c r="G3417" s="420">
        <f t="shared" ca="1" si="61"/>
        <v>-6.3785012719191521E-3</v>
      </c>
    </row>
    <row r="3418" spans="6:7" x14ac:dyDescent="0.2">
      <c r="F3418" s="591">
        <v>3409</v>
      </c>
      <c r="G3418" s="420">
        <f t="shared" ca="1" si="61"/>
        <v>6.479516768804737E-2</v>
      </c>
    </row>
    <row r="3419" spans="6:7" x14ac:dyDescent="0.2">
      <c r="F3419" s="591">
        <v>3410</v>
      </c>
      <c r="G3419" s="420">
        <f t="shared" ca="1" si="61"/>
        <v>1.65248834583024E-2</v>
      </c>
    </row>
    <row r="3420" spans="6:7" x14ac:dyDescent="0.2">
      <c r="F3420" s="591">
        <v>3411</v>
      </c>
      <c r="G3420" s="420">
        <f t="shared" ca="1" si="61"/>
        <v>-5.0081113372164962E-2</v>
      </c>
    </row>
    <row r="3421" spans="6:7" x14ac:dyDescent="0.2">
      <c r="F3421" s="591">
        <v>3412</v>
      </c>
      <c r="G3421" s="420">
        <f t="shared" ca="1" si="61"/>
        <v>0.16864440432141423</v>
      </c>
    </row>
    <row r="3422" spans="6:7" x14ac:dyDescent="0.2">
      <c r="F3422" s="591">
        <v>3413</v>
      </c>
      <c r="G3422" s="420">
        <f t="shared" ca="1" si="61"/>
        <v>8.8453586156177853E-3</v>
      </c>
    </row>
    <row r="3423" spans="6:7" x14ac:dyDescent="0.2">
      <c r="F3423" s="591">
        <v>3414</v>
      </c>
      <c r="G3423" s="420">
        <f t="shared" ca="1" si="61"/>
        <v>-2.2709166724575389E-3</v>
      </c>
    </row>
    <row r="3424" spans="6:7" x14ac:dyDescent="0.2">
      <c r="F3424" s="591">
        <v>3415</v>
      </c>
      <c r="G3424" s="420">
        <f t="shared" ca="1" si="61"/>
        <v>-1.9439196434982254E-2</v>
      </c>
    </row>
    <row r="3425" spans="6:7" x14ac:dyDescent="0.2">
      <c r="F3425" s="591">
        <v>3416</v>
      </c>
      <c r="G3425" s="420">
        <f t="shared" ca="1" si="61"/>
        <v>1.0183339147015892E-2</v>
      </c>
    </row>
    <row r="3426" spans="6:7" x14ac:dyDescent="0.2">
      <c r="F3426" s="591">
        <v>3417</v>
      </c>
      <c r="G3426" s="420">
        <f t="shared" ca="1" si="61"/>
        <v>-0.13303673162497531</v>
      </c>
    </row>
    <row r="3427" spans="6:7" x14ac:dyDescent="0.2">
      <c r="F3427" s="591">
        <v>3418</v>
      </c>
      <c r="G3427" s="420">
        <f t="shared" ca="1" si="61"/>
        <v>-2.8658473664512855E-2</v>
      </c>
    </row>
    <row r="3428" spans="6:7" x14ac:dyDescent="0.2">
      <c r="F3428" s="591">
        <v>3419</v>
      </c>
      <c r="G3428" s="420">
        <f t="shared" ca="1" si="61"/>
        <v>-0.10542673307126664</v>
      </c>
    </row>
    <row r="3429" spans="6:7" x14ac:dyDescent="0.2">
      <c r="F3429" s="591">
        <v>3420</v>
      </c>
      <c r="G3429" s="420">
        <f t="shared" ca="1" si="61"/>
        <v>0.10592791329315536</v>
      </c>
    </row>
    <row r="3430" spans="6:7" x14ac:dyDescent="0.2">
      <c r="F3430" s="591">
        <v>3421</v>
      </c>
      <c r="G3430" s="420">
        <f t="shared" ca="1" si="61"/>
        <v>5.8669463749961931E-2</v>
      </c>
    </row>
    <row r="3431" spans="6:7" x14ac:dyDescent="0.2">
      <c r="F3431" s="591">
        <v>3422</v>
      </c>
      <c r="G3431" s="420">
        <f t="shared" ca="1" si="61"/>
        <v>0.14108031945076865</v>
      </c>
    </row>
    <row r="3432" spans="6:7" x14ac:dyDescent="0.2">
      <c r="F3432" s="591">
        <v>3423</v>
      </c>
      <c r="G3432" s="420">
        <f t="shared" ca="1" si="61"/>
        <v>-6.2325971104939745E-5</v>
      </c>
    </row>
    <row r="3433" spans="6:7" x14ac:dyDescent="0.2">
      <c r="F3433" s="591">
        <v>3424</v>
      </c>
      <c r="G3433" s="420">
        <f t="shared" ca="1" si="61"/>
        <v>3.3371527896336517E-2</v>
      </c>
    </row>
    <row r="3434" spans="6:7" x14ac:dyDescent="0.2">
      <c r="F3434" s="591">
        <v>3425</v>
      </c>
      <c r="G3434" s="420">
        <f t="shared" ca="1" si="61"/>
        <v>4.5859072421243638E-2</v>
      </c>
    </row>
    <row r="3435" spans="6:7" x14ac:dyDescent="0.2">
      <c r="F3435" s="591">
        <v>3426</v>
      </c>
      <c r="G3435" s="420">
        <f t="shared" ca="1" si="61"/>
        <v>-0.10565912663369284</v>
      </c>
    </row>
    <row r="3436" spans="6:7" x14ac:dyDescent="0.2">
      <c r="F3436" s="591">
        <v>3427</v>
      </c>
      <c r="G3436" s="420">
        <f t="shared" ca="1" si="61"/>
        <v>-0.11271028265663349</v>
      </c>
    </row>
    <row r="3437" spans="6:7" x14ac:dyDescent="0.2">
      <c r="F3437" s="591">
        <v>3428</v>
      </c>
      <c r="G3437" s="420">
        <f t="shared" ca="1" si="61"/>
        <v>3.9970100118871497E-2</v>
      </c>
    </row>
    <row r="3438" spans="6:7" x14ac:dyDescent="0.2">
      <c r="F3438" s="591">
        <v>3429</v>
      </c>
      <c r="G3438" s="420">
        <f t="shared" ca="1" si="61"/>
        <v>-4.5941882662593206E-2</v>
      </c>
    </row>
    <row r="3439" spans="6:7" x14ac:dyDescent="0.2">
      <c r="F3439" s="591">
        <v>3430</v>
      </c>
      <c r="G3439" s="420">
        <f t="shared" ca="1" si="61"/>
        <v>4.4445321015654182E-2</v>
      </c>
    </row>
    <row r="3440" spans="6:7" x14ac:dyDescent="0.2">
      <c r="F3440" s="591">
        <v>3431</v>
      </c>
      <c r="G3440" s="420">
        <f t="shared" ca="1" si="61"/>
        <v>8.4609772493554336E-2</v>
      </c>
    </row>
    <row r="3441" spans="6:7" x14ac:dyDescent="0.2">
      <c r="F3441" s="591">
        <v>3432</v>
      </c>
      <c r="G3441" s="420">
        <f t="shared" ca="1" si="61"/>
        <v>3.5292342377936589E-3</v>
      </c>
    </row>
    <row r="3442" spans="6:7" x14ac:dyDescent="0.2">
      <c r="F3442" s="591">
        <v>3433</v>
      </c>
      <c r="G3442" s="420">
        <f t="shared" ca="1" si="61"/>
        <v>-2.8333472824306528E-2</v>
      </c>
    </row>
    <row r="3443" spans="6:7" x14ac:dyDescent="0.2">
      <c r="F3443" s="591">
        <v>3434</v>
      </c>
      <c r="G3443" s="420">
        <f t="shared" ca="1" si="61"/>
        <v>0.16625243232189532</v>
      </c>
    </row>
    <row r="3444" spans="6:7" x14ac:dyDescent="0.2">
      <c r="F3444" s="591">
        <v>3435</v>
      </c>
      <c r="G3444" s="420">
        <f t="shared" ca="1" si="61"/>
        <v>5.7698761663092693E-2</v>
      </c>
    </row>
    <row r="3445" spans="6:7" x14ac:dyDescent="0.2">
      <c r="F3445" s="591">
        <v>3436</v>
      </c>
      <c r="G3445" s="420">
        <f t="shared" ca="1" si="61"/>
        <v>1.2948807187462828E-2</v>
      </c>
    </row>
    <row r="3446" spans="6:7" x14ac:dyDescent="0.2">
      <c r="F3446" s="591">
        <v>3437</v>
      </c>
      <c r="G3446" s="420">
        <f t="shared" ca="1" si="61"/>
        <v>-4.0976948126977386E-2</v>
      </c>
    </row>
    <row r="3447" spans="6:7" x14ac:dyDescent="0.2">
      <c r="F3447" s="591">
        <v>3438</v>
      </c>
      <c r="G3447" s="420">
        <f t="shared" ca="1" si="61"/>
        <v>-6.2964776361045374E-2</v>
      </c>
    </row>
    <row r="3448" spans="6:7" x14ac:dyDescent="0.2">
      <c r="F3448" s="591">
        <v>3439</v>
      </c>
      <c r="G3448" s="420">
        <f t="shared" ca="1" si="61"/>
        <v>-0.12021107563949958</v>
      </c>
    </row>
    <row r="3449" spans="6:7" x14ac:dyDescent="0.2">
      <c r="F3449" s="591">
        <v>3440</v>
      </c>
      <c r="G3449" s="420">
        <f t="shared" ca="1" si="61"/>
        <v>-2.1664184548176178E-2</v>
      </c>
    </row>
    <row r="3450" spans="6:7" x14ac:dyDescent="0.2">
      <c r="F3450" s="591">
        <v>3441</v>
      </c>
      <c r="G3450" s="420">
        <f t="shared" ca="1" si="61"/>
        <v>5.0139098918684982E-2</v>
      </c>
    </row>
    <row r="3451" spans="6:7" x14ac:dyDescent="0.2">
      <c r="F3451" s="591">
        <v>3442</v>
      </c>
      <c r="G3451" s="420">
        <f t="shared" ca="1" si="61"/>
        <v>3.393698674300058E-2</v>
      </c>
    </row>
    <row r="3452" spans="6:7" x14ac:dyDescent="0.2">
      <c r="F3452" s="591">
        <v>3443</v>
      </c>
      <c r="G3452" s="420">
        <f t="shared" ca="1" si="61"/>
        <v>-3.3141402814492807E-2</v>
      </c>
    </row>
    <row r="3453" spans="6:7" x14ac:dyDescent="0.2">
      <c r="F3453" s="591">
        <v>3444</v>
      </c>
      <c r="G3453" s="420">
        <f t="shared" ca="1" si="61"/>
        <v>-7.5774177660417191E-3</v>
      </c>
    </row>
    <row r="3454" spans="6:7" x14ac:dyDescent="0.2">
      <c r="F3454" s="591">
        <v>3445</v>
      </c>
      <c r="G3454" s="420">
        <f t="shared" ca="1" si="61"/>
        <v>2.1616108507387707E-3</v>
      </c>
    </row>
    <row r="3455" spans="6:7" x14ac:dyDescent="0.2">
      <c r="F3455" s="591">
        <v>3446</v>
      </c>
      <c r="G3455" s="420">
        <f t="shared" ca="1" si="61"/>
        <v>-3.6655139432845471E-2</v>
      </c>
    </row>
    <row r="3456" spans="6:7" x14ac:dyDescent="0.2">
      <c r="F3456" s="591">
        <v>3447</v>
      </c>
      <c r="G3456" s="420">
        <f t="shared" ca="1" si="61"/>
        <v>-2.1727062015175873E-3</v>
      </c>
    </row>
    <row r="3457" spans="6:7" x14ac:dyDescent="0.2">
      <c r="F3457" s="591">
        <v>3448</v>
      </c>
      <c r="G3457" s="420">
        <f t="shared" ca="1" si="61"/>
        <v>5.8744062273071718E-2</v>
      </c>
    </row>
    <row r="3458" spans="6:7" x14ac:dyDescent="0.2">
      <c r="F3458" s="591">
        <v>3449</v>
      </c>
      <c r="G3458" s="420">
        <f t="shared" ca="1" si="61"/>
        <v>-0.1431715749872895</v>
      </c>
    </row>
    <row r="3459" spans="6:7" x14ac:dyDescent="0.2">
      <c r="F3459" s="591">
        <v>3450</v>
      </c>
      <c r="G3459" s="420">
        <f t="shared" ca="1" si="61"/>
        <v>-4.4674256800588778E-3</v>
      </c>
    </row>
    <row r="3460" spans="6:7" x14ac:dyDescent="0.2">
      <c r="F3460" s="591">
        <v>3451</v>
      </c>
      <c r="G3460" s="420">
        <f t="shared" ca="1" si="61"/>
        <v>-3.0686189286783464E-2</v>
      </c>
    </row>
    <row r="3461" spans="6:7" x14ac:dyDescent="0.2">
      <c r="F3461" s="591">
        <v>3452</v>
      </c>
      <c r="G3461" s="420">
        <f t="shared" ca="1" si="61"/>
        <v>-9.3935480737460511E-2</v>
      </c>
    </row>
    <row r="3462" spans="6:7" x14ac:dyDescent="0.2">
      <c r="F3462" s="591">
        <v>3453</v>
      </c>
      <c r="G3462" s="420">
        <f t="shared" ca="1" si="61"/>
        <v>-5.6808355797179147E-2</v>
      </c>
    </row>
    <row r="3463" spans="6:7" x14ac:dyDescent="0.2">
      <c r="F3463" s="591">
        <v>3454</v>
      </c>
      <c r="G3463" s="420">
        <f t="shared" ca="1" si="61"/>
        <v>0.11688094966472189</v>
      </c>
    </row>
    <row r="3464" spans="6:7" x14ac:dyDescent="0.2">
      <c r="F3464" s="591">
        <v>3455</v>
      </c>
      <c r="G3464" s="420">
        <f t="shared" ca="1" si="61"/>
        <v>-3.0921679784010215E-2</v>
      </c>
    </row>
    <row r="3465" spans="6:7" x14ac:dyDescent="0.2">
      <c r="F3465" s="591">
        <v>3456</v>
      </c>
      <c r="G3465" s="420">
        <f t="shared" ca="1" si="61"/>
        <v>-8.7247981138501463E-2</v>
      </c>
    </row>
    <row r="3466" spans="6:7" x14ac:dyDescent="0.2">
      <c r="F3466" s="591">
        <v>3457</v>
      </c>
      <c r="G3466" s="420">
        <f t="shared" ca="1" si="61"/>
        <v>-1.060962172949079E-2</v>
      </c>
    </row>
    <row r="3467" spans="6:7" x14ac:dyDescent="0.2">
      <c r="F3467" s="591">
        <v>3458</v>
      </c>
      <c r="G3467" s="420">
        <f t="shared" ref="G3467:G3530" ca="1" si="62">_xlfn.NORM.INV(RAND(), $M$11,$M$12)</f>
        <v>9.2338140659743467E-2</v>
      </c>
    </row>
    <row r="3468" spans="6:7" x14ac:dyDescent="0.2">
      <c r="F3468" s="591">
        <v>3459</v>
      </c>
      <c r="G3468" s="420">
        <f t="shared" ca="1" si="62"/>
        <v>-9.6225232393774979E-3</v>
      </c>
    </row>
    <row r="3469" spans="6:7" x14ac:dyDescent="0.2">
      <c r="F3469" s="591">
        <v>3460</v>
      </c>
      <c r="G3469" s="420">
        <f t="shared" ca="1" si="62"/>
        <v>7.0113284783470897E-2</v>
      </c>
    </row>
    <row r="3470" spans="6:7" x14ac:dyDescent="0.2">
      <c r="F3470" s="591">
        <v>3461</v>
      </c>
      <c r="G3470" s="420">
        <f t="shared" ca="1" si="62"/>
        <v>1.6481558555237696E-2</v>
      </c>
    </row>
    <row r="3471" spans="6:7" x14ac:dyDescent="0.2">
      <c r="F3471" s="591">
        <v>3462</v>
      </c>
      <c r="G3471" s="420">
        <f t="shared" ca="1" si="62"/>
        <v>-2.679063098282097E-2</v>
      </c>
    </row>
    <row r="3472" spans="6:7" x14ac:dyDescent="0.2">
      <c r="F3472" s="591">
        <v>3463</v>
      </c>
      <c r="G3472" s="420">
        <f t="shared" ca="1" si="62"/>
        <v>0.11564905152728421</v>
      </c>
    </row>
    <row r="3473" spans="6:7" x14ac:dyDescent="0.2">
      <c r="F3473" s="591">
        <v>3464</v>
      </c>
      <c r="G3473" s="420">
        <f t="shared" ca="1" si="62"/>
        <v>4.9890932653660458E-2</v>
      </c>
    </row>
    <row r="3474" spans="6:7" x14ac:dyDescent="0.2">
      <c r="F3474" s="591">
        <v>3465</v>
      </c>
      <c r="G3474" s="420">
        <f t="shared" ca="1" si="62"/>
        <v>2.7768728318912004E-2</v>
      </c>
    </row>
    <row r="3475" spans="6:7" x14ac:dyDescent="0.2">
      <c r="F3475" s="591">
        <v>3466</v>
      </c>
      <c r="G3475" s="420">
        <f t="shared" ca="1" si="62"/>
        <v>4.2179477014526207E-2</v>
      </c>
    </row>
    <row r="3476" spans="6:7" x14ac:dyDescent="0.2">
      <c r="F3476" s="591">
        <v>3467</v>
      </c>
      <c r="G3476" s="420">
        <f t="shared" ca="1" si="62"/>
        <v>3.0878463165496983E-2</v>
      </c>
    </row>
    <row r="3477" spans="6:7" x14ac:dyDescent="0.2">
      <c r="F3477" s="591">
        <v>3468</v>
      </c>
      <c r="G3477" s="420">
        <f t="shared" ca="1" si="62"/>
        <v>3.0231299037444193E-2</v>
      </c>
    </row>
    <row r="3478" spans="6:7" x14ac:dyDescent="0.2">
      <c r="F3478" s="591">
        <v>3469</v>
      </c>
      <c r="G3478" s="420">
        <f t="shared" ca="1" si="62"/>
        <v>7.0679886898594321E-2</v>
      </c>
    </row>
    <row r="3479" spans="6:7" x14ac:dyDescent="0.2">
      <c r="F3479" s="591">
        <v>3470</v>
      </c>
      <c r="G3479" s="420">
        <f t="shared" ca="1" si="62"/>
        <v>1.8531940391379415E-2</v>
      </c>
    </row>
    <row r="3480" spans="6:7" x14ac:dyDescent="0.2">
      <c r="F3480" s="591">
        <v>3471</v>
      </c>
      <c r="G3480" s="420">
        <f t="shared" ca="1" si="62"/>
        <v>-0.13127339062483454</v>
      </c>
    </row>
    <row r="3481" spans="6:7" x14ac:dyDescent="0.2">
      <c r="F3481" s="591">
        <v>3472</v>
      </c>
      <c r="G3481" s="420">
        <f t="shared" ca="1" si="62"/>
        <v>-2.7136205024777618E-2</v>
      </c>
    </row>
    <row r="3482" spans="6:7" x14ac:dyDescent="0.2">
      <c r="F3482" s="591">
        <v>3473</v>
      </c>
      <c r="G3482" s="420">
        <f t="shared" ca="1" si="62"/>
        <v>-4.7762236890952339E-2</v>
      </c>
    </row>
    <row r="3483" spans="6:7" x14ac:dyDescent="0.2">
      <c r="F3483" s="591">
        <v>3474</v>
      </c>
      <c r="G3483" s="420">
        <f t="shared" ca="1" si="62"/>
        <v>0.10238235322791804</v>
      </c>
    </row>
    <row r="3484" spans="6:7" x14ac:dyDescent="0.2">
      <c r="F3484" s="591">
        <v>3475</v>
      </c>
      <c r="G3484" s="420">
        <f t="shared" ca="1" si="62"/>
        <v>-3.7518228090916803E-2</v>
      </c>
    </row>
    <row r="3485" spans="6:7" x14ac:dyDescent="0.2">
      <c r="F3485" s="591">
        <v>3476</v>
      </c>
      <c r="G3485" s="420">
        <f t="shared" ca="1" si="62"/>
        <v>-5.0001015893685968E-2</v>
      </c>
    </row>
    <row r="3486" spans="6:7" x14ac:dyDescent="0.2">
      <c r="F3486" s="591">
        <v>3477</v>
      </c>
      <c r="G3486" s="420">
        <f t="shared" ca="1" si="62"/>
        <v>4.5803650221563921E-2</v>
      </c>
    </row>
    <row r="3487" spans="6:7" x14ac:dyDescent="0.2">
      <c r="F3487" s="591">
        <v>3478</v>
      </c>
      <c r="G3487" s="420">
        <f t="shared" ca="1" si="62"/>
        <v>-4.8241505733771617E-2</v>
      </c>
    </row>
    <row r="3488" spans="6:7" x14ac:dyDescent="0.2">
      <c r="F3488" s="591">
        <v>3479</v>
      </c>
      <c r="G3488" s="420">
        <f t="shared" ca="1" si="62"/>
        <v>-8.9802954883672154E-2</v>
      </c>
    </row>
    <row r="3489" spans="6:7" x14ac:dyDescent="0.2">
      <c r="F3489" s="591">
        <v>3480</v>
      </c>
      <c r="G3489" s="420">
        <f t="shared" ca="1" si="62"/>
        <v>7.1662218471441941E-2</v>
      </c>
    </row>
    <row r="3490" spans="6:7" x14ac:dyDescent="0.2">
      <c r="F3490" s="591">
        <v>3481</v>
      </c>
      <c r="G3490" s="420">
        <f t="shared" ca="1" si="62"/>
        <v>4.0378520654000716E-2</v>
      </c>
    </row>
    <row r="3491" spans="6:7" x14ac:dyDescent="0.2">
      <c r="F3491" s="591">
        <v>3482</v>
      </c>
      <c r="G3491" s="420">
        <f t="shared" ca="1" si="62"/>
        <v>-5.0999413973305679E-2</v>
      </c>
    </row>
    <row r="3492" spans="6:7" x14ac:dyDescent="0.2">
      <c r="F3492" s="591">
        <v>3483</v>
      </c>
      <c r="G3492" s="420">
        <f t="shared" ca="1" si="62"/>
        <v>-3.8238424543948352E-2</v>
      </c>
    </row>
    <row r="3493" spans="6:7" x14ac:dyDescent="0.2">
      <c r="F3493" s="591">
        <v>3484</v>
      </c>
      <c r="G3493" s="420">
        <f t="shared" ca="1" si="62"/>
        <v>-6.5231067681504731E-2</v>
      </c>
    </row>
    <row r="3494" spans="6:7" x14ac:dyDescent="0.2">
      <c r="F3494" s="591">
        <v>3485</v>
      </c>
      <c r="G3494" s="420">
        <f t="shared" ca="1" si="62"/>
        <v>5.9239780893613592E-2</v>
      </c>
    </row>
    <row r="3495" spans="6:7" x14ac:dyDescent="0.2">
      <c r="F3495" s="591">
        <v>3486</v>
      </c>
      <c r="G3495" s="420">
        <f t="shared" ca="1" si="62"/>
        <v>-6.3200500025901135E-2</v>
      </c>
    </row>
    <row r="3496" spans="6:7" x14ac:dyDescent="0.2">
      <c r="F3496" s="591">
        <v>3487</v>
      </c>
      <c r="G3496" s="420">
        <f t="shared" ca="1" si="62"/>
        <v>3.2594202424013161E-2</v>
      </c>
    </row>
    <row r="3497" spans="6:7" x14ac:dyDescent="0.2">
      <c r="F3497" s="591">
        <v>3488</v>
      </c>
      <c r="G3497" s="420">
        <f t="shared" ca="1" si="62"/>
        <v>0.12308153882710281</v>
      </c>
    </row>
    <row r="3498" spans="6:7" x14ac:dyDescent="0.2">
      <c r="F3498" s="591">
        <v>3489</v>
      </c>
      <c r="G3498" s="420">
        <f t="shared" ca="1" si="62"/>
        <v>6.5544625168301174E-2</v>
      </c>
    </row>
    <row r="3499" spans="6:7" x14ac:dyDescent="0.2">
      <c r="F3499" s="591">
        <v>3490</v>
      </c>
      <c r="G3499" s="420">
        <f t="shared" ca="1" si="62"/>
        <v>7.1156878388358866E-2</v>
      </c>
    </row>
    <row r="3500" spans="6:7" x14ac:dyDescent="0.2">
      <c r="F3500" s="591">
        <v>3491</v>
      </c>
      <c r="G3500" s="420">
        <f t="shared" ca="1" si="62"/>
        <v>0.15517254338246583</v>
      </c>
    </row>
    <row r="3501" spans="6:7" x14ac:dyDescent="0.2">
      <c r="F3501" s="591">
        <v>3492</v>
      </c>
      <c r="G3501" s="420">
        <f t="shared" ca="1" si="62"/>
        <v>-6.0272335515503456E-2</v>
      </c>
    </row>
    <row r="3502" spans="6:7" x14ac:dyDescent="0.2">
      <c r="F3502" s="591">
        <v>3493</v>
      </c>
      <c r="G3502" s="420">
        <f t="shared" ca="1" si="62"/>
        <v>-6.1436809043395657E-2</v>
      </c>
    </row>
    <row r="3503" spans="6:7" x14ac:dyDescent="0.2">
      <c r="F3503" s="591">
        <v>3494</v>
      </c>
      <c r="G3503" s="420">
        <f t="shared" ca="1" si="62"/>
        <v>-9.7279312851560676E-3</v>
      </c>
    </row>
    <row r="3504" spans="6:7" x14ac:dyDescent="0.2">
      <c r="F3504" s="591">
        <v>3495</v>
      </c>
      <c r="G3504" s="420">
        <f t="shared" ca="1" si="62"/>
        <v>5.2290975137793225E-2</v>
      </c>
    </row>
    <row r="3505" spans="6:7" x14ac:dyDescent="0.2">
      <c r="F3505" s="591">
        <v>3496</v>
      </c>
      <c r="G3505" s="420">
        <f t="shared" ca="1" si="62"/>
        <v>1.4730835740735715E-2</v>
      </c>
    </row>
    <row r="3506" spans="6:7" x14ac:dyDescent="0.2">
      <c r="F3506" s="591">
        <v>3497</v>
      </c>
      <c r="G3506" s="420">
        <f t="shared" ca="1" si="62"/>
        <v>-3.9216049413619253E-2</v>
      </c>
    </row>
    <row r="3507" spans="6:7" x14ac:dyDescent="0.2">
      <c r="F3507" s="591">
        <v>3498</v>
      </c>
      <c r="G3507" s="420">
        <f t="shared" ca="1" si="62"/>
        <v>9.9612743142786717E-2</v>
      </c>
    </row>
    <row r="3508" spans="6:7" x14ac:dyDescent="0.2">
      <c r="F3508" s="591">
        <v>3499</v>
      </c>
      <c r="G3508" s="420">
        <f t="shared" ca="1" si="62"/>
        <v>5.6313993282009769E-2</v>
      </c>
    </row>
    <row r="3509" spans="6:7" x14ac:dyDescent="0.2">
      <c r="F3509" s="591">
        <v>3500</v>
      </c>
      <c r="G3509" s="420">
        <f t="shared" ca="1" si="62"/>
        <v>9.189946708270795E-2</v>
      </c>
    </row>
    <row r="3510" spans="6:7" x14ac:dyDescent="0.2">
      <c r="F3510" s="591">
        <v>3501</v>
      </c>
      <c r="G3510" s="420">
        <f t="shared" ca="1" si="62"/>
        <v>-8.2653192855154989E-2</v>
      </c>
    </row>
    <row r="3511" spans="6:7" x14ac:dyDescent="0.2">
      <c r="F3511" s="591">
        <v>3502</v>
      </c>
      <c r="G3511" s="420">
        <f t="shared" ca="1" si="62"/>
        <v>2.1966017054950025E-2</v>
      </c>
    </row>
    <row r="3512" spans="6:7" x14ac:dyDescent="0.2">
      <c r="F3512" s="591">
        <v>3503</v>
      </c>
      <c r="G3512" s="420">
        <f t="shared" ca="1" si="62"/>
        <v>5.2905969453658386E-2</v>
      </c>
    </row>
    <row r="3513" spans="6:7" x14ac:dyDescent="0.2">
      <c r="F3513" s="591">
        <v>3504</v>
      </c>
      <c r="G3513" s="420">
        <f t="shared" ca="1" si="62"/>
        <v>-6.0137288800677549E-2</v>
      </c>
    </row>
    <row r="3514" spans="6:7" x14ac:dyDescent="0.2">
      <c r="F3514" s="591">
        <v>3505</v>
      </c>
      <c r="G3514" s="420">
        <f t="shared" ca="1" si="62"/>
        <v>-0.17439586924645531</v>
      </c>
    </row>
    <row r="3515" spans="6:7" x14ac:dyDescent="0.2">
      <c r="F3515" s="591">
        <v>3506</v>
      </c>
      <c r="G3515" s="420">
        <f t="shared" ca="1" si="62"/>
        <v>-0.10610807194200408</v>
      </c>
    </row>
    <row r="3516" spans="6:7" x14ac:dyDescent="0.2">
      <c r="F3516" s="591">
        <v>3507</v>
      </c>
      <c r="G3516" s="420">
        <f t="shared" ca="1" si="62"/>
        <v>1.6293669068508737E-2</v>
      </c>
    </row>
    <row r="3517" spans="6:7" x14ac:dyDescent="0.2">
      <c r="F3517" s="591">
        <v>3508</v>
      </c>
      <c r="G3517" s="420">
        <f t="shared" ca="1" si="62"/>
        <v>3.0425924364748402E-2</v>
      </c>
    </row>
    <row r="3518" spans="6:7" x14ac:dyDescent="0.2">
      <c r="F3518" s="591">
        <v>3509</v>
      </c>
      <c r="G3518" s="420">
        <f t="shared" ca="1" si="62"/>
        <v>0.13364769537758289</v>
      </c>
    </row>
    <row r="3519" spans="6:7" x14ac:dyDescent="0.2">
      <c r="F3519" s="591">
        <v>3510</v>
      </c>
      <c r="G3519" s="420">
        <f t="shared" ca="1" si="62"/>
        <v>7.5275179456960897E-2</v>
      </c>
    </row>
    <row r="3520" spans="6:7" x14ac:dyDescent="0.2">
      <c r="F3520" s="591">
        <v>3511</v>
      </c>
      <c r="G3520" s="420">
        <f t="shared" ca="1" si="62"/>
        <v>1.9587058855879365E-2</v>
      </c>
    </row>
    <row r="3521" spans="6:7" x14ac:dyDescent="0.2">
      <c r="F3521" s="591">
        <v>3512</v>
      </c>
      <c r="G3521" s="420">
        <f t="shared" ca="1" si="62"/>
        <v>2.6550677646248258E-2</v>
      </c>
    </row>
    <row r="3522" spans="6:7" x14ac:dyDescent="0.2">
      <c r="F3522" s="591">
        <v>3513</v>
      </c>
      <c r="G3522" s="420">
        <f t="shared" ca="1" si="62"/>
        <v>-9.3075008098309167E-2</v>
      </c>
    </row>
    <row r="3523" spans="6:7" x14ac:dyDescent="0.2">
      <c r="F3523" s="591">
        <v>3514</v>
      </c>
      <c r="G3523" s="420">
        <f t="shared" ca="1" si="62"/>
        <v>2.935845352855497E-2</v>
      </c>
    </row>
    <row r="3524" spans="6:7" x14ac:dyDescent="0.2">
      <c r="F3524" s="591">
        <v>3515</v>
      </c>
      <c r="G3524" s="420">
        <f t="shared" ca="1" si="62"/>
        <v>3.1943535358349671E-3</v>
      </c>
    </row>
    <row r="3525" spans="6:7" x14ac:dyDescent="0.2">
      <c r="F3525" s="591">
        <v>3516</v>
      </c>
      <c r="G3525" s="420">
        <f t="shared" ca="1" si="62"/>
        <v>6.0171490499111135E-2</v>
      </c>
    </row>
    <row r="3526" spans="6:7" x14ac:dyDescent="0.2">
      <c r="F3526" s="591">
        <v>3517</v>
      </c>
      <c r="G3526" s="420">
        <f t="shared" ca="1" si="62"/>
        <v>2.6070586247000808E-2</v>
      </c>
    </row>
    <row r="3527" spans="6:7" x14ac:dyDescent="0.2">
      <c r="F3527" s="591">
        <v>3518</v>
      </c>
      <c r="G3527" s="420">
        <f t="shared" ca="1" si="62"/>
        <v>0.10559689400932985</v>
      </c>
    </row>
    <row r="3528" spans="6:7" x14ac:dyDescent="0.2">
      <c r="F3528" s="591">
        <v>3519</v>
      </c>
      <c r="G3528" s="420">
        <f t="shared" ca="1" si="62"/>
        <v>7.0476939068846112E-2</v>
      </c>
    </row>
    <row r="3529" spans="6:7" x14ac:dyDescent="0.2">
      <c r="F3529" s="591">
        <v>3520</v>
      </c>
      <c r="G3529" s="420">
        <f t="shared" ca="1" si="62"/>
        <v>5.952102896887114E-3</v>
      </c>
    </row>
    <row r="3530" spans="6:7" x14ac:dyDescent="0.2">
      <c r="F3530" s="591">
        <v>3521</v>
      </c>
      <c r="G3530" s="420">
        <f t="shared" ca="1" si="62"/>
        <v>4.9383169032344382E-2</v>
      </c>
    </row>
    <row r="3531" spans="6:7" x14ac:dyDescent="0.2">
      <c r="F3531" s="591">
        <v>3522</v>
      </c>
      <c r="G3531" s="420">
        <f t="shared" ref="G3531:G3594" ca="1" si="63">_xlfn.NORM.INV(RAND(), $M$11,$M$12)</f>
        <v>1.891182648332454E-2</v>
      </c>
    </row>
    <row r="3532" spans="6:7" x14ac:dyDescent="0.2">
      <c r="F3532" s="591">
        <v>3523</v>
      </c>
      <c r="G3532" s="420">
        <f t="shared" ca="1" si="63"/>
        <v>-8.2094195169143333E-2</v>
      </c>
    </row>
    <row r="3533" spans="6:7" x14ac:dyDescent="0.2">
      <c r="F3533" s="591">
        <v>3524</v>
      </c>
      <c r="G3533" s="420">
        <f t="shared" ca="1" si="63"/>
        <v>-3.7365807202535239E-2</v>
      </c>
    </row>
    <row r="3534" spans="6:7" x14ac:dyDescent="0.2">
      <c r="F3534" s="591">
        <v>3525</v>
      </c>
      <c r="G3534" s="420">
        <f t="shared" ca="1" si="63"/>
        <v>0.15300643650132595</v>
      </c>
    </row>
    <row r="3535" spans="6:7" x14ac:dyDescent="0.2">
      <c r="F3535" s="591">
        <v>3526</v>
      </c>
      <c r="G3535" s="420">
        <f t="shared" ca="1" si="63"/>
        <v>6.6672106727423464E-2</v>
      </c>
    </row>
    <row r="3536" spans="6:7" x14ac:dyDescent="0.2">
      <c r="F3536" s="591">
        <v>3527</v>
      </c>
      <c r="G3536" s="420">
        <f t="shared" ca="1" si="63"/>
        <v>3.1870291330342495E-3</v>
      </c>
    </row>
    <row r="3537" spans="6:7" x14ac:dyDescent="0.2">
      <c r="F3537" s="591">
        <v>3528</v>
      </c>
      <c r="G3537" s="420">
        <f t="shared" ca="1" si="63"/>
        <v>-2.0296476285962765E-2</v>
      </c>
    </row>
    <row r="3538" spans="6:7" x14ac:dyDescent="0.2">
      <c r="F3538" s="591">
        <v>3529</v>
      </c>
      <c r="G3538" s="420">
        <f t="shared" ca="1" si="63"/>
        <v>-5.2774463385212467E-2</v>
      </c>
    </row>
    <row r="3539" spans="6:7" x14ac:dyDescent="0.2">
      <c r="F3539" s="591">
        <v>3530</v>
      </c>
      <c r="G3539" s="420">
        <f t="shared" ca="1" si="63"/>
        <v>-4.4194398031220924E-2</v>
      </c>
    </row>
    <row r="3540" spans="6:7" x14ac:dyDescent="0.2">
      <c r="F3540" s="591">
        <v>3531</v>
      </c>
      <c r="G3540" s="420">
        <f t="shared" ca="1" si="63"/>
        <v>4.7909866363066739E-2</v>
      </c>
    </row>
    <row r="3541" spans="6:7" x14ac:dyDescent="0.2">
      <c r="F3541" s="591">
        <v>3532</v>
      </c>
      <c r="G3541" s="420">
        <f t="shared" ca="1" si="63"/>
        <v>8.8676972292352774E-2</v>
      </c>
    </row>
    <row r="3542" spans="6:7" x14ac:dyDescent="0.2">
      <c r="F3542" s="591">
        <v>3533</v>
      </c>
      <c r="G3542" s="420">
        <f t="shared" ca="1" si="63"/>
        <v>5.9229822086640464E-3</v>
      </c>
    </row>
    <row r="3543" spans="6:7" x14ac:dyDescent="0.2">
      <c r="F3543" s="591">
        <v>3534</v>
      </c>
      <c r="G3543" s="420">
        <f t="shared" ca="1" si="63"/>
        <v>-3.8960497727714663E-2</v>
      </c>
    </row>
    <row r="3544" spans="6:7" x14ac:dyDescent="0.2">
      <c r="F3544" s="591">
        <v>3535</v>
      </c>
      <c r="G3544" s="420">
        <f t="shared" ca="1" si="63"/>
        <v>7.9207362955939827E-3</v>
      </c>
    </row>
    <row r="3545" spans="6:7" x14ac:dyDescent="0.2">
      <c r="F3545" s="591">
        <v>3536</v>
      </c>
      <c r="G3545" s="420">
        <f t="shared" ca="1" si="63"/>
        <v>0.13986135854822543</v>
      </c>
    </row>
    <row r="3546" spans="6:7" x14ac:dyDescent="0.2">
      <c r="F3546" s="591">
        <v>3537</v>
      </c>
      <c r="G3546" s="420">
        <f t="shared" ca="1" si="63"/>
        <v>4.2609101909716798E-2</v>
      </c>
    </row>
    <row r="3547" spans="6:7" x14ac:dyDescent="0.2">
      <c r="F3547" s="591">
        <v>3538</v>
      </c>
      <c r="G3547" s="420">
        <f t="shared" ca="1" si="63"/>
        <v>8.4456799463273169E-2</v>
      </c>
    </row>
    <row r="3548" spans="6:7" x14ac:dyDescent="0.2">
      <c r="F3548" s="591">
        <v>3539</v>
      </c>
      <c r="G3548" s="420">
        <f t="shared" ca="1" si="63"/>
        <v>-3.936524678791109E-2</v>
      </c>
    </row>
    <row r="3549" spans="6:7" x14ac:dyDescent="0.2">
      <c r="F3549" s="591">
        <v>3540</v>
      </c>
      <c r="G3549" s="420">
        <f t="shared" ca="1" si="63"/>
        <v>-8.2689883795809216E-2</v>
      </c>
    </row>
    <row r="3550" spans="6:7" x14ac:dyDescent="0.2">
      <c r="F3550" s="591">
        <v>3541</v>
      </c>
      <c r="G3550" s="420">
        <f t="shared" ca="1" si="63"/>
        <v>-1.9207018324871337E-2</v>
      </c>
    </row>
    <row r="3551" spans="6:7" x14ac:dyDescent="0.2">
      <c r="F3551" s="591">
        <v>3542</v>
      </c>
      <c r="G3551" s="420">
        <f t="shared" ca="1" si="63"/>
        <v>8.5046166179493538E-2</v>
      </c>
    </row>
    <row r="3552" spans="6:7" x14ac:dyDescent="0.2">
      <c r="F3552" s="591">
        <v>3543</v>
      </c>
      <c r="G3552" s="420">
        <f t="shared" ca="1" si="63"/>
        <v>8.7062619206588088E-2</v>
      </c>
    </row>
    <row r="3553" spans="6:7" x14ac:dyDescent="0.2">
      <c r="F3553" s="591">
        <v>3544</v>
      </c>
      <c r="G3553" s="420">
        <f t="shared" ca="1" si="63"/>
        <v>2.2483145961462402E-2</v>
      </c>
    </row>
    <row r="3554" spans="6:7" x14ac:dyDescent="0.2">
      <c r="F3554" s="591">
        <v>3545</v>
      </c>
      <c r="G3554" s="420">
        <f t="shared" ca="1" si="63"/>
        <v>5.5302040015961923E-2</v>
      </c>
    </row>
    <row r="3555" spans="6:7" x14ac:dyDescent="0.2">
      <c r="F3555" s="591">
        <v>3546</v>
      </c>
      <c r="G3555" s="420">
        <f t="shared" ca="1" si="63"/>
        <v>1.1267156048303622E-2</v>
      </c>
    </row>
    <row r="3556" spans="6:7" x14ac:dyDescent="0.2">
      <c r="F3556" s="591">
        <v>3547</v>
      </c>
      <c r="G3556" s="420">
        <f t="shared" ca="1" si="63"/>
        <v>-7.0087235284699748E-2</v>
      </c>
    </row>
    <row r="3557" spans="6:7" x14ac:dyDescent="0.2">
      <c r="F3557" s="591">
        <v>3548</v>
      </c>
      <c r="G3557" s="420">
        <f t="shared" ca="1" si="63"/>
        <v>-9.4777852022747328E-2</v>
      </c>
    </row>
    <row r="3558" spans="6:7" x14ac:dyDescent="0.2">
      <c r="F3558" s="591">
        <v>3549</v>
      </c>
      <c r="G3558" s="420">
        <f t="shared" ca="1" si="63"/>
        <v>7.9464921980908501E-2</v>
      </c>
    </row>
    <row r="3559" spans="6:7" x14ac:dyDescent="0.2">
      <c r="F3559" s="591">
        <v>3550</v>
      </c>
      <c r="G3559" s="420">
        <f t="shared" ca="1" si="63"/>
        <v>-0.10236716136065695</v>
      </c>
    </row>
    <row r="3560" spans="6:7" x14ac:dyDescent="0.2">
      <c r="F3560" s="591">
        <v>3551</v>
      </c>
      <c r="G3560" s="420">
        <f t="shared" ca="1" si="63"/>
        <v>4.6380272196999469E-3</v>
      </c>
    </row>
    <row r="3561" spans="6:7" x14ac:dyDescent="0.2">
      <c r="F3561" s="591">
        <v>3552</v>
      </c>
      <c r="G3561" s="420">
        <f t="shared" ca="1" si="63"/>
        <v>7.7436333222729345E-2</v>
      </c>
    </row>
    <row r="3562" spans="6:7" x14ac:dyDescent="0.2">
      <c r="F3562" s="591">
        <v>3553</v>
      </c>
      <c r="G3562" s="420">
        <f t="shared" ca="1" si="63"/>
        <v>1.1997595326334442E-3</v>
      </c>
    </row>
    <row r="3563" spans="6:7" x14ac:dyDescent="0.2">
      <c r="F3563" s="591">
        <v>3554</v>
      </c>
      <c r="G3563" s="420">
        <f t="shared" ca="1" si="63"/>
        <v>-1.6275143883887795E-3</v>
      </c>
    </row>
    <row r="3564" spans="6:7" x14ac:dyDescent="0.2">
      <c r="F3564" s="591">
        <v>3555</v>
      </c>
      <c r="G3564" s="420">
        <f t="shared" ca="1" si="63"/>
        <v>0.1036226900321717</v>
      </c>
    </row>
    <row r="3565" spans="6:7" x14ac:dyDescent="0.2">
      <c r="F3565" s="591">
        <v>3556</v>
      </c>
      <c r="G3565" s="420">
        <f t="shared" ca="1" si="63"/>
        <v>-0.12858872295148324</v>
      </c>
    </row>
    <row r="3566" spans="6:7" x14ac:dyDescent="0.2">
      <c r="F3566" s="591">
        <v>3557</v>
      </c>
      <c r="G3566" s="420">
        <f t="shared" ca="1" si="63"/>
        <v>3.7047384987160509E-2</v>
      </c>
    </row>
    <row r="3567" spans="6:7" x14ac:dyDescent="0.2">
      <c r="F3567" s="591">
        <v>3558</v>
      </c>
      <c r="G3567" s="420">
        <f t="shared" ca="1" si="63"/>
        <v>0.13258614823553358</v>
      </c>
    </row>
    <row r="3568" spans="6:7" x14ac:dyDescent="0.2">
      <c r="F3568" s="591">
        <v>3559</v>
      </c>
      <c r="G3568" s="420">
        <f t="shared" ca="1" si="63"/>
        <v>2.0548244148522861E-2</v>
      </c>
    </row>
    <row r="3569" spans="6:7" x14ac:dyDescent="0.2">
      <c r="F3569" s="591">
        <v>3560</v>
      </c>
      <c r="G3569" s="420">
        <f t="shared" ca="1" si="63"/>
        <v>0.15958487196777971</v>
      </c>
    </row>
    <row r="3570" spans="6:7" x14ac:dyDescent="0.2">
      <c r="F3570" s="591">
        <v>3561</v>
      </c>
      <c r="G3570" s="420">
        <f t="shared" ca="1" si="63"/>
        <v>8.3612050032735696E-2</v>
      </c>
    </row>
    <row r="3571" spans="6:7" x14ac:dyDescent="0.2">
      <c r="F3571" s="591">
        <v>3562</v>
      </c>
      <c r="G3571" s="420">
        <f t="shared" ca="1" si="63"/>
        <v>4.8539677043874227E-2</v>
      </c>
    </row>
    <row r="3572" spans="6:7" x14ac:dyDescent="0.2">
      <c r="F3572" s="591">
        <v>3563</v>
      </c>
      <c r="G3572" s="420">
        <f t="shared" ca="1" si="63"/>
        <v>-2.7127236358367997E-2</v>
      </c>
    </row>
    <row r="3573" spans="6:7" x14ac:dyDescent="0.2">
      <c r="F3573" s="591">
        <v>3564</v>
      </c>
      <c r="G3573" s="420">
        <f t="shared" ca="1" si="63"/>
        <v>7.8751114688220217E-3</v>
      </c>
    </row>
    <row r="3574" spans="6:7" x14ac:dyDescent="0.2">
      <c r="F3574" s="591">
        <v>3565</v>
      </c>
      <c r="G3574" s="420">
        <f t="shared" ca="1" si="63"/>
        <v>-6.7864766095995607E-2</v>
      </c>
    </row>
    <row r="3575" spans="6:7" x14ac:dyDescent="0.2">
      <c r="F3575" s="591">
        <v>3566</v>
      </c>
      <c r="G3575" s="420">
        <f t="shared" ca="1" si="63"/>
        <v>-1.3871899744984317E-2</v>
      </c>
    </row>
    <row r="3576" spans="6:7" x14ac:dyDescent="0.2">
      <c r="F3576" s="591">
        <v>3567</v>
      </c>
      <c r="G3576" s="420">
        <f t="shared" ca="1" si="63"/>
        <v>5.7113904909075586E-2</v>
      </c>
    </row>
    <row r="3577" spans="6:7" x14ac:dyDescent="0.2">
      <c r="F3577" s="591">
        <v>3568</v>
      </c>
      <c r="G3577" s="420">
        <f t="shared" ca="1" si="63"/>
        <v>0.21263828667102924</v>
      </c>
    </row>
    <row r="3578" spans="6:7" x14ac:dyDescent="0.2">
      <c r="F3578" s="591">
        <v>3569</v>
      </c>
      <c r="G3578" s="420">
        <f t="shared" ca="1" si="63"/>
        <v>7.2757465051889667E-2</v>
      </c>
    </row>
    <row r="3579" spans="6:7" x14ac:dyDescent="0.2">
      <c r="F3579" s="591">
        <v>3570</v>
      </c>
      <c r="G3579" s="420">
        <f t="shared" ca="1" si="63"/>
        <v>0.16293696582873057</v>
      </c>
    </row>
    <row r="3580" spans="6:7" x14ac:dyDescent="0.2">
      <c r="F3580" s="591">
        <v>3571</v>
      </c>
      <c r="G3580" s="420">
        <f t="shared" ca="1" si="63"/>
        <v>2.9578146340212864E-2</v>
      </c>
    </row>
    <row r="3581" spans="6:7" x14ac:dyDescent="0.2">
      <c r="F3581" s="591">
        <v>3572</v>
      </c>
      <c r="G3581" s="420">
        <f t="shared" ca="1" si="63"/>
        <v>-2.3512389280732193E-2</v>
      </c>
    </row>
    <row r="3582" spans="6:7" x14ac:dyDescent="0.2">
      <c r="F3582" s="591">
        <v>3573</v>
      </c>
      <c r="G3582" s="420">
        <f t="shared" ca="1" si="63"/>
        <v>2.9543525902480678E-3</v>
      </c>
    </row>
    <row r="3583" spans="6:7" x14ac:dyDescent="0.2">
      <c r="F3583" s="591">
        <v>3574</v>
      </c>
      <c r="G3583" s="420">
        <f t="shared" ca="1" si="63"/>
        <v>1.4380243190097314E-3</v>
      </c>
    </row>
    <row r="3584" spans="6:7" x14ac:dyDescent="0.2">
      <c r="F3584" s="591">
        <v>3575</v>
      </c>
      <c r="G3584" s="420">
        <f t="shared" ca="1" si="63"/>
        <v>-3.0648695534603015E-2</v>
      </c>
    </row>
    <row r="3585" spans="6:7" x14ac:dyDescent="0.2">
      <c r="F3585" s="591">
        <v>3576</v>
      </c>
      <c r="G3585" s="420">
        <f t="shared" ca="1" si="63"/>
        <v>0.10708679120694617</v>
      </c>
    </row>
    <row r="3586" spans="6:7" x14ac:dyDescent="0.2">
      <c r="F3586" s="591">
        <v>3577</v>
      </c>
      <c r="G3586" s="420">
        <f t="shared" ca="1" si="63"/>
        <v>1.0804305504306352E-2</v>
      </c>
    </row>
    <row r="3587" spans="6:7" x14ac:dyDescent="0.2">
      <c r="F3587" s="591">
        <v>3578</v>
      </c>
      <c r="G3587" s="420">
        <f t="shared" ca="1" si="63"/>
        <v>-7.6849292185772501E-3</v>
      </c>
    </row>
    <row r="3588" spans="6:7" x14ac:dyDescent="0.2">
      <c r="F3588" s="591">
        <v>3579</v>
      </c>
      <c r="G3588" s="420">
        <f t="shared" ca="1" si="63"/>
        <v>-2.1946429248777075E-2</v>
      </c>
    </row>
    <row r="3589" spans="6:7" x14ac:dyDescent="0.2">
      <c r="F3589" s="591">
        <v>3580</v>
      </c>
      <c r="G3589" s="420">
        <f t="shared" ca="1" si="63"/>
        <v>-1.3839193326321379E-2</v>
      </c>
    </row>
    <row r="3590" spans="6:7" x14ac:dyDescent="0.2">
      <c r="F3590" s="591">
        <v>3581</v>
      </c>
      <c r="G3590" s="420">
        <f t="shared" ca="1" si="63"/>
        <v>-2.6607218991053092E-2</v>
      </c>
    </row>
    <row r="3591" spans="6:7" x14ac:dyDescent="0.2">
      <c r="F3591" s="591">
        <v>3582</v>
      </c>
      <c r="G3591" s="420">
        <f t="shared" ca="1" si="63"/>
        <v>-2.6829196042111852E-2</v>
      </c>
    </row>
    <row r="3592" spans="6:7" x14ac:dyDescent="0.2">
      <c r="F3592" s="591">
        <v>3583</v>
      </c>
      <c r="G3592" s="420">
        <f t="shared" ca="1" si="63"/>
        <v>5.6165518398453962E-2</v>
      </c>
    </row>
    <row r="3593" spans="6:7" x14ac:dyDescent="0.2">
      <c r="F3593" s="591">
        <v>3584</v>
      </c>
      <c r="G3593" s="420">
        <f t="shared" ca="1" si="63"/>
        <v>-1.3032532687474861E-2</v>
      </c>
    </row>
    <row r="3594" spans="6:7" x14ac:dyDescent="0.2">
      <c r="F3594" s="591">
        <v>3585</v>
      </c>
      <c r="G3594" s="420">
        <f t="shared" ca="1" si="63"/>
        <v>5.8867475217992848E-2</v>
      </c>
    </row>
    <row r="3595" spans="6:7" x14ac:dyDescent="0.2">
      <c r="F3595" s="591">
        <v>3586</v>
      </c>
      <c r="G3595" s="420">
        <f t="shared" ref="G3595:G3658" ca="1" si="64">_xlfn.NORM.INV(RAND(), $M$11,$M$12)</f>
        <v>6.9604490851711632E-3</v>
      </c>
    </row>
    <row r="3596" spans="6:7" x14ac:dyDescent="0.2">
      <c r="F3596" s="591">
        <v>3587</v>
      </c>
      <c r="G3596" s="420">
        <f t="shared" ca="1" si="64"/>
        <v>-0.14982954771174847</v>
      </c>
    </row>
    <row r="3597" spans="6:7" x14ac:dyDescent="0.2">
      <c r="F3597" s="591">
        <v>3588</v>
      </c>
      <c r="G3597" s="420">
        <f t="shared" ca="1" si="64"/>
        <v>2.5365093618659025E-2</v>
      </c>
    </row>
    <row r="3598" spans="6:7" x14ac:dyDescent="0.2">
      <c r="F3598" s="591">
        <v>3589</v>
      </c>
      <c r="G3598" s="420">
        <f t="shared" ca="1" si="64"/>
        <v>2.1608602423848502E-2</v>
      </c>
    </row>
    <row r="3599" spans="6:7" x14ac:dyDescent="0.2">
      <c r="F3599" s="591">
        <v>3590</v>
      </c>
      <c r="G3599" s="420">
        <f t="shared" ca="1" si="64"/>
        <v>1.3545593574465409E-2</v>
      </c>
    </row>
    <row r="3600" spans="6:7" x14ac:dyDescent="0.2">
      <c r="F3600" s="591">
        <v>3591</v>
      </c>
      <c r="G3600" s="420">
        <f t="shared" ca="1" si="64"/>
        <v>-5.2201952936391335E-2</v>
      </c>
    </row>
    <row r="3601" spans="6:7" x14ac:dyDescent="0.2">
      <c r="F3601" s="591">
        <v>3592</v>
      </c>
      <c r="G3601" s="420">
        <f t="shared" ca="1" si="64"/>
        <v>1.1320984618776743E-2</v>
      </c>
    </row>
    <row r="3602" spans="6:7" x14ac:dyDescent="0.2">
      <c r="F3602" s="591">
        <v>3593</v>
      </c>
      <c r="G3602" s="420">
        <f t="shared" ca="1" si="64"/>
        <v>-2.5587199702726483E-2</v>
      </c>
    </row>
    <row r="3603" spans="6:7" x14ac:dyDescent="0.2">
      <c r="F3603" s="591">
        <v>3594</v>
      </c>
      <c r="G3603" s="420">
        <f t="shared" ca="1" si="64"/>
        <v>-0.10625725375235996</v>
      </c>
    </row>
    <row r="3604" spans="6:7" x14ac:dyDescent="0.2">
      <c r="F3604" s="591">
        <v>3595</v>
      </c>
      <c r="G3604" s="420">
        <f t="shared" ca="1" si="64"/>
        <v>1.1415714076622598E-2</v>
      </c>
    </row>
    <row r="3605" spans="6:7" x14ac:dyDescent="0.2">
      <c r="F3605" s="591">
        <v>3596</v>
      </c>
      <c r="G3605" s="420">
        <f t="shared" ca="1" si="64"/>
        <v>-4.0419005928147275E-2</v>
      </c>
    </row>
    <row r="3606" spans="6:7" x14ac:dyDescent="0.2">
      <c r="F3606" s="591">
        <v>3597</v>
      </c>
      <c r="G3606" s="420">
        <f t="shared" ca="1" si="64"/>
        <v>-4.0844377347480532E-2</v>
      </c>
    </row>
    <row r="3607" spans="6:7" x14ac:dyDescent="0.2">
      <c r="F3607" s="591">
        <v>3598</v>
      </c>
      <c r="G3607" s="420">
        <f t="shared" ca="1" si="64"/>
        <v>4.9050688277986004E-2</v>
      </c>
    </row>
    <row r="3608" spans="6:7" x14ac:dyDescent="0.2">
      <c r="F3608" s="591">
        <v>3599</v>
      </c>
      <c r="G3608" s="420">
        <f t="shared" ca="1" si="64"/>
        <v>6.7779515928068634E-2</v>
      </c>
    </row>
    <row r="3609" spans="6:7" x14ac:dyDescent="0.2">
      <c r="F3609" s="591">
        <v>3600</v>
      </c>
      <c r="G3609" s="420">
        <f t="shared" ca="1" si="64"/>
        <v>-3.0970768152156176E-2</v>
      </c>
    </row>
    <row r="3610" spans="6:7" x14ac:dyDescent="0.2">
      <c r="F3610" s="591">
        <v>3601</v>
      </c>
      <c r="G3610" s="420">
        <f t="shared" ca="1" si="64"/>
        <v>7.6430821221210254E-2</v>
      </c>
    </row>
    <row r="3611" spans="6:7" x14ac:dyDescent="0.2">
      <c r="F3611" s="591">
        <v>3602</v>
      </c>
      <c r="G3611" s="420">
        <f t="shared" ca="1" si="64"/>
        <v>-0.13416609135202187</v>
      </c>
    </row>
    <row r="3612" spans="6:7" x14ac:dyDescent="0.2">
      <c r="F3612" s="591">
        <v>3603</v>
      </c>
      <c r="G3612" s="420">
        <f t="shared" ca="1" si="64"/>
        <v>-2.0264593236337395E-2</v>
      </c>
    </row>
    <row r="3613" spans="6:7" x14ac:dyDescent="0.2">
      <c r="F3613" s="591">
        <v>3604</v>
      </c>
      <c r="G3613" s="420">
        <f t="shared" ca="1" si="64"/>
        <v>0.10907299042251513</v>
      </c>
    </row>
    <row r="3614" spans="6:7" x14ac:dyDescent="0.2">
      <c r="F3614" s="591">
        <v>3605</v>
      </c>
      <c r="G3614" s="420">
        <f t="shared" ca="1" si="64"/>
        <v>-3.4834105031224277E-2</v>
      </c>
    </row>
    <row r="3615" spans="6:7" x14ac:dyDescent="0.2">
      <c r="F3615" s="591">
        <v>3606</v>
      </c>
      <c r="G3615" s="420">
        <f t="shared" ca="1" si="64"/>
        <v>-1.6056702152322452E-2</v>
      </c>
    </row>
    <row r="3616" spans="6:7" x14ac:dyDescent="0.2">
      <c r="F3616" s="591">
        <v>3607</v>
      </c>
      <c r="G3616" s="420">
        <f t="shared" ca="1" si="64"/>
        <v>3.4690008153691818E-2</v>
      </c>
    </row>
    <row r="3617" spans="6:7" x14ac:dyDescent="0.2">
      <c r="F3617" s="591">
        <v>3608</v>
      </c>
      <c r="G3617" s="420">
        <f t="shared" ca="1" si="64"/>
        <v>9.3161812737673294E-2</v>
      </c>
    </row>
    <row r="3618" spans="6:7" x14ac:dyDescent="0.2">
      <c r="F3618" s="591">
        <v>3609</v>
      </c>
      <c r="G3618" s="420">
        <f t="shared" ca="1" si="64"/>
        <v>5.9873458869225361E-3</v>
      </c>
    </row>
    <row r="3619" spans="6:7" x14ac:dyDescent="0.2">
      <c r="F3619" s="591">
        <v>3610</v>
      </c>
      <c r="G3619" s="420">
        <f t="shared" ca="1" si="64"/>
        <v>7.1324092070546227E-2</v>
      </c>
    </row>
    <row r="3620" spans="6:7" x14ac:dyDescent="0.2">
      <c r="F3620" s="591">
        <v>3611</v>
      </c>
      <c r="G3620" s="420">
        <f t="shared" ca="1" si="64"/>
        <v>0.10582354925397852</v>
      </c>
    </row>
    <row r="3621" spans="6:7" x14ac:dyDescent="0.2">
      <c r="F3621" s="591">
        <v>3612</v>
      </c>
      <c r="G3621" s="420">
        <f t="shared" ca="1" si="64"/>
        <v>-1.1968676944215433E-2</v>
      </c>
    </row>
    <row r="3622" spans="6:7" x14ac:dyDescent="0.2">
      <c r="F3622" s="591">
        <v>3613</v>
      </c>
      <c r="G3622" s="420">
        <f t="shared" ca="1" si="64"/>
        <v>2.7517341475710087E-2</v>
      </c>
    </row>
    <row r="3623" spans="6:7" x14ac:dyDescent="0.2">
      <c r="F3623" s="591">
        <v>3614</v>
      </c>
      <c r="G3623" s="420">
        <f t="shared" ca="1" si="64"/>
        <v>4.464229423344912E-2</v>
      </c>
    </row>
    <row r="3624" spans="6:7" x14ac:dyDescent="0.2">
      <c r="F3624" s="591">
        <v>3615</v>
      </c>
      <c r="G3624" s="420">
        <f t="shared" ca="1" si="64"/>
        <v>0.19060927178599635</v>
      </c>
    </row>
    <row r="3625" spans="6:7" x14ac:dyDescent="0.2">
      <c r="F3625" s="591">
        <v>3616</v>
      </c>
      <c r="G3625" s="420">
        <f t="shared" ca="1" si="64"/>
        <v>4.3585282090206123E-2</v>
      </c>
    </row>
    <row r="3626" spans="6:7" x14ac:dyDescent="0.2">
      <c r="F3626" s="591">
        <v>3617</v>
      </c>
      <c r="G3626" s="420">
        <f t="shared" ca="1" si="64"/>
        <v>-7.4957301505053989E-3</v>
      </c>
    </row>
    <row r="3627" spans="6:7" x14ac:dyDescent="0.2">
      <c r="F3627" s="591">
        <v>3618</v>
      </c>
      <c r="G3627" s="420">
        <f t="shared" ca="1" si="64"/>
        <v>-2.4337281860748159E-2</v>
      </c>
    </row>
    <row r="3628" spans="6:7" x14ac:dyDescent="0.2">
      <c r="F3628" s="591">
        <v>3619</v>
      </c>
      <c r="G3628" s="420">
        <f t="shared" ca="1" si="64"/>
        <v>-3.3323147514638024E-2</v>
      </c>
    </row>
    <row r="3629" spans="6:7" x14ac:dyDescent="0.2">
      <c r="F3629" s="591">
        <v>3620</v>
      </c>
      <c r="G3629" s="420">
        <f t="shared" ca="1" si="64"/>
        <v>7.6685508871506738E-3</v>
      </c>
    </row>
    <row r="3630" spans="6:7" x14ac:dyDescent="0.2">
      <c r="F3630" s="591">
        <v>3621</v>
      </c>
      <c r="G3630" s="420">
        <f t="shared" ca="1" si="64"/>
        <v>8.28868241189641E-2</v>
      </c>
    </row>
    <row r="3631" spans="6:7" x14ac:dyDescent="0.2">
      <c r="F3631" s="591">
        <v>3622</v>
      </c>
      <c r="G3631" s="420">
        <f t="shared" ca="1" si="64"/>
        <v>3.519145753260388E-2</v>
      </c>
    </row>
    <row r="3632" spans="6:7" x14ac:dyDescent="0.2">
      <c r="F3632" s="591">
        <v>3623</v>
      </c>
      <c r="G3632" s="420">
        <f t="shared" ca="1" si="64"/>
        <v>-5.1392501658524131E-2</v>
      </c>
    </row>
    <row r="3633" spans="6:7" x14ac:dyDescent="0.2">
      <c r="F3633" s="591">
        <v>3624</v>
      </c>
      <c r="G3633" s="420">
        <f t="shared" ca="1" si="64"/>
        <v>-2.1653459388231707E-2</v>
      </c>
    </row>
    <row r="3634" spans="6:7" x14ac:dyDescent="0.2">
      <c r="F3634" s="591">
        <v>3625</v>
      </c>
      <c r="G3634" s="420">
        <f t="shared" ca="1" si="64"/>
        <v>-1.8998308155248476E-2</v>
      </c>
    </row>
    <row r="3635" spans="6:7" x14ac:dyDescent="0.2">
      <c r="F3635" s="591">
        <v>3626</v>
      </c>
      <c r="G3635" s="420">
        <f t="shared" ca="1" si="64"/>
        <v>0.11768031351275184</v>
      </c>
    </row>
    <row r="3636" spans="6:7" x14ac:dyDescent="0.2">
      <c r="F3636" s="591">
        <v>3627</v>
      </c>
      <c r="G3636" s="420">
        <f t="shared" ca="1" si="64"/>
        <v>-6.269115140725319E-2</v>
      </c>
    </row>
    <row r="3637" spans="6:7" x14ac:dyDescent="0.2">
      <c r="F3637" s="591">
        <v>3628</v>
      </c>
      <c r="G3637" s="420">
        <f t="shared" ca="1" si="64"/>
        <v>-7.4828904944689523E-2</v>
      </c>
    </row>
    <row r="3638" spans="6:7" x14ac:dyDescent="0.2">
      <c r="F3638" s="591">
        <v>3629</v>
      </c>
      <c r="G3638" s="420">
        <f t="shared" ca="1" si="64"/>
        <v>-1.0206196281606225E-2</v>
      </c>
    </row>
    <row r="3639" spans="6:7" x14ac:dyDescent="0.2">
      <c r="F3639" s="591">
        <v>3630</v>
      </c>
      <c r="G3639" s="420">
        <f t="shared" ca="1" si="64"/>
        <v>-1.6069576432809481E-2</v>
      </c>
    </row>
    <row r="3640" spans="6:7" x14ac:dyDescent="0.2">
      <c r="F3640" s="591">
        <v>3631</v>
      </c>
      <c r="G3640" s="420">
        <f t="shared" ca="1" si="64"/>
        <v>0.10564733357563298</v>
      </c>
    </row>
    <row r="3641" spans="6:7" x14ac:dyDescent="0.2">
      <c r="F3641" s="591">
        <v>3632</v>
      </c>
      <c r="G3641" s="420">
        <f t="shared" ca="1" si="64"/>
        <v>-7.4890609895992069E-3</v>
      </c>
    </row>
    <row r="3642" spans="6:7" x14ac:dyDescent="0.2">
      <c r="F3642" s="591">
        <v>3633</v>
      </c>
      <c r="G3642" s="420">
        <f t="shared" ca="1" si="64"/>
        <v>-3.3774093303134745E-2</v>
      </c>
    </row>
    <row r="3643" spans="6:7" x14ac:dyDescent="0.2">
      <c r="F3643" s="591">
        <v>3634</v>
      </c>
      <c r="G3643" s="420">
        <f t="shared" ca="1" si="64"/>
        <v>6.3895798848609353E-2</v>
      </c>
    </row>
    <row r="3644" spans="6:7" x14ac:dyDescent="0.2">
      <c r="F3644" s="591">
        <v>3635</v>
      </c>
      <c r="G3644" s="420">
        <f t="shared" ca="1" si="64"/>
        <v>0.11629594770045927</v>
      </c>
    </row>
    <row r="3645" spans="6:7" x14ac:dyDescent="0.2">
      <c r="F3645" s="591">
        <v>3636</v>
      </c>
      <c r="G3645" s="420">
        <f t="shared" ca="1" si="64"/>
        <v>5.9026073859350658E-2</v>
      </c>
    </row>
    <row r="3646" spans="6:7" x14ac:dyDescent="0.2">
      <c r="F3646" s="591">
        <v>3637</v>
      </c>
      <c r="G3646" s="420">
        <f t="shared" ca="1" si="64"/>
        <v>-0.10041936542415086</v>
      </c>
    </row>
    <row r="3647" spans="6:7" x14ac:dyDescent="0.2">
      <c r="F3647" s="591">
        <v>3638</v>
      </c>
      <c r="G3647" s="420">
        <f t="shared" ca="1" si="64"/>
        <v>-6.1660159633211975E-2</v>
      </c>
    </row>
    <row r="3648" spans="6:7" x14ac:dyDescent="0.2">
      <c r="F3648" s="591">
        <v>3639</v>
      </c>
      <c r="G3648" s="420">
        <f t="shared" ca="1" si="64"/>
        <v>-2.8399082920449552E-2</v>
      </c>
    </row>
    <row r="3649" spans="6:7" x14ac:dyDescent="0.2">
      <c r="F3649" s="591">
        <v>3640</v>
      </c>
      <c r="G3649" s="420">
        <f t="shared" ca="1" si="64"/>
        <v>1.3747482362759364E-2</v>
      </c>
    </row>
    <row r="3650" spans="6:7" x14ac:dyDescent="0.2">
      <c r="F3650" s="591">
        <v>3641</v>
      </c>
      <c r="G3650" s="420">
        <f t="shared" ca="1" si="64"/>
        <v>2.0479664194680555E-2</v>
      </c>
    </row>
    <row r="3651" spans="6:7" x14ac:dyDescent="0.2">
      <c r="F3651" s="591">
        <v>3642</v>
      </c>
      <c r="G3651" s="420">
        <f t="shared" ca="1" si="64"/>
        <v>0.13196812600181834</v>
      </c>
    </row>
    <row r="3652" spans="6:7" x14ac:dyDescent="0.2">
      <c r="F3652" s="591">
        <v>3643</v>
      </c>
      <c r="G3652" s="420">
        <f t="shared" ca="1" si="64"/>
        <v>6.7028143095783838E-2</v>
      </c>
    </row>
    <row r="3653" spans="6:7" x14ac:dyDescent="0.2">
      <c r="F3653" s="591">
        <v>3644</v>
      </c>
      <c r="G3653" s="420">
        <f t="shared" ca="1" si="64"/>
        <v>0.109697863860207</v>
      </c>
    </row>
    <row r="3654" spans="6:7" x14ac:dyDescent="0.2">
      <c r="F3654" s="591">
        <v>3645</v>
      </c>
      <c r="G3654" s="420">
        <f t="shared" ca="1" si="64"/>
        <v>3.8653655292354365E-2</v>
      </c>
    </row>
    <row r="3655" spans="6:7" x14ac:dyDescent="0.2">
      <c r="F3655" s="591">
        <v>3646</v>
      </c>
      <c r="G3655" s="420">
        <f t="shared" ca="1" si="64"/>
        <v>-5.7166594602882828E-2</v>
      </c>
    </row>
    <row r="3656" spans="6:7" x14ac:dyDescent="0.2">
      <c r="F3656" s="591">
        <v>3647</v>
      </c>
      <c r="G3656" s="420">
        <f t="shared" ca="1" si="64"/>
        <v>2.6875754132542E-2</v>
      </c>
    </row>
    <row r="3657" spans="6:7" x14ac:dyDescent="0.2">
      <c r="F3657" s="591">
        <v>3648</v>
      </c>
      <c r="G3657" s="420">
        <f t="shared" ca="1" si="64"/>
        <v>4.4754734943183952E-2</v>
      </c>
    </row>
    <row r="3658" spans="6:7" x14ac:dyDescent="0.2">
      <c r="F3658" s="591">
        <v>3649</v>
      </c>
      <c r="G3658" s="420">
        <f t="shared" ca="1" si="64"/>
        <v>-6.0393031643288408E-2</v>
      </c>
    </row>
    <row r="3659" spans="6:7" x14ac:dyDescent="0.2">
      <c r="F3659" s="591">
        <v>3650</v>
      </c>
      <c r="G3659" s="420">
        <f t="shared" ref="G3659:G3722" ca="1" si="65">_xlfn.NORM.INV(RAND(), $M$11,$M$12)</f>
        <v>3.1370117302726916E-4</v>
      </c>
    </row>
    <row r="3660" spans="6:7" x14ac:dyDescent="0.2">
      <c r="F3660" s="591">
        <v>3651</v>
      </c>
      <c r="G3660" s="420">
        <f t="shared" ca="1" si="65"/>
        <v>0.10836296363644089</v>
      </c>
    </row>
    <row r="3661" spans="6:7" x14ac:dyDescent="0.2">
      <c r="F3661" s="591">
        <v>3652</v>
      </c>
      <c r="G3661" s="420">
        <f t="shared" ca="1" si="65"/>
        <v>-3.2139966949962837E-2</v>
      </c>
    </row>
    <row r="3662" spans="6:7" x14ac:dyDescent="0.2">
      <c r="F3662" s="591">
        <v>3653</v>
      </c>
      <c r="G3662" s="420">
        <f t="shared" ca="1" si="65"/>
        <v>4.0916272788207919E-2</v>
      </c>
    </row>
    <row r="3663" spans="6:7" x14ac:dyDescent="0.2">
      <c r="F3663" s="591">
        <v>3654</v>
      </c>
      <c r="G3663" s="420">
        <f t="shared" ca="1" si="65"/>
        <v>-4.0609789232777041E-2</v>
      </c>
    </row>
    <row r="3664" spans="6:7" x14ac:dyDescent="0.2">
      <c r="F3664" s="591">
        <v>3655</v>
      </c>
      <c r="G3664" s="420">
        <f t="shared" ca="1" si="65"/>
        <v>-1.0839364728573081E-2</v>
      </c>
    </row>
    <row r="3665" spans="6:7" x14ac:dyDescent="0.2">
      <c r="F3665" s="591">
        <v>3656</v>
      </c>
      <c r="G3665" s="420">
        <f t="shared" ca="1" si="65"/>
        <v>8.4875276527180576E-2</v>
      </c>
    </row>
    <row r="3666" spans="6:7" x14ac:dyDescent="0.2">
      <c r="F3666" s="591">
        <v>3657</v>
      </c>
      <c r="G3666" s="420">
        <f t="shared" ca="1" si="65"/>
        <v>-3.4689771664613872E-2</v>
      </c>
    </row>
    <row r="3667" spans="6:7" x14ac:dyDescent="0.2">
      <c r="F3667" s="591">
        <v>3658</v>
      </c>
      <c r="G3667" s="420">
        <f t="shared" ca="1" si="65"/>
        <v>6.6429859036826938E-2</v>
      </c>
    </row>
    <row r="3668" spans="6:7" x14ac:dyDescent="0.2">
      <c r="F3668" s="591">
        <v>3659</v>
      </c>
      <c r="G3668" s="420">
        <f t="shared" ca="1" si="65"/>
        <v>-0.1067374475631353</v>
      </c>
    </row>
    <row r="3669" spans="6:7" x14ac:dyDescent="0.2">
      <c r="F3669" s="591">
        <v>3660</v>
      </c>
      <c r="G3669" s="420">
        <f t="shared" ca="1" si="65"/>
        <v>0.11048326944962185</v>
      </c>
    </row>
    <row r="3670" spans="6:7" x14ac:dyDescent="0.2">
      <c r="F3670" s="591">
        <v>3661</v>
      </c>
      <c r="G3670" s="420">
        <f t="shared" ca="1" si="65"/>
        <v>-4.0160949774133745E-2</v>
      </c>
    </row>
    <row r="3671" spans="6:7" x14ac:dyDescent="0.2">
      <c r="F3671" s="591">
        <v>3662</v>
      </c>
      <c r="G3671" s="420">
        <f t="shared" ca="1" si="65"/>
        <v>-6.3659521607687897E-2</v>
      </c>
    </row>
    <row r="3672" spans="6:7" x14ac:dyDescent="0.2">
      <c r="F3672" s="591">
        <v>3663</v>
      </c>
      <c r="G3672" s="420">
        <f t="shared" ca="1" si="65"/>
        <v>-3.7992178053750606E-3</v>
      </c>
    </row>
    <row r="3673" spans="6:7" x14ac:dyDescent="0.2">
      <c r="F3673" s="591">
        <v>3664</v>
      </c>
      <c r="G3673" s="420">
        <f t="shared" ca="1" si="65"/>
        <v>2.5721496773204046E-2</v>
      </c>
    </row>
    <row r="3674" spans="6:7" x14ac:dyDescent="0.2">
      <c r="F3674" s="591">
        <v>3665</v>
      </c>
      <c r="G3674" s="420">
        <f t="shared" ca="1" si="65"/>
        <v>-4.1325999772318406E-2</v>
      </c>
    </row>
    <row r="3675" spans="6:7" x14ac:dyDescent="0.2">
      <c r="F3675" s="591">
        <v>3666</v>
      </c>
      <c r="G3675" s="420">
        <f t="shared" ca="1" si="65"/>
        <v>-4.8944064913282029E-2</v>
      </c>
    </row>
    <row r="3676" spans="6:7" x14ac:dyDescent="0.2">
      <c r="F3676" s="591">
        <v>3667</v>
      </c>
      <c r="G3676" s="420">
        <f t="shared" ca="1" si="65"/>
        <v>1.1070569218994165E-4</v>
      </c>
    </row>
    <row r="3677" spans="6:7" x14ac:dyDescent="0.2">
      <c r="F3677" s="591">
        <v>3668</v>
      </c>
      <c r="G3677" s="420">
        <f t="shared" ca="1" si="65"/>
        <v>-9.8513893309537914E-2</v>
      </c>
    </row>
    <row r="3678" spans="6:7" x14ac:dyDescent="0.2">
      <c r="F3678" s="591">
        <v>3669</v>
      </c>
      <c r="G3678" s="420">
        <f t="shared" ca="1" si="65"/>
        <v>-4.1975958137194611E-2</v>
      </c>
    </row>
    <row r="3679" spans="6:7" x14ac:dyDescent="0.2">
      <c r="F3679" s="591">
        <v>3670</v>
      </c>
      <c r="G3679" s="420">
        <f t="shared" ca="1" si="65"/>
        <v>-3.7736486960721377E-2</v>
      </c>
    </row>
    <row r="3680" spans="6:7" x14ac:dyDescent="0.2">
      <c r="F3680" s="591">
        <v>3671</v>
      </c>
      <c r="G3680" s="420">
        <f t="shared" ca="1" si="65"/>
        <v>-9.7903631183919836E-3</v>
      </c>
    </row>
    <row r="3681" spans="6:7" x14ac:dyDescent="0.2">
      <c r="F3681" s="591">
        <v>3672</v>
      </c>
      <c r="G3681" s="420">
        <f t="shared" ca="1" si="65"/>
        <v>-4.6119579553383985E-2</v>
      </c>
    </row>
    <row r="3682" spans="6:7" x14ac:dyDescent="0.2">
      <c r="F3682" s="591">
        <v>3673</v>
      </c>
      <c r="G3682" s="420">
        <f t="shared" ca="1" si="65"/>
        <v>4.9829772174044079E-2</v>
      </c>
    </row>
    <row r="3683" spans="6:7" x14ac:dyDescent="0.2">
      <c r="F3683" s="591">
        <v>3674</v>
      </c>
      <c r="G3683" s="420">
        <f t="shared" ca="1" si="65"/>
        <v>6.7752860784910399E-2</v>
      </c>
    </row>
    <row r="3684" spans="6:7" x14ac:dyDescent="0.2">
      <c r="F3684" s="591">
        <v>3675</v>
      </c>
      <c r="G3684" s="420">
        <f t="shared" ca="1" si="65"/>
        <v>8.5583246142855091E-2</v>
      </c>
    </row>
    <row r="3685" spans="6:7" x14ac:dyDescent="0.2">
      <c r="F3685" s="591">
        <v>3676</v>
      </c>
      <c r="G3685" s="420">
        <f t="shared" ca="1" si="65"/>
        <v>8.5155622937145348E-2</v>
      </c>
    </row>
    <row r="3686" spans="6:7" x14ac:dyDescent="0.2">
      <c r="F3686" s="591">
        <v>3677</v>
      </c>
      <c r="G3686" s="420">
        <f t="shared" ca="1" si="65"/>
        <v>5.3533582324473764E-2</v>
      </c>
    </row>
    <row r="3687" spans="6:7" x14ac:dyDescent="0.2">
      <c r="F3687" s="591">
        <v>3678</v>
      </c>
      <c r="G3687" s="420">
        <f t="shared" ca="1" si="65"/>
        <v>3.5938957141030028E-2</v>
      </c>
    </row>
    <row r="3688" spans="6:7" x14ac:dyDescent="0.2">
      <c r="F3688" s="591">
        <v>3679</v>
      </c>
      <c r="G3688" s="420">
        <f t="shared" ca="1" si="65"/>
        <v>9.2049293623077164E-2</v>
      </c>
    </row>
    <row r="3689" spans="6:7" x14ac:dyDescent="0.2">
      <c r="F3689" s="591">
        <v>3680</v>
      </c>
      <c r="G3689" s="420">
        <f t="shared" ca="1" si="65"/>
        <v>-2.0646555430285419E-2</v>
      </c>
    </row>
    <row r="3690" spans="6:7" x14ac:dyDescent="0.2">
      <c r="F3690" s="591">
        <v>3681</v>
      </c>
      <c r="G3690" s="420">
        <f t="shared" ca="1" si="65"/>
        <v>-6.3544805427337252E-4</v>
      </c>
    </row>
    <row r="3691" spans="6:7" x14ac:dyDescent="0.2">
      <c r="F3691" s="591">
        <v>3682</v>
      </c>
      <c r="G3691" s="420">
        <f t="shared" ca="1" si="65"/>
        <v>-0.10401482101552353</v>
      </c>
    </row>
    <row r="3692" spans="6:7" x14ac:dyDescent="0.2">
      <c r="F3692" s="591">
        <v>3683</v>
      </c>
      <c r="G3692" s="420">
        <f t="shared" ca="1" si="65"/>
        <v>-1.4364909624915618E-2</v>
      </c>
    </row>
    <row r="3693" spans="6:7" x14ac:dyDescent="0.2">
      <c r="F3693" s="591">
        <v>3684</v>
      </c>
      <c r="G3693" s="420">
        <f t="shared" ca="1" si="65"/>
        <v>0.13675247995722725</v>
      </c>
    </row>
    <row r="3694" spans="6:7" x14ac:dyDescent="0.2">
      <c r="F3694" s="591">
        <v>3685</v>
      </c>
      <c r="G3694" s="420">
        <f t="shared" ca="1" si="65"/>
        <v>-1.3960392270478475E-3</v>
      </c>
    </row>
    <row r="3695" spans="6:7" x14ac:dyDescent="0.2">
      <c r="F3695" s="591">
        <v>3686</v>
      </c>
      <c r="G3695" s="420">
        <f t="shared" ca="1" si="65"/>
        <v>5.14976668499262E-3</v>
      </c>
    </row>
    <row r="3696" spans="6:7" x14ac:dyDescent="0.2">
      <c r="F3696" s="591">
        <v>3687</v>
      </c>
      <c r="G3696" s="420">
        <f t="shared" ca="1" si="65"/>
        <v>-1.4058301415675843E-2</v>
      </c>
    </row>
    <row r="3697" spans="6:7" x14ac:dyDescent="0.2">
      <c r="F3697" s="591">
        <v>3688</v>
      </c>
      <c r="G3697" s="420">
        <f t="shared" ca="1" si="65"/>
        <v>-5.3939033986838344E-3</v>
      </c>
    </row>
    <row r="3698" spans="6:7" x14ac:dyDescent="0.2">
      <c r="F3698" s="591">
        <v>3689</v>
      </c>
      <c r="G3698" s="420">
        <f t="shared" ca="1" si="65"/>
        <v>-3.4677751509053598E-2</v>
      </c>
    </row>
    <row r="3699" spans="6:7" x14ac:dyDescent="0.2">
      <c r="F3699" s="591">
        <v>3690</v>
      </c>
      <c r="G3699" s="420">
        <f t="shared" ca="1" si="65"/>
        <v>-1.7111309767500561E-2</v>
      </c>
    </row>
    <row r="3700" spans="6:7" x14ac:dyDescent="0.2">
      <c r="F3700" s="591">
        <v>3691</v>
      </c>
      <c r="G3700" s="420">
        <f t="shared" ca="1" si="65"/>
        <v>4.8295262223134766E-2</v>
      </c>
    </row>
    <row r="3701" spans="6:7" x14ac:dyDescent="0.2">
      <c r="F3701" s="591">
        <v>3692</v>
      </c>
      <c r="G3701" s="420">
        <f t="shared" ca="1" si="65"/>
        <v>9.763089189966373E-2</v>
      </c>
    </row>
    <row r="3702" spans="6:7" x14ac:dyDescent="0.2">
      <c r="F3702" s="591">
        <v>3693</v>
      </c>
      <c r="G3702" s="420">
        <f t="shared" ca="1" si="65"/>
        <v>7.2902089397797118E-2</v>
      </c>
    </row>
    <row r="3703" spans="6:7" x14ac:dyDescent="0.2">
      <c r="F3703" s="591">
        <v>3694</v>
      </c>
      <c r="G3703" s="420">
        <f t="shared" ca="1" si="65"/>
        <v>-6.66120935899292E-2</v>
      </c>
    </row>
    <row r="3704" spans="6:7" x14ac:dyDescent="0.2">
      <c r="F3704" s="591">
        <v>3695</v>
      </c>
      <c r="G3704" s="420">
        <f t="shared" ca="1" si="65"/>
        <v>7.7456255447082886E-2</v>
      </c>
    </row>
    <row r="3705" spans="6:7" x14ac:dyDescent="0.2">
      <c r="F3705" s="591">
        <v>3696</v>
      </c>
      <c r="G3705" s="420">
        <f t="shared" ca="1" si="65"/>
        <v>4.1870869714052586E-2</v>
      </c>
    </row>
    <row r="3706" spans="6:7" x14ac:dyDescent="0.2">
      <c r="F3706" s="591">
        <v>3697</v>
      </c>
      <c r="G3706" s="420">
        <f t="shared" ca="1" si="65"/>
        <v>4.2072358215821018E-2</v>
      </c>
    </row>
    <row r="3707" spans="6:7" x14ac:dyDescent="0.2">
      <c r="F3707" s="591">
        <v>3698</v>
      </c>
      <c r="G3707" s="420">
        <f t="shared" ca="1" si="65"/>
        <v>6.0793935356957277E-2</v>
      </c>
    </row>
    <row r="3708" spans="6:7" x14ac:dyDescent="0.2">
      <c r="F3708" s="591">
        <v>3699</v>
      </c>
      <c r="G3708" s="420">
        <f t="shared" ca="1" si="65"/>
        <v>8.4867673343860233E-3</v>
      </c>
    </row>
    <row r="3709" spans="6:7" x14ac:dyDescent="0.2">
      <c r="F3709" s="591">
        <v>3700</v>
      </c>
      <c r="G3709" s="420">
        <f t="shared" ca="1" si="65"/>
        <v>2.7338669200429808E-4</v>
      </c>
    </row>
    <row r="3710" spans="6:7" x14ac:dyDescent="0.2">
      <c r="F3710" s="591">
        <v>3701</v>
      </c>
      <c r="G3710" s="420">
        <f t="shared" ca="1" si="65"/>
        <v>-5.6525308784892009E-3</v>
      </c>
    </row>
    <row r="3711" spans="6:7" x14ac:dyDescent="0.2">
      <c r="F3711" s="591">
        <v>3702</v>
      </c>
      <c r="G3711" s="420">
        <f t="shared" ca="1" si="65"/>
        <v>7.3139815797402197E-2</v>
      </c>
    </row>
    <row r="3712" spans="6:7" x14ac:dyDescent="0.2">
      <c r="F3712" s="591">
        <v>3703</v>
      </c>
      <c r="G3712" s="420">
        <f t="shared" ca="1" si="65"/>
        <v>1.3086168156555051E-2</v>
      </c>
    </row>
    <row r="3713" spans="6:7" x14ac:dyDescent="0.2">
      <c r="F3713" s="591">
        <v>3704</v>
      </c>
      <c r="G3713" s="420">
        <f t="shared" ca="1" si="65"/>
        <v>4.3401094201571802E-2</v>
      </c>
    </row>
    <row r="3714" spans="6:7" x14ac:dyDescent="0.2">
      <c r="F3714" s="591">
        <v>3705</v>
      </c>
      <c r="G3714" s="420">
        <f t="shared" ca="1" si="65"/>
        <v>-0.12550738955926402</v>
      </c>
    </row>
    <row r="3715" spans="6:7" x14ac:dyDescent="0.2">
      <c r="F3715" s="591">
        <v>3706</v>
      </c>
      <c r="G3715" s="420">
        <f t="shared" ca="1" si="65"/>
        <v>-2.0482825933733202E-2</v>
      </c>
    </row>
    <row r="3716" spans="6:7" x14ac:dyDescent="0.2">
      <c r="F3716" s="591">
        <v>3707</v>
      </c>
      <c r="G3716" s="420">
        <f t="shared" ca="1" si="65"/>
        <v>-4.5791429209808387E-2</v>
      </c>
    </row>
    <row r="3717" spans="6:7" x14ac:dyDescent="0.2">
      <c r="F3717" s="591">
        <v>3708</v>
      </c>
      <c r="G3717" s="420">
        <f t="shared" ca="1" si="65"/>
        <v>0.12088288490952789</v>
      </c>
    </row>
    <row r="3718" spans="6:7" x14ac:dyDescent="0.2">
      <c r="F3718" s="591">
        <v>3709</v>
      </c>
      <c r="G3718" s="420">
        <f t="shared" ca="1" si="65"/>
        <v>3.452287510952342E-2</v>
      </c>
    </row>
    <row r="3719" spans="6:7" x14ac:dyDescent="0.2">
      <c r="F3719" s="591">
        <v>3710</v>
      </c>
      <c r="G3719" s="420">
        <f t="shared" ca="1" si="65"/>
        <v>-1.9975953363210872E-2</v>
      </c>
    </row>
    <row r="3720" spans="6:7" x14ac:dyDescent="0.2">
      <c r="F3720" s="591">
        <v>3711</v>
      </c>
      <c r="G3720" s="420">
        <f t="shared" ca="1" si="65"/>
        <v>9.3707916566304519E-2</v>
      </c>
    </row>
    <row r="3721" spans="6:7" x14ac:dyDescent="0.2">
      <c r="F3721" s="591">
        <v>3712</v>
      </c>
      <c r="G3721" s="420">
        <f t="shared" ca="1" si="65"/>
        <v>-7.4750293405334803E-2</v>
      </c>
    </row>
    <row r="3722" spans="6:7" x14ac:dyDescent="0.2">
      <c r="F3722" s="591">
        <v>3713</v>
      </c>
      <c r="G3722" s="420">
        <f t="shared" ca="1" si="65"/>
        <v>2.5585052847740021E-2</v>
      </c>
    </row>
    <row r="3723" spans="6:7" x14ac:dyDescent="0.2">
      <c r="F3723" s="591">
        <v>3714</v>
      </c>
      <c r="G3723" s="420">
        <f t="shared" ref="G3723:G3786" ca="1" si="66">_xlfn.NORM.INV(RAND(), $M$11,$M$12)</f>
        <v>4.4279400684519757E-2</v>
      </c>
    </row>
    <row r="3724" spans="6:7" x14ac:dyDescent="0.2">
      <c r="F3724" s="591">
        <v>3715</v>
      </c>
      <c r="G3724" s="420">
        <f t="shared" ca="1" si="66"/>
        <v>-2.3537027185687082E-2</v>
      </c>
    </row>
    <row r="3725" spans="6:7" x14ac:dyDescent="0.2">
      <c r="F3725" s="591">
        <v>3716</v>
      </c>
      <c r="G3725" s="420">
        <f t="shared" ca="1" si="66"/>
        <v>8.4692869593039372E-2</v>
      </c>
    </row>
    <row r="3726" spans="6:7" x14ac:dyDescent="0.2">
      <c r="F3726" s="591">
        <v>3717</v>
      </c>
      <c r="G3726" s="420">
        <f t="shared" ca="1" si="66"/>
        <v>1.4555050519152396E-2</v>
      </c>
    </row>
    <row r="3727" spans="6:7" x14ac:dyDescent="0.2">
      <c r="F3727" s="591">
        <v>3718</v>
      </c>
      <c r="G3727" s="420">
        <f t="shared" ca="1" si="66"/>
        <v>0.10236457725244788</v>
      </c>
    </row>
    <row r="3728" spans="6:7" x14ac:dyDescent="0.2">
      <c r="F3728" s="591">
        <v>3719</v>
      </c>
      <c r="G3728" s="420">
        <f t="shared" ca="1" si="66"/>
        <v>7.0792237445456055E-2</v>
      </c>
    </row>
    <row r="3729" spans="6:7" x14ac:dyDescent="0.2">
      <c r="F3729" s="591">
        <v>3720</v>
      </c>
      <c r="G3729" s="420">
        <f t="shared" ca="1" si="66"/>
        <v>2.4025397606224685E-2</v>
      </c>
    </row>
    <row r="3730" spans="6:7" x14ac:dyDescent="0.2">
      <c r="F3730" s="591">
        <v>3721</v>
      </c>
      <c r="G3730" s="420">
        <f t="shared" ca="1" si="66"/>
        <v>-3.1996604388030828E-2</v>
      </c>
    </row>
    <row r="3731" spans="6:7" x14ac:dyDescent="0.2">
      <c r="F3731" s="591">
        <v>3722</v>
      </c>
      <c r="G3731" s="420">
        <f t="shared" ca="1" si="66"/>
        <v>-1.2423632462333873E-2</v>
      </c>
    </row>
    <row r="3732" spans="6:7" x14ac:dyDescent="0.2">
      <c r="F3732" s="591">
        <v>3723</v>
      </c>
      <c r="G3732" s="420">
        <f t="shared" ca="1" si="66"/>
        <v>-2.3116476439718255E-3</v>
      </c>
    </row>
    <row r="3733" spans="6:7" x14ac:dyDescent="0.2">
      <c r="F3733" s="591">
        <v>3724</v>
      </c>
      <c r="G3733" s="420">
        <f t="shared" ca="1" si="66"/>
        <v>3.1945924151560619E-3</v>
      </c>
    </row>
    <row r="3734" spans="6:7" x14ac:dyDescent="0.2">
      <c r="F3734" s="591">
        <v>3725</v>
      </c>
      <c r="G3734" s="420">
        <f t="shared" ca="1" si="66"/>
        <v>-5.4235680411345855E-2</v>
      </c>
    </row>
    <row r="3735" spans="6:7" x14ac:dyDescent="0.2">
      <c r="F3735" s="591">
        <v>3726</v>
      </c>
      <c r="G3735" s="420">
        <f t="shared" ca="1" si="66"/>
        <v>4.2038064079482707E-3</v>
      </c>
    </row>
    <row r="3736" spans="6:7" x14ac:dyDescent="0.2">
      <c r="F3736" s="591">
        <v>3727</v>
      </c>
      <c r="G3736" s="420">
        <f t="shared" ca="1" si="66"/>
        <v>0.11029166488461502</v>
      </c>
    </row>
    <row r="3737" spans="6:7" x14ac:dyDescent="0.2">
      <c r="F3737" s="591">
        <v>3728</v>
      </c>
      <c r="G3737" s="420">
        <f t="shared" ca="1" si="66"/>
        <v>3.8591689338375146E-2</v>
      </c>
    </row>
    <row r="3738" spans="6:7" x14ac:dyDescent="0.2">
      <c r="F3738" s="591">
        <v>3729</v>
      </c>
      <c r="G3738" s="420">
        <f t="shared" ca="1" si="66"/>
        <v>-1.4441536877299092E-2</v>
      </c>
    </row>
    <row r="3739" spans="6:7" x14ac:dyDescent="0.2">
      <c r="F3739" s="591">
        <v>3730</v>
      </c>
      <c r="G3739" s="420">
        <f t="shared" ca="1" si="66"/>
        <v>-2.5707980021043689E-2</v>
      </c>
    </row>
    <row r="3740" spans="6:7" x14ac:dyDescent="0.2">
      <c r="F3740" s="591">
        <v>3731</v>
      </c>
      <c r="G3740" s="420">
        <f t="shared" ca="1" si="66"/>
        <v>0.10587123823226194</v>
      </c>
    </row>
    <row r="3741" spans="6:7" x14ac:dyDescent="0.2">
      <c r="F3741" s="591">
        <v>3732</v>
      </c>
      <c r="G3741" s="420">
        <f t="shared" ca="1" si="66"/>
        <v>5.8260399639641063E-3</v>
      </c>
    </row>
    <row r="3742" spans="6:7" x14ac:dyDescent="0.2">
      <c r="F3742" s="591">
        <v>3733</v>
      </c>
      <c r="G3742" s="420">
        <f t="shared" ca="1" si="66"/>
        <v>2.4104807544553741E-2</v>
      </c>
    </row>
    <row r="3743" spans="6:7" x14ac:dyDescent="0.2">
      <c r="F3743" s="591">
        <v>3734</v>
      </c>
      <c r="G3743" s="420">
        <f t="shared" ca="1" si="66"/>
        <v>3.1068134478102079E-2</v>
      </c>
    </row>
    <row r="3744" spans="6:7" x14ac:dyDescent="0.2">
      <c r="F3744" s="591">
        <v>3735</v>
      </c>
      <c r="G3744" s="420">
        <f t="shared" ca="1" si="66"/>
        <v>6.4484688808751356E-2</v>
      </c>
    </row>
    <row r="3745" spans="6:7" x14ac:dyDescent="0.2">
      <c r="F3745" s="591">
        <v>3736</v>
      </c>
      <c r="G3745" s="420">
        <f t="shared" ca="1" si="66"/>
        <v>3.8089895551315825E-2</v>
      </c>
    </row>
    <row r="3746" spans="6:7" x14ac:dyDescent="0.2">
      <c r="F3746" s="591">
        <v>3737</v>
      </c>
      <c r="G3746" s="420">
        <f t="shared" ca="1" si="66"/>
        <v>6.5620689698987114E-2</v>
      </c>
    </row>
    <row r="3747" spans="6:7" x14ac:dyDescent="0.2">
      <c r="F3747" s="591">
        <v>3738</v>
      </c>
      <c r="G3747" s="420">
        <f t="shared" ca="1" si="66"/>
        <v>9.7999718740117744E-2</v>
      </c>
    </row>
    <row r="3748" spans="6:7" x14ac:dyDescent="0.2">
      <c r="F3748" s="591">
        <v>3739</v>
      </c>
      <c r="G3748" s="420">
        <f t="shared" ca="1" si="66"/>
        <v>9.8897703075626481E-2</v>
      </c>
    </row>
    <row r="3749" spans="6:7" x14ac:dyDescent="0.2">
      <c r="F3749" s="591">
        <v>3740</v>
      </c>
      <c r="G3749" s="420">
        <f t="shared" ca="1" si="66"/>
        <v>8.4042307419239015E-2</v>
      </c>
    </row>
    <row r="3750" spans="6:7" x14ac:dyDescent="0.2">
      <c r="F3750" s="591">
        <v>3741</v>
      </c>
      <c r="G3750" s="420">
        <f t="shared" ca="1" si="66"/>
        <v>4.3447357585090982E-2</v>
      </c>
    </row>
    <row r="3751" spans="6:7" x14ac:dyDescent="0.2">
      <c r="F3751" s="591">
        <v>3742</v>
      </c>
      <c r="G3751" s="420">
        <f t="shared" ca="1" si="66"/>
        <v>-7.2049724507755389E-2</v>
      </c>
    </row>
    <row r="3752" spans="6:7" x14ac:dyDescent="0.2">
      <c r="F3752" s="591">
        <v>3743</v>
      </c>
      <c r="G3752" s="420">
        <f t="shared" ca="1" si="66"/>
        <v>-4.9006017041139605E-2</v>
      </c>
    </row>
    <row r="3753" spans="6:7" x14ac:dyDescent="0.2">
      <c r="F3753" s="591">
        <v>3744</v>
      </c>
      <c r="G3753" s="420">
        <f t="shared" ca="1" si="66"/>
        <v>0.12486515683366874</v>
      </c>
    </row>
    <row r="3754" spans="6:7" x14ac:dyDescent="0.2">
      <c r="F3754" s="591">
        <v>3745</v>
      </c>
      <c r="G3754" s="420">
        <f t="shared" ca="1" si="66"/>
        <v>3.4549621393798781E-2</v>
      </c>
    </row>
    <row r="3755" spans="6:7" x14ac:dyDescent="0.2">
      <c r="F3755" s="591">
        <v>3746</v>
      </c>
      <c r="G3755" s="420">
        <f t="shared" ca="1" si="66"/>
        <v>2.5223923513584538E-2</v>
      </c>
    </row>
    <row r="3756" spans="6:7" x14ac:dyDescent="0.2">
      <c r="F3756" s="591">
        <v>3747</v>
      </c>
      <c r="G3756" s="420">
        <f t="shared" ca="1" si="66"/>
        <v>6.3193797125599943E-2</v>
      </c>
    </row>
    <row r="3757" spans="6:7" x14ac:dyDescent="0.2">
      <c r="F3757" s="591">
        <v>3748</v>
      </c>
      <c r="G3757" s="420">
        <f t="shared" ca="1" si="66"/>
        <v>8.902692313995722E-4</v>
      </c>
    </row>
    <row r="3758" spans="6:7" x14ac:dyDescent="0.2">
      <c r="F3758" s="591">
        <v>3749</v>
      </c>
      <c r="G3758" s="420">
        <f t="shared" ca="1" si="66"/>
        <v>-0.10639936763073993</v>
      </c>
    </row>
    <row r="3759" spans="6:7" x14ac:dyDescent="0.2">
      <c r="F3759" s="591">
        <v>3750</v>
      </c>
      <c r="G3759" s="420">
        <f t="shared" ca="1" si="66"/>
        <v>-1.3407136411292764E-2</v>
      </c>
    </row>
    <row r="3760" spans="6:7" x14ac:dyDescent="0.2">
      <c r="F3760" s="591">
        <v>3751</v>
      </c>
      <c r="G3760" s="420">
        <f t="shared" ca="1" si="66"/>
        <v>3.3830026761554777E-2</v>
      </c>
    </row>
    <row r="3761" spans="6:7" x14ac:dyDescent="0.2">
      <c r="F3761" s="591">
        <v>3752</v>
      </c>
      <c r="G3761" s="420">
        <f t="shared" ca="1" si="66"/>
        <v>0.13166390809349882</v>
      </c>
    </row>
    <row r="3762" spans="6:7" x14ac:dyDescent="0.2">
      <c r="F3762" s="591">
        <v>3753</v>
      </c>
      <c r="G3762" s="420">
        <f t="shared" ca="1" si="66"/>
        <v>1.6227586782336587E-2</v>
      </c>
    </row>
    <row r="3763" spans="6:7" x14ac:dyDescent="0.2">
      <c r="F3763" s="591">
        <v>3754</v>
      </c>
      <c r="G3763" s="420">
        <f t="shared" ca="1" si="66"/>
        <v>-9.8196087881249949E-2</v>
      </c>
    </row>
    <row r="3764" spans="6:7" x14ac:dyDescent="0.2">
      <c r="F3764" s="591">
        <v>3755</v>
      </c>
      <c r="G3764" s="420">
        <f t="shared" ca="1" si="66"/>
        <v>6.8932902471931012E-2</v>
      </c>
    </row>
    <row r="3765" spans="6:7" x14ac:dyDescent="0.2">
      <c r="F3765" s="591">
        <v>3756</v>
      </c>
      <c r="G3765" s="420">
        <f t="shared" ca="1" si="66"/>
        <v>6.7874514906486799E-2</v>
      </c>
    </row>
    <row r="3766" spans="6:7" x14ac:dyDescent="0.2">
      <c r="F3766" s="591">
        <v>3757</v>
      </c>
      <c r="G3766" s="420">
        <f t="shared" ca="1" si="66"/>
        <v>-6.6268557447184614E-3</v>
      </c>
    </row>
    <row r="3767" spans="6:7" x14ac:dyDescent="0.2">
      <c r="F3767" s="591">
        <v>3758</v>
      </c>
      <c r="G3767" s="420">
        <f t="shared" ca="1" si="66"/>
        <v>2.6796681789006647E-2</v>
      </c>
    </row>
    <row r="3768" spans="6:7" x14ac:dyDescent="0.2">
      <c r="F3768" s="591">
        <v>3759</v>
      </c>
      <c r="G3768" s="420">
        <f t="shared" ca="1" si="66"/>
        <v>-0.11275912291687103</v>
      </c>
    </row>
    <row r="3769" spans="6:7" x14ac:dyDescent="0.2">
      <c r="F3769" s="591">
        <v>3760</v>
      </c>
      <c r="G3769" s="420">
        <f t="shared" ca="1" si="66"/>
        <v>0.13216493132796681</v>
      </c>
    </row>
    <row r="3770" spans="6:7" x14ac:dyDescent="0.2">
      <c r="F3770" s="591">
        <v>3761</v>
      </c>
      <c r="G3770" s="420">
        <f t="shared" ca="1" si="66"/>
        <v>-0.19896266231703863</v>
      </c>
    </row>
    <row r="3771" spans="6:7" x14ac:dyDescent="0.2">
      <c r="F3771" s="591">
        <v>3762</v>
      </c>
      <c r="G3771" s="420">
        <f t="shared" ca="1" si="66"/>
        <v>-5.7043458638769265E-2</v>
      </c>
    </row>
    <row r="3772" spans="6:7" x14ac:dyDescent="0.2">
      <c r="F3772" s="591">
        <v>3763</v>
      </c>
      <c r="G3772" s="420">
        <f t="shared" ca="1" si="66"/>
        <v>0.1215872242484662</v>
      </c>
    </row>
    <row r="3773" spans="6:7" x14ac:dyDescent="0.2">
      <c r="F3773" s="591">
        <v>3764</v>
      </c>
      <c r="G3773" s="420">
        <f t="shared" ca="1" si="66"/>
        <v>0.12664767008957609</v>
      </c>
    </row>
    <row r="3774" spans="6:7" x14ac:dyDescent="0.2">
      <c r="F3774" s="591">
        <v>3765</v>
      </c>
      <c r="G3774" s="420">
        <f t="shared" ca="1" si="66"/>
        <v>5.0476405145866321E-2</v>
      </c>
    </row>
    <row r="3775" spans="6:7" x14ac:dyDescent="0.2">
      <c r="F3775" s="591">
        <v>3766</v>
      </c>
      <c r="G3775" s="420">
        <f t="shared" ca="1" si="66"/>
        <v>3.3230687073667262E-2</v>
      </c>
    </row>
    <row r="3776" spans="6:7" x14ac:dyDescent="0.2">
      <c r="F3776" s="591">
        <v>3767</v>
      </c>
      <c r="G3776" s="420">
        <f t="shared" ca="1" si="66"/>
        <v>8.0523845386311937E-2</v>
      </c>
    </row>
    <row r="3777" spans="6:7" x14ac:dyDescent="0.2">
      <c r="F3777" s="591">
        <v>3768</v>
      </c>
      <c r="G3777" s="420">
        <f t="shared" ca="1" si="66"/>
        <v>-7.5927113891775186E-2</v>
      </c>
    </row>
    <row r="3778" spans="6:7" x14ac:dyDescent="0.2">
      <c r="F3778" s="591">
        <v>3769</v>
      </c>
      <c r="G3778" s="420">
        <f t="shared" ca="1" si="66"/>
        <v>6.167973795596747E-2</v>
      </c>
    </row>
    <row r="3779" spans="6:7" x14ac:dyDescent="0.2">
      <c r="F3779" s="591">
        <v>3770</v>
      </c>
      <c r="G3779" s="420">
        <f t="shared" ca="1" si="66"/>
        <v>0.10701204132382525</v>
      </c>
    </row>
    <row r="3780" spans="6:7" x14ac:dyDescent="0.2">
      <c r="F3780" s="591">
        <v>3771</v>
      </c>
      <c r="G3780" s="420">
        <f t="shared" ca="1" si="66"/>
        <v>2.2299483347472969E-2</v>
      </c>
    </row>
    <row r="3781" spans="6:7" x14ac:dyDescent="0.2">
      <c r="F3781" s="591">
        <v>3772</v>
      </c>
      <c r="G3781" s="420">
        <f t="shared" ca="1" si="66"/>
        <v>1.3352094592871386E-2</v>
      </c>
    </row>
    <row r="3782" spans="6:7" x14ac:dyDescent="0.2">
      <c r="F3782" s="591">
        <v>3773</v>
      </c>
      <c r="G3782" s="420">
        <f t="shared" ca="1" si="66"/>
        <v>-6.9674569080772408E-2</v>
      </c>
    </row>
    <row r="3783" spans="6:7" x14ac:dyDescent="0.2">
      <c r="F3783" s="591">
        <v>3774</v>
      </c>
      <c r="G3783" s="420">
        <f t="shared" ca="1" si="66"/>
        <v>5.9961498869574317E-2</v>
      </c>
    </row>
    <row r="3784" spans="6:7" x14ac:dyDescent="0.2">
      <c r="F3784" s="591">
        <v>3775</v>
      </c>
      <c r="G3784" s="420">
        <f t="shared" ca="1" si="66"/>
        <v>4.2465286542618344E-2</v>
      </c>
    </row>
    <row r="3785" spans="6:7" x14ac:dyDescent="0.2">
      <c r="F3785" s="591">
        <v>3776</v>
      </c>
      <c r="G3785" s="420">
        <f t="shared" ca="1" si="66"/>
        <v>9.099127013058976E-2</v>
      </c>
    </row>
    <row r="3786" spans="6:7" x14ac:dyDescent="0.2">
      <c r="F3786" s="591">
        <v>3777</v>
      </c>
      <c r="G3786" s="420">
        <f t="shared" ca="1" si="66"/>
        <v>3.4406286611711634E-2</v>
      </c>
    </row>
    <row r="3787" spans="6:7" x14ac:dyDescent="0.2">
      <c r="F3787" s="591">
        <v>3778</v>
      </c>
      <c r="G3787" s="420">
        <f t="shared" ref="G3787:G3850" ca="1" si="67">_xlfn.NORM.INV(RAND(), $M$11,$M$12)</f>
        <v>-5.2721880718417213E-2</v>
      </c>
    </row>
    <row r="3788" spans="6:7" x14ac:dyDescent="0.2">
      <c r="F3788" s="591">
        <v>3779</v>
      </c>
      <c r="G3788" s="420">
        <f t="shared" ca="1" si="67"/>
        <v>-5.4129765624239962E-2</v>
      </c>
    </row>
    <row r="3789" spans="6:7" x14ac:dyDescent="0.2">
      <c r="F3789" s="591">
        <v>3780</v>
      </c>
      <c r="G3789" s="420">
        <f t="shared" ca="1" si="67"/>
        <v>4.9818288425691982E-3</v>
      </c>
    </row>
    <row r="3790" spans="6:7" x14ac:dyDescent="0.2">
      <c r="F3790" s="591">
        <v>3781</v>
      </c>
      <c r="G3790" s="420">
        <f t="shared" ca="1" si="67"/>
        <v>-5.9302346574520728E-2</v>
      </c>
    </row>
    <row r="3791" spans="6:7" x14ac:dyDescent="0.2">
      <c r="F3791" s="591">
        <v>3782</v>
      </c>
      <c r="G3791" s="420">
        <f t="shared" ca="1" si="67"/>
        <v>-5.2697818378507844E-2</v>
      </c>
    </row>
    <row r="3792" spans="6:7" x14ac:dyDescent="0.2">
      <c r="F3792" s="591">
        <v>3783</v>
      </c>
      <c r="G3792" s="420">
        <f t="shared" ca="1" si="67"/>
        <v>-2.9622477092672236E-2</v>
      </c>
    </row>
    <row r="3793" spans="6:7" x14ac:dyDescent="0.2">
      <c r="F3793" s="591">
        <v>3784</v>
      </c>
      <c r="G3793" s="420">
        <f t="shared" ca="1" si="67"/>
        <v>-7.6946460132603256E-2</v>
      </c>
    </row>
    <row r="3794" spans="6:7" x14ac:dyDescent="0.2">
      <c r="F3794" s="591">
        <v>3785</v>
      </c>
      <c r="G3794" s="420">
        <f t="shared" ca="1" si="67"/>
        <v>3.5440258584237133E-2</v>
      </c>
    </row>
    <row r="3795" spans="6:7" x14ac:dyDescent="0.2">
      <c r="F3795" s="591">
        <v>3786</v>
      </c>
      <c r="G3795" s="420">
        <f t="shared" ca="1" si="67"/>
        <v>7.0777032984848933E-3</v>
      </c>
    </row>
    <row r="3796" spans="6:7" x14ac:dyDescent="0.2">
      <c r="F3796" s="591">
        <v>3787</v>
      </c>
      <c r="G3796" s="420">
        <f t="shared" ca="1" si="67"/>
        <v>1.133217477108631E-3</v>
      </c>
    </row>
    <row r="3797" spans="6:7" x14ac:dyDescent="0.2">
      <c r="F3797" s="591">
        <v>3788</v>
      </c>
      <c r="G3797" s="420">
        <f t="shared" ca="1" si="67"/>
        <v>6.1920985368222339E-2</v>
      </c>
    </row>
    <row r="3798" spans="6:7" x14ac:dyDescent="0.2">
      <c r="F3798" s="591">
        <v>3789</v>
      </c>
      <c r="G3798" s="420">
        <f t="shared" ca="1" si="67"/>
        <v>5.5626069489690316E-2</v>
      </c>
    </row>
    <row r="3799" spans="6:7" x14ac:dyDescent="0.2">
      <c r="F3799" s="591">
        <v>3790</v>
      </c>
      <c r="G3799" s="420">
        <f t="shared" ca="1" si="67"/>
        <v>4.9475348202172018E-2</v>
      </c>
    </row>
    <row r="3800" spans="6:7" x14ac:dyDescent="0.2">
      <c r="F3800" s="591">
        <v>3791</v>
      </c>
      <c r="G3800" s="420">
        <f t="shared" ca="1" si="67"/>
        <v>-1.662119353924912E-2</v>
      </c>
    </row>
    <row r="3801" spans="6:7" x14ac:dyDescent="0.2">
      <c r="F3801" s="591">
        <v>3792</v>
      </c>
      <c r="G3801" s="420">
        <f t="shared" ca="1" si="67"/>
        <v>-7.6493752077517151E-4</v>
      </c>
    </row>
    <row r="3802" spans="6:7" x14ac:dyDescent="0.2">
      <c r="F3802" s="591">
        <v>3793</v>
      </c>
      <c r="G3802" s="420">
        <f t="shared" ca="1" si="67"/>
        <v>8.0614362631815817E-2</v>
      </c>
    </row>
    <row r="3803" spans="6:7" x14ac:dyDescent="0.2">
      <c r="F3803" s="591">
        <v>3794</v>
      </c>
      <c r="G3803" s="420">
        <f t="shared" ca="1" si="67"/>
        <v>-2.8767522751790803E-2</v>
      </c>
    </row>
    <row r="3804" spans="6:7" x14ac:dyDescent="0.2">
      <c r="F3804" s="591">
        <v>3795</v>
      </c>
      <c r="G3804" s="420">
        <f t="shared" ca="1" si="67"/>
        <v>-1.0305978178107307E-2</v>
      </c>
    </row>
    <row r="3805" spans="6:7" x14ac:dyDescent="0.2">
      <c r="F3805" s="591">
        <v>3796</v>
      </c>
      <c r="G3805" s="420">
        <f t="shared" ca="1" si="67"/>
        <v>-7.3081855539946922E-2</v>
      </c>
    </row>
    <row r="3806" spans="6:7" x14ac:dyDescent="0.2">
      <c r="F3806" s="591">
        <v>3797</v>
      </c>
      <c r="G3806" s="420">
        <f t="shared" ca="1" si="67"/>
        <v>3.4097273911303135E-3</v>
      </c>
    </row>
    <row r="3807" spans="6:7" x14ac:dyDescent="0.2">
      <c r="F3807" s="591">
        <v>3798</v>
      </c>
      <c r="G3807" s="420">
        <f t="shared" ca="1" si="67"/>
        <v>7.99008829378706E-3</v>
      </c>
    </row>
    <row r="3808" spans="6:7" x14ac:dyDescent="0.2">
      <c r="F3808" s="591">
        <v>3799</v>
      </c>
      <c r="G3808" s="420">
        <f t="shared" ca="1" si="67"/>
        <v>2.8657752341937848E-2</v>
      </c>
    </row>
    <row r="3809" spans="6:7" x14ac:dyDescent="0.2">
      <c r="F3809" s="591">
        <v>3800</v>
      </c>
      <c r="G3809" s="420">
        <f t="shared" ca="1" si="67"/>
        <v>5.9151209014970327E-2</v>
      </c>
    </row>
    <row r="3810" spans="6:7" x14ac:dyDescent="0.2">
      <c r="F3810" s="591">
        <v>3801</v>
      </c>
      <c r="G3810" s="420">
        <f t="shared" ca="1" si="67"/>
        <v>1.7223674604885761E-2</v>
      </c>
    </row>
    <row r="3811" spans="6:7" x14ac:dyDescent="0.2">
      <c r="F3811" s="591">
        <v>3802</v>
      </c>
      <c r="G3811" s="420">
        <f t="shared" ca="1" si="67"/>
        <v>-2.458260623616983E-3</v>
      </c>
    </row>
    <row r="3812" spans="6:7" x14ac:dyDescent="0.2">
      <c r="F3812" s="591">
        <v>3803</v>
      </c>
      <c r="G3812" s="420">
        <f t="shared" ca="1" si="67"/>
        <v>7.3561051086763765E-2</v>
      </c>
    </row>
    <row r="3813" spans="6:7" x14ac:dyDescent="0.2">
      <c r="F3813" s="591">
        <v>3804</v>
      </c>
      <c r="G3813" s="420">
        <f t="shared" ca="1" si="67"/>
        <v>0.11595289113195346</v>
      </c>
    </row>
    <row r="3814" spans="6:7" x14ac:dyDescent="0.2">
      <c r="F3814" s="591">
        <v>3805</v>
      </c>
      <c r="G3814" s="420">
        <f t="shared" ca="1" si="67"/>
        <v>-0.12616097362570319</v>
      </c>
    </row>
    <row r="3815" spans="6:7" x14ac:dyDescent="0.2">
      <c r="F3815" s="591">
        <v>3806</v>
      </c>
      <c r="G3815" s="420">
        <f t="shared" ca="1" si="67"/>
        <v>-9.6811954690289408E-3</v>
      </c>
    </row>
    <row r="3816" spans="6:7" x14ac:dyDescent="0.2">
      <c r="F3816" s="591">
        <v>3807</v>
      </c>
      <c r="G3816" s="420">
        <f t="shared" ca="1" si="67"/>
        <v>9.9303824149761563E-2</v>
      </c>
    </row>
    <row r="3817" spans="6:7" x14ac:dyDescent="0.2">
      <c r="F3817" s="591">
        <v>3808</v>
      </c>
      <c r="G3817" s="420">
        <f t="shared" ca="1" si="67"/>
        <v>-0.16248818767365997</v>
      </c>
    </row>
    <row r="3818" spans="6:7" x14ac:dyDescent="0.2">
      <c r="F3818" s="591">
        <v>3809</v>
      </c>
      <c r="G3818" s="420">
        <f t="shared" ca="1" si="67"/>
        <v>-4.8892467946650808E-2</v>
      </c>
    </row>
    <row r="3819" spans="6:7" x14ac:dyDescent="0.2">
      <c r="F3819" s="591">
        <v>3810</v>
      </c>
      <c r="G3819" s="420">
        <f t="shared" ca="1" si="67"/>
        <v>-9.5092750961139977E-2</v>
      </c>
    </row>
    <row r="3820" spans="6:7" x14ac:dyDescent="0.2">
      <c r="F3820" s="591">
        <v>3811</v>
      </c>
      <c r="G3820" s="420">
        <f t="shared" ca="1" si="67"/>
        <v>1.1782932442921685E-2</v>
      </c>
    </row>
    <row r="3821" spans="6:7" x14ac:dyDescent="0.2">
      <c r="F3821" s="591">
        <v>3812</v>
      </c>
      <c r="G3821" s="420">
        <f t="shared" ca="1" si="67"/>
        <v>-6.8985573437681594E-2</v>
      </c>
    </row>
    <row r="3822" spans="6:7" x14ac:dyDescent="0.2">
      <c r="F3822" s="591">
        <v>3813</v>
      </c>
      <c r="G3822" s="420">
        <f t="shared" ca="1" si="67"/>
        <v>0.12812350709518755</v>
      </c>
    </row>
    <row r="3823" spans="6:7" x14ac:dyDescent="0.2">
      <c r="F3823" s="591">
        <v>3814</v>
      </c>
      <c r="G3823" s="420">
        <f t="shared" ca="1" si="67"/>
        <v>-1.3659460098102677E-2</v>
      </c>
    </row>
    <row r="3824" spans="6:7" x14ac:dyDescent="0.2">
      <c r="F3824" s="591">
        <v>3815</v>
      </c>
      <c r="G3824" s="420">
        <f t="shared" ca="1" si="67"/>
        <v>-4.0238132613708122E-2</v>
      </c>
    </row>
    <row r="3825" spans="6:7" x14ac:dyDescent="0.2">
      <c r="F3825" s="591">
        <v>3816</v>
      </c>
      <c r="G3825" s="420">
        <f t="shared" ca="1" si="67"/>
        <v>4.9756493816342619E-3</v>
      </c>
    </row>
    <row r="3826" spans="6:7" x14ac:dyDescent="0.2">
      <c r="F3826" s="591">
        <v>3817</v>
      </c>
      <c r="G3826" s="420">
        <f t="shared" ca="1" si="67"/>
        <v>2.1968448025144929E-2</v>
      </c>
    </row>
    <row r="3827" spans="6:7" x14ac:dyDescent="0.2">
      <c r="F3827" s="591">
        <v>3818</v>
      </c>
      <c r="G3827" s="420">
        <f t="shared" ca="1" si="67"/>
        <v>-8.0887984549472242E-2</v>
      </c>
    </row>
    <row r="3828" spans="6:7" x14ac:dyDescent="0.2">
      <c r="F3828" s="591">
        <v>3819</v>
      </c>
      <c r="G3828" s="420">
        <f t="shared" ca="1" si="67"/>
        <v>-0.10479697954271504</v>
      </c>
    </row>
    <row r="3829" spans="6:7" x14ac:dyDescent="0.2">
      <c r="F3829" s="591">
        <v>3820</v>
      </c>
      <c r="G3829" s="420">
        <f t="shared" ca="1" si="67"/>
        <v>7.86561134891825E-2</v>
      </c>
    </row>
    <row r="3830" spans="6:7" x14ac:dyDescent="0.2">
      <c r="F3830" s="591">
        <v>3821</v>
      </c>
      <c r="G3830" s="420">
        <f t="shared" ca="1" si="67"/>
        <v>-2.1319873695023289E-2</v>
      </c>
    </row>
    <row r="3831" spans="6:7" x14ac:dyDescent="0.2">
      <c r="F3831" s="591">
        <v>3822</v>
      </c>
      <c r="G3831" s="420">
        <f t="shared" ca="1" si="67"/>
        <v>-5.2528073240365805E-3</v>
      </c>
    </row>
    <row r="3832" spans="6:7" x14ac:dyDescent="0.2">
      <c r="F3832" s="591">
        <v>3823</v>
      </c>
      <c r="G3832" s="420">
        <f t="shared" ca="1" si="67"/>
        <v>-5.5031090649401884E-2</v>
      </c>
    </row>
    <row r="3833" spans="6:7" x14ac:dyDescent="0.2">
      <c r="F3833" s="591">
        <v>3824</v>
      </c>
      <c r="G3833" s="420">
        <f t="shared" ca="1" si="67"/>
        <v>0.11708765131044105</v>
      </c>
    </row>
    <row r="3834" spans="6:7" x14ac:dyDescent="0.2">
      <c r="F3834" s="591">
        <v>3825</v>
      </c>
      <c r="G3834" s="420">
        <f t="shared" ca="1" si="67"/>
        <v>0.10183084121478933</v>
      </c>
    </row>
    <row r="3835" spans="6:7" x14ac:dyDescent="0.2">
      <c r="F3835" s="591">
        <v>3826</v>
      </c>
      <c r="G3835" s="420">
        <f t="shared" ca="1" si="67"/>
        <v>4.0137294441227225E-2</v>
      </c>
    </row>
    <row r="3836" spans="6:7" x14ac:dyDescent="0.2">
      <c r="F3836" s="591">
        <v>3827</v>
      </c>
      <c r="G3836" s="420">
        <f t="shared" ca="1" si="67"/>
        <v>-1.1137053141872109E-2</v>
      </c>
    </row>
    <row r="3837" spans="6:7" x14ac:dyDescent="0.2">
      <c r="F3837" s="591">
        <v>3828</v>
      </c>
      <c r="G3837" s="420">
        <f t="shared" ca="1" si="67"/>
        <v>5.6054713765239003E-2</v>
      </c>
    </row>
    <row r="3838" spans="6:7" x14ac:dyDescent="0.2">
      <c r="F3838" s="591">
        <v>3829</v>
      </c>
      <c r="G3838" s="420">
        <f t="shared" ca="1" si="67"/>
        <v>-3.2538629915342634E-2</v>
      </c>
    </row>
    <row r="3839" spans="6:7" x14ac:dyDescent="0.2">
      <c r="F3839" s="591">
        <v>3830</v>
      </c>
      <c r="G3839" s="420">
        <f t="shared" ca="1" si="67"/>
        <v>-1.8197939457294657E-2</v>
      </c>
    </row>
    <row r="3840" spans="6:7" x14ac:dyDescent="0.2">
      <c r="F3840" s="591">
        <v>3831</v>
      </c>
      <c r="G3840" s="420">
        <f t="shared" ca="1" si="67"/>
        <v>-1.9129334199251523E-3</v>
      </c>
    </row>
    <row r="3841" spans="6:7" x14ac:dyDescent="0.2">
      <c r="F3841" s="591">
        <v>3832</v>
      </c>
      <c r="G3841" s="420">
        <f t="shared" ca="1" si="67"/>
        <v>-0.17963333278835555</v>
      </c>
    </row>
    <row r="3842" spans="6:7" x14ac:dyDescent="0.2">
      <c r="F3842" s="591">
        <v>3833</v>
      </c>
      <c r="G3842" s="420">
        <f t="shared" ca="1" si="67"/>
        <v>7.0974579752448325E-3</v>
      </c>
    </row>
    <row r="3843" spans="6:7" x14ac:dyDescent="0.2">
      <c r="F3843" s="591">
        <v>3834</v>
      </c>
      <c r="G3843" s="420">
        <f t="shared" ca="1" si="67"/>
        <v>4.1791775558155334E-3</v>
      </c>
    </row>
    <row r="3844" spans="6:7" x14ac:dyDescent="0.2">
      <c r="F3844" s="591">
        <v>3835</v>
      </c>
      <c r="G3844" s="420">
        <f t="shared" ca="1" si="67"/>
        <v>4.3220725947196961E-2</v>
      </c>
    </row>
    <row r="3845" spans="6:7" x14ac:dyDescent="0.2">
      <c r="F3845" s="591">
        <v>3836</v>
      </c>
      <c r="G3845" s="420">
        <f t="shared" ca="1" si="67"/>
        <v>-2.113506151836397E-2</v>
      </c>
    </row>
    <row r="3846" spans="6:7" x14ac:dyDescent="0.2">
      <c r="F3846" s="591">
        <v>3837</v>
      </c>
      <c r="G3846" s="420">
        <f t="shared" ca="1" si="67"/>
        <v>9.8055339540857434E-2</v>
      </c>
    </row>
    <row r="3847" spans="6:7" x14ac:dyDescent="0.2">
      <c r="F3847" s="591">
        <v>3838</v>
      </c>
      <c r="G3847" s="420">
        <f t="shared" ca="1" si="67"/>
        <v>5.6008429236138385E-2</v>
      </c>
    </row>
    <row r="3848" spans="6:7" x14ac:dyDescent="0.2">
      <c r="F3848" s="591">
        <v>3839</v>
      </c>
      <c r="G3848" s="420">
        <f t="shared" ca="1" si="67"/>
        <v>7.3032397457377706E-3</v>
      </c>
    </row>
    <row r="3849" spans="6:7" x14ac:dyDescent="0.2">
      <c r="F3849" s="591">
        <v>3840</v>
      </c>
      <c r="G3849" s="420">
        <f t="shared" ca="1" si="67"/>
        <v>7.6117461694513402E-2</v>
      </c>
    </row>
    <row r="3850" spans="6:7" x14ac:dyDescent="0.2">
      <c r="F3850" s="591">
        <v>3841</v>
      </c>
      <c r="G3850" s="420">
        <f t="shared" ca="1" si="67"/>
        <v>8.8463028102845703E-2</v>
      </c>
    </row>
    <row r="3851" spans="6:7" x14ac:dyDescent="0.2">
      <c r="F3851" s="591">
        <v>3842</v>
      </c>
      <c r="G3851" s="420">
        <f t="shared" ref="G3851:G3914" ca="1" si="68">_xlfn.NORM.INV(RAND(), $M$11,$M$12)</f>
        <v>5.7365603260683518E-2</v>
      </c>
    </row>
    <row r="3852" spans="6:7" x14ac:dyDescent="0.2">
      <c r="F3852" s="591">
        <v>3843</v>
      </c>
      <c r="G3852" s="420">
        <f t="shared" ca="1" si="68"/>
        <v>-0.12536139438280233</v>
      </c>
    </row>
    <row r="3853" spans="6:7" x14ac:dyDescent="0.2">
      <c r="F3853" s="591">
        <v>3844</v>
      </c>
      <c r="G3853" s="420">
        <f t="shared" ca="1" si="68"/>
        <v>6.8924365590654707E-2</v>
      </c>
    </row>
    <row r="3854" spans="6:7" x14ac:dyDescent="0.2">
      <c r="F3854" s="591">
        <v>3845</v>
      </c>
      <c r="G3854" s="420">
        <f t="shared" ca="1" si="68"/>
        <v>-7.1810138899450968E-3</v>
      </c>
    </row>
    <row r="3855" spans="6:7" x14ac:dyDescent="0.2">
      <c r="F3855" s="591">
        <v>3846</v>
      </c>
      <c r="G3855" s="420">
        <f t="shared" ca="1" si="68"/>
        <v>5.2315979871642895E-2</v>
      </c>
    </row>
    <row r="3856" spans="6:7" x14ac:dyDescent="0.2">
      <c r="F3856" s="591">
        <v>3847</v>
      </c>
      <c r="G3856" s="420">
        <f t="shared" ca="1" si="68"/>
        <v>-1.7122194546437805E-2</v>
      </c>
    </row>
    <row r="3857" spans="6:7" x14ac:dyDescent="0.2">
      <c r="F3857" s="591">
        <v>3848</v>
      </c>
      <c r="G3857" s="420">
        <f t="shared" ca="1" si="68"/>
        <v>8.5101874476348718E-2</v>
      </c>
    </row>
    <row r="3858" spans="6:7" x14ac:dyDescent="0.2">
      <c r="F3858" s="591">
        <v>3849</v>
      </c>
      <c r="G3858" s="420">
        <f t="shared" ca="1" si="68"/>
        <v>-0.10394588372750724</v>
      </c>
    </row>
    <row r="3859" spans="6:7" x14ac:dyDescent="0.2">
      <c r="F3859" s="591">
        <v>3850</v>
      </c>
      <c r="G3859" s="420">
        <f t="shared" ca="1" si="68"/>
        <v>-1.3145828422577718E-2</v>
      </c>
    </row>
    <row r="3860" spans="6:7" x14ac:dyDescent="0.2">
      <c r="F3860" s="591">
        <v>3851</v>
      </c>
      <c r="G3860" s="420">
        <f t="shared" ca="1" si="68"/>
        <v>7.5954140373340528E-2</v>
      </c>
    </row>
    <row r="3861" spans="6:7" x14ac:dyDescent="0.2">
      <c r="F3861" s="591">
        <v>3852</v>
      </c>
      <c r="G3861" s="420">
        <f t="shared" ca="1" si="68"/>
        <v>2.3621227821047704E-2</v>
      </c>
    </row>
    <row r="3862" spans="6:7" x14ac:dyDescent="0.2">
      <c r="F3862" s="591">
        <v>3853</v>
      </c>
      <c r="G3862" s="420">
        <f t="shared" ca="1" si="68"/>
        <v>-2.0357600190793582E-2</v>
      </c>
    </row>
    <row r="3863" spans="6:7" x14ac:dyDescent="0.2">
      <c r="F3863" s="591">
        <v>3854</v>
      </c>
      <c r="G3863" s="420">
        <f t="shared" ca="1" si="68"/>
        <v>0.17858221944189726</v>
      </c>
    </row>
    <row r="3864" spans="6:7" x14ac:dyDescent="0.2">
      <c r="F3864" s="591">
        <v>3855</v>
      </c>
      <c r="G3864" s="420">
        <f t="shared" ca="1" si="68"/>
        <v>-1.4071304493465144E-2</v>
      </c>
    </row>
    <row r="3865" spans="6:7" x14ac:dyDescent="0.2">
      <c r="F3865" s="591">
        <v>3856</v>
      </c>
      <c r="G3865" s="420">
        <f t="shared" ca="1" si="68"/>
        <v>5.9086245956034303E-2</v>
      </c>
    </row>
    <row r="3866" spans="6:7" x14ac:dyDescent="0.2">
      <c r="F3866" s="591">
        <v>3857</v>
      </c>
      <c r="G3866" s="420">
        <f t="shared" ca="1" si="68"/>
        <v>0.12343688336427842</v>
      </c>
    </row>
    <row r="3867" spans="6:7" x14ac:dyDescent="0.2">
      <c r="F3867" s="591">
        <v>3858</v>
      </c>
      <c r="G3867" s="420">
        <f t="shared" ca="1" si="68"/>
        <v>-2.6514348236401395E-2</v>
      </c>
    </row>
    <row r="3868" spans="6:7" x14ac:dyDescent="0.2">
      <c r="F3868" s="591">
        <v>3859</v>
      </c>
      <c r="G3868" s="420">
        <f t="shared" ca="1" si="68"/>
        <v>0.11539532675091639</v>
      </c>
    </row>
    <row r="3869" spans="6:7" x14ac:dyDescent="0.2">
      <c r="F3869" s="591">
        <v>3860</v>
      </c>
      <c r="G3869" s="420">
        <f t="shared" ca="1" si="68"/>
        <v>0.12948375006287616</v>
      </c>
    </row>
    <row r="3870" spans="6:7" x14ac:dyDescent="0.2">
      <c r="F3870" s="591">
        <v>3861</v>
      </c>
      <c r="G3870" s="420">
        <f t="shared" ca="1" si="68"/>
        <v>0.16350914357110435</v>
      </c>
    </row>
    <row r="3871" spans="6:7" x14ac:dyDescent="0.2">
      <c r="F3871" s="591">
        <v>3862</v>
      </c>
      <c r="G3871" s="420">
        <f t="shared" ca="1" si="68"/>
        <v>-6.4517570344047107E-2</v>
      </c>
    </row>
    <row r="3872" spans="6:7" x14ac:dyDescent="0.2">
      <c r="F3872" s="591">
        <v>3863</v>
      </c>
      <c r="G3872" s="420">
        <f t="shared" ca="1" si="68"/>
        <v>-2.6560982352249869E-2</v>
      </c>
    </row>
    <row r="3873" spans="6:7" x14ac:dyDescent="0.2">
      <c r="F3873" s="591">
        <v>3864</v>
      </c>
      <c r="G3873" s="420">
        <f t="shared" ca="1" si="68"/>
        <v>-1.3763167800781607E-2</v>
      </c>
    </row>
    <row r="3874" spans="6:7" x14ac:dyDescent="0.2">
      <c r="F3874" s="591">
        <v>3865</v>
      </c>
      <c r="G3874" s="420">
        <f t="shared" ca="1" si="68"/>
        <v>-7.4355838572669627E-2</v>
      </c>
    </row>
    <row r="3875" spans="6:7" x14ac:dyDescent="0.2">
      <c r="F3875" s="591">
        <v>3866</v>
      </c>
      <c r="G3875" s="420">
        <f t="shared" ca="1" si="68"/>
        <v>-4.6784197164934024E-2</v>
      </c>
    </row>
    <row r="3876" spans="6:7" x14ac:dyDescent="0.2">
      <c r="F3876" s="591">
        <v>3867</v>
      </c>
      <c r="G3876" s="420">
        <f t="shared" ca="1" si="68"/>
        <v>5.2637064108427695E-2</v>
      </c>
    </row>
    <row r="3877" spans="6:7" x14ac:dyDescent="0.2">
      <c r="F3877" s="591">
        <v>3868</v>
      </c>
      <c r="G3877" s="420">
        <f t="shared" ca="1" si="68"/>
        <v>0.10640030027249771</v>
      </c>
    </row>
    <row r="3878" spans="6:7" x14ac:dyDescent="0.2">
      <c r="F3878" s="591">
        <v>3869</v>
      </c>
      <c r="G3878" s="420">
        <f t="shared" ca="1" si="68"/>
        <v>-5.8707272434537008E-3</v>
      </c>
    </row>
    <row r="3879" spans="6:7" x14ac:dyDescent="0.2">
      <c r="F3879" s="591">
        <v>3870</v>
      </c>
      <c r="G3879" s="420">
        <f t="shared" ca="1" si="68"/>
        <v>1.202125136764642E-2</v>
      </c>
    </row>
    <row r="3880" spans="6:7" x14ac:dyDescent="0.2">
      <c r="F3880" s="591">
        <v>3871</v>
      </c>
      <c r="G3880" s="420">
        <f t="shared" ca="1" si="68"/>
        <v>-7.1754399662589848E-3</v>
      </c>
    </row>
    <row r="3881" spans="6:7" x14ac:dyDescent="0.2">
      <c r="F3881" s="591">
        <v>3872</v>
      </c>
      <c r="G3881" s="420">
        <f t="shared" ca="1" si="68"/>
        <v>0.14200536052531304</v>
      </c>
    </row>
    <row r="3882" spans="6:7" x14ac:dyDescent="0.2">
      <c r="F3882" s="591">
        <v>3873</v>
      </c>
      <c r="G3882" s="420">
        <f t="shared" ca="1" si="68"/>
        <v>7.112860779928705E-2</v>
      </c>
    </row>
    <row r="3883" spans="6:7" x14ac:dyDescent="0.2">
      <c r="F3883" s="591">
        <v>3874</v>
      </c>
      <c r="G3883" s="420">
        <f t="shared" ca="1" si="68"/>
        <v>-1.3664359129210626E-2</v>
      </c>
    </row>
    <row r="3884" spans="6:7" x14ac:dyDescent="0.2">
      <c r="F3884" s="591">
        <v>3875</v>
      </c>
      <c r="G3884" s="420">
        <f t="shared" ca="1" si="68"/>
        <v>6.8392080753321302E-2</v>
      </c>
    </row>
    <row r="3885" spans="6:7" x14ac:dyDescent="0.2">
      <c r="F3885" s="591">
        <v>3876</v>
      </c>
      <c r="G3885" s="420">
        <f t="shared" ca="1" si="68"/>
        <v>-3.9348094137247089E-2</v>
      </c>
    </row>
    <row r="3886" spans="6:7" x14ac:dyDescent="0.2">
      <c r="F3886" s="591">
        <v>3877</v>
      </c>
      <c r="G3886" s="420">
        <f t="shared" ca="1" si="68"/>
        <v>-3.3927014900509464E-2</v>
      </c>
    </row>
    <row r="3887" spans="6:7" x14ac:dyDescent="0.2">
      <c r="F3887" s="591">
        <v>3878</v>
      </c>
      <c r="G3887" s="420">
        <f t="shared" ca="1" si="68"/>
        <v>-5.1274624550584444E-2</v>
      </c>
    </row>
    <row r="3888" spans="6:7" x14ac:dyDescent="0.2">
      <c r="F3888" s="591">
        <v>3879</v>
      </c>
      <c r="G3888" s="420">
        <f t="shared" ca="1" si="68"/>
        <v>0.12507008502064088</v>
      </c>
    </row>
    <row r="3889" spans="6:7" x14ac:dyDescent="0.2">
      <c r="F3889" s="591">
        <v>3880</v>
      </c>
      <c r="G3889" s="420">
        <f t="shared" ca="1" si="68"/>
        <v>1.1405250566573759E-2</v>
      </c>
    </row>
    <row r="3890" spans="6:7" x14ac:dyDescent="0.2">
      <c r="F3890" s="591">
        <v>3881</v>
      </c>
      <c r="G3890" s="420">
        <f t="shared" ca="1" si="68"/>
        <v>-3.7205015717439435E-2</v>
      </c>
    </row>
    <row r="3891" spans="6:7" x14ac:dyDescent="0.2">
      <c r="F3891" s="591">
        <v>3882</v>
      </c>
      <c r="G3891" s="420">
        <f t="shared" ca="1" si="68"/>
        <v>1.9501651603770445E-2</v>
      </c>
    </row>
    <row r="3892" spans="6:7" x14ac:dyDescent="0.2">
      <c r="F3892" s="591">
        <v>3883</v>
      </c>
      <c r="G3892" s="420">
        <f t="shared" ca="1" si="68"/>
        <v>8.4658582586276634E-2</v>
      </c>
    </row>
    <row r="3893" spans="6:7" x14ac:dyDescent="0.2">
      <c r="F3893" s="591">
        <v>3884</v>
      </c>
      <c r="G3893" s="420">
        <f t="shared" ca="1" si="68"/>
        <v>-6.1477351496810433E-3</v>
      </c>
    </row>
    <row r="3894" spans="6:7" x14ac:dyDescent="0.2">
      <c r="F3894" s="591">
        <v>3885</v>
      </c>
      <c r="G3894" s="420">
        <f t="shared" ca="1" si="68"/>
        <v>-1.2569464834455892E-2</v>
      </c>
    </row>
    <row r="3895" spans="6:7" x14ac:dyDescent="0.2">
      <c r="F3895" s="591">
        <v>3886</v>
      </c>
      <c r="G3895" s="420">
        <f t="shared" ca="1" si="68"/>
        <v>-5.9576414988946655E-2</v>
      </c>
    </row>
    <row r="3896" spans="6:7" x14ac:dyDescent="0.2">
      <c r="F3896" s="591">
        <v>3887</v>
      </c>
      <c r="G3896" s="420">
        <f t="shared" ca="1" si="68"/>
        <v>-6.8552654700202345E-2</v>
      </c>
    </row>
    <row r="3897" spans="6:7" x14ac:dyDescent="0.2">
      <c r="F3897" s="591">
        <v>3888</v>
      </c>
      <c r="G3897" s="420">
        <f t="shared" ca="1" si="68"/>
        <v>-3.6347016171833224E-3</v>
      </c>
    </row>
    <row r="3898" spans="6:7" x14ac:dyDescent="0.2">
      <c r="F3898" s="591">
        <v>3889</v>
      </c>
      <c r="G3898" s="420">
        <f t="shared" ca="1" si="68"/>
        <v>5.1191939358272848E-2</v>
      </c>
    </row>
    <row r="3899" spans="6:7" x14ac:dyDescent="0.2">
      <c r="F3899" s="591">
        <v>3890</v>
      </c>
      <c r="G3899" s="420">
        <f t="shared" ca="1" si="68"/>
        <v>1.4663868992425996E-2</v>
      </c>
    </row>
    <row r="3900" spans="6:7" x14ac:dyDescent="0.2">
      <c r="F3900" s="591">
        <v>3891</v>
      </c>
      <c r="G3900" s="420">
        <f t="shared" ca="1" si="68"/>
        <v>-5.223626595152614E-2</v>
      </c>
    </row>
    <row r="3901" spans="6:7" x14ac:dyDescent="0.2">
      <c r="F3901" s="591">
        <v>3892</v>
      </c>
      <c r="G3901" s="420">
        <f t="shared" ca="1" si="68"/>
        <v>-4.8059833828621112E-2</v>
      </c>
    </row>
    <row r="3902" spans="6:7" x14ac:dyDescent="0.2">
      <c r="F3902" s="591">
        <v>3893</v>
      </c>
      <c r="G3902" s="420">
        <f t="shared" ca="1" si="68"/>
        <v>5.0818585004646963E-2</v>
      </c>
    </row>
    <row r="3903" spans="6:7" x14ac:dyDescent="0.2">
      <c r="F3903" s="591">
        <v>3894</v>
      </c>
      <c r="G3903" s="420">
        <f t="shared" ca="1" si="68"/>
        <v>-1.479248795856531E-2</v>
      </c>
    </row>
    <row r="3904" spans="6:7" x14ac:dyDescent="0.2">
      <c r="F3904" s="591">
        <v>3895</v>
      </c>
      <c r="G3904" s="420">
        <f t="shared" ca="1" si="68"/>
        <v>3.7890542581912684E-2</v>
      </c>
    </row>
    <row r="3905" spans="6:7" x14ac:dyDescent="0.2">
      <c r="F3905" s="591">
        <v>3896</v>
      </c>
      <c r="G3905" s="420">
        <f t="shared" ca="1" si="68"/>
        <v>8.1846553102898872E-2</v>
      </c>
    </row>
    <row r="3906" spans="6:7" x14ac:dyDescent="0.2">
      <c r="F3906" s="591">
        <v>3897</v>
      </c>
      <c r="G3906" s="420">
        <f t="shared" ca="1" si="68"/>
        <v>-3.9706260389928597E-2</v>
      </c>
    </row>
    <row r="3907" spans="6:7" x14ac:dyDescent="0.2">
      <c r="F3907" s="591">
        <v>3898</v>
      </c>
      <c r="G3907" s="420">
        <f t="shared" ca="1" si="68"/>
        <v>-1.5119004473596653E-2</v>
      </c>
    </row>
    <row r="3908" spans="6:7" x14ac:dyDescent="0.2">
      <c r="F3908" s="591">
        <v>3899</v>
      </c>
      <c r="G3908" s="420">
        <f t="shared" ca="1" si="68"/>
        <v>1.3239096078938374E-2</v>
      </c>
    </row>
    <row r="3909" spans="6:7" x14ac:dyDescent="0.2">
      <c r="F3909" s="591">
        <v>3900</v>
      </c>
      <c r="G3909" s="420">
        <f t="shared" ca="1" si="68"/>
        <v>-9.706509469362154E-2</v>
      </c>
    </row>
    <row r="3910" spans="6:7" x14ac:dyDescent="0.2">
      <c r="F3910" s="591">
        <v>3901</v>
      </c>
      <c r="G3910" s="420">
        <f t="shared" ca="1" si="68"/>
        <v>0.1231257883095899</v>
      </c>
    </row>
    <row r="3911" spans="6:7" x14ac:dyDescent="0.2">
      <c r="F3911" s="591">
        <v>3902</v>
      </c>
      <c r="G3911" s="420">
        <f t="shared" ca="1" si="68"/>
        <v>4.7861820818808895E-2</v>
      </c>
    </row>
    <row r="3912" spans="6:7" x14ac:dyDescent="0.2">
      <c r="F3912" s="591">
        <v>3903</v>
      </c>
      <c r="G3912" s="420">
        <f t="shared" ca="1" si="68"/>
        <v>6.7605824939185724E-2</v>
      </c>
    </row>
    <row r="3913" spans="6:7" x14ac:dyDescent="0.2">
      <c r="F3913" s="591">
        <v>3904</v>
      </c>
      <c r="G3913" s="420">
        <f t="shared" ca="1" si="68"/>
        <v>-5.815501797825634E-2</v>
      </c>
    </row>
    <row r="3914" spans="6:7" x14ac:dyDescent="0.2">
      <c r="F3914" s="591">
        <v>3905</v>
      </c>
      <c r="G3914" s="420">
        <f t="shared" ca="1" si="68"/>
        <v>2.9854632902962516E-2</v>
      </c>
    </row>
    <row r="3915" spans="6:7" x14ac:dyDescent="0.2">
      <c r="F3915" s="591">
        <v>3906</v>
      </c>
      <c r="G3915" s="420">
        <f t="shared" ref="G3915:G3978" ca="1" si="69">_xlfn.NORM.INV(RAND(), $M$11,$M$12)</f>
        <v>0.11014725655960055</v>
      </c>
    </row>
    <row r="3916" spans="6:7" x14ac:dyDescent="0.2">
      <c r="F3916" s="591">
        <v>3907</v>
      </c>
      <c r="G3916" s="420">
        <f t="shared" ca="1" si="69"/>
        <v>-1.6909295756248777E-2</v>
      </c>
    </row>
    <row r="3917" spans="6:7" x14ac:dyDescent="0.2">
      <c r="F3917" s="591">
        <v>3908</v>
      </c>
      <c r="G3917" s="420">
        <f t="shared" ca="1" si="69"/>
        <v>8.4348203390328461E-2</v>
      </c>
    </row>
    <row r="3918" spans="6:7" x14ac:dyDescent="0.2">
      <c r="F3918" s="591">
        <v>3909</v>
      </c>
      <c r="G3918" s="420">
        <f t="shared" ca="1" si="69"/>
        <v>4.133191188054477E-3</v>
      </c>
    </row>
    <row r="3919" spans="6:7" x14ac:dyDescent="0.2">
      <c r="F3919" s="591">
        <v>3910</v>
      </c>
      <c r="G3919" s="420">
        <f t="shared" ca="1" si="69"/>
        <v>0.15149383485311149</v>
      </c>
    </row>
    <row r="3920" spans="6:7" x14ac:dyDescent="0.2">
      <c r="F3920" s="591">
        <v>3911</v>
      </c>
      <c r="G3920" s="420">
        <f t="shared" ca="1" si="69"/>
        <v>9.08698274675869E-2</v>
      </c>
    </row>
    <row r="3921" spans="6:7" x14ac:dyDescent="0.2">
      <c r="F3921" s="591">
        <v>3912</v>
      </c>
      <c r="G3921" s="420">
        <f t="shared" ca="1" si="69"/>
        <v>-4.1759632087466012E-2</v>
      </c>
    </row>
    <row r="3922" spans="6:7" x14ac:dyDescent="0.2">
      <c r="F3922" s="591">
        <v>3913</v>
      </c>
      <c r="G3922" s="420">
        <f t="shared" ca="1" si="69"/>
        <v>1.1647230225430594E-2</v>
      </c>
    </row>
    <row r="3923" spans="6:7" x14ac:dyDescent="0.2">
      <c r="F3923" s="591">
        <v>3914</v>
      </c>
      <c r="G3923" s="420">
        <f t="shared" ca="1" si="69"/>
        <v>9.8267351923562382E-2</v>
      </c>
    </row>
    <row r="3924" spans="6:7" x14ac:dyDescent="0.2">
      <c r="F3924" s="591">
        <v>3915</v>
      </c>
      <c r="G3924" s="420">
        <f t="shared" ca="1" si="69"/>
        <v>-1.2153529535918077E-2</v>
      </c>
    </row>
    <row r="3925" spans="6:7" x14ac:dyDescent="0.2">
      <c r="F3925" s="591">
        <v>3916</v>
      </c>
      <c r="G3925" s="420">
        <f t="shared" ca="1" si="69"/>
        <v>0.1270830615716701</v>
      </c>
    </row>
    <row r="3926" spans="6:7" x14ac:dyDescent="0.2">
      <c r="F3926" s="591">
        <v>3917</v>
      </c>
      <c r="G3926" s="420">
        <f t="shared" ca="1" si="69"/>
        <v>3.7254367944980285E-2</v>
      </c>
    </row>
    <row r="3927" spans="6:7" x14ac:dyDescent="0.2">
      <c r="F3927" s="591">
        <v>3918</v>
      </c>
      <c r="G3927" s="420">
        <f t="shared" ca="1" si="69"/>
        <v>1.1934866198827212E-2</v>
      </c>
    </row>
    <row r="3928" spans="6:7" x14ac:dyDescent="0.2">
      <c r="F3928" s="591">
        <v>3919</v>
      </c>
      <c r="G3928" s="420">
        <f t="shared" ca="1" si="69"/>
        <v>-1.7196335801196717E-2</v>
      </c>
    </row>
    <row r="3929" spans="6:7" x14ac:dyDescent="0.2">
      <c r="F3929" s="591">
        <v>3920</v>
      </c>
      <c r="G3929" s="420">
        <f t="shared" ca="1" si="69"/>
        <v>8.1063091649663119E-2</v>
      </c>
    </row>
    <row r="3930" spans="6:7" x14ac:dyDescent="0.2">
      <c r="F3930" s="591">
        <v>3921</v>
      </c>
      <c r="G3930" s="420">
        <f t="shared" ca="1" si="69"/>
        <v>8.0822087264640768E-2</v>
      </c>
    </row>
    <row r="3931" spans="6:7" x14ac:dyDescent="0.2">
      <c r="F3931" s="591">
        <v>3922</v>
      </c>
      <c r="G3931" s="420">
        <f t="shared" ca="1" si="69"/>
        <v>-5.78593249253012E-2</v>
      </c>
    </row>
    <row r="3932" spans="6:7" x14ac:dyDescent="0.2">
      <c r="F3932" s="591">
        <v>3923</v>
      </c>
      <c r="G3932" s="420">
        <f t="shared" ca="1" si="69"/>
        <v>-4.3443855029648829E-2</v>
      </c>
    </row>
    <row r="3933" spans="6:7" x14ac:dyDescent="0.2">
      <c r="F3933" s="591">
        <v>3924</v>
      </c>
      <c r="G3933" s="420">
        <f t="shared" ca="1" si="69"/>
        <v>-8.1575109450571122E-3</v>
      </c>
    </row>
    <row r="3934" spans="6:7" x14ac:dyDescent="0.2">
      <c r="F3934" s="591">
        <v>3925</v>
      </c>
      <c r="G3934" s="420">
        <f t="shared" ca="1" si="69"/>
        <v>7.8757128827761383E-2</v>
      </c>
    </row>
    <row r="3935" spans="6:7" x14ac:dyDescent="0.2">
      <c r="F3935" s="591">
        <v>3926</v>
      </c>
      <c r="G3935" s="420">
        <f t="shared" ca="1" si="69"/>
        <v>-2.6787208239683575E-2</v>
      </c>
    </row>
    <row r="3936" spans="6:7" x14ac:dyDescent="0.2">
      <c r="F3936" s="591">
        <v>3927</v>
      </c>
      <c r="G3936" s="420">
        <f t="shared" ca="1" si="69"/>
        <v>-5.1866738918461427E-2</v>
      </c>
    </row>
    <row r="3937" spans="6:7" x14ac:dyDescent="0.2">
      <c r="F3937" s="591">
        <v>3928</v>
      </c>
      <c r="G3937" s="420">
        <f t="shared" ca="1" si="69"/>
        <v>6.092059494221784E-2</v>
      </c>
    </row>
    <row r="3938" spans="6:7" x14ac:dyDescent="0.2">
      <c r="F3938" s="591">
        <v>3929</v>
      </c>
      <c r="G3938" s="420">
        <f t="shared" ca="1" si="69"/>
        <v>-1.2034946673024387E-2</v>
      </c>
    </row>
    <row r="3939" spans="6:7" x14ac:dyDescent="0.2">
      <c r="F3939" s="591">
        <v>3930</v>
      </c>
      <c r="G3939" s="420">
        <f t="shared" ca="1" si="69"/>
        <v>-9.5893264526897601E-2</v>
      </c>
    </row>
    <row r="3940" spans="6:7" x14ac:dyDescent="0.2">
      <c r="F3940" s="591">
        <v>3931</v>
      </c>
      <c r="G3940" s="420">
        <f t="shared" ca="1" si="69"/>
        <v>-4.3848102581979423E-2</v>
      </c>
    </row>
    <row r="3941" spans="6:7" x14ac:dyDescent="0.2">
      <c r="F3941" s="591">
        <v>3932</v>
      </c>
      <c r="G3941" s="420">
        <f t="shared" ca="1" si="69"/>
        <v>-1.420402500535501E-2</v>
      </c>
    </row>
    <row r="3942" spans="6:7" x14ac:dyDescent="0.2">
      <c r="F3942" s="591">
        <v>3933</v>
      </c>
      <c r="G3942" s="420">
        <f t="shared" ca="1" si="69"/>
        <v>1.1677489327196998E-2</v>
      </c>
    </row>
    <row r="3943" spans="6:7" x14ac:dyDescent="0.2">
      <c r="F3943" s="591">
        <v>3934</v>
      </c>
      <c r="G3943" s="420">
        <f t="shared" ca="1" si="69"/>
        <v>0.12107383523931885</v>
      </c>
    </row>
    <row r="3944" spans="6:7" x14ac:dyDescent="0.2">
      <c r="F3944" s="591">
        <v>3935</v>
      </c>
      <c r="G3944" s="420">
        <f t="shared" ca="1" si="69"/>
        <v>0.11799166519968318</v>
      </c>
    </row>
    <row r="3945" spans="6:7" x14ac:dyDescent="0.2">
      <c r="F3945" s="591">
        <v>3936</v>
      </c>
      <c r="G3945" s="420">
        <f t="shared" ca="1" si="69"/>
        <v>-2.3407804835495778E-2</v>
      </c>
    </row>
    <row r="3946" spans="6:7" x14ac:dyDescent="0.2">
      <c r="F3946" s="591">
        <v>3937</v>
      </c>
      <c r="G3946" s="420">
        <f t="shared" ca="1" si="69"/>
        <v>-3.6716827993775111E-2</v>
      </c>
    </row>
    <row r="3947" spans="6:7" x14ac:dyDescent="0.2">
      <c r="F3947" s="591">
        <v>3938</v>
      </c>
      <c r="G3947" s="420">
        <f t="shared" ca="1" si="69"/>
        <v>3.0531322162939932E-2</v>
      </c>
    </row>
    <row r="3948" spans="6:7" x14ac:dyDescent="0.2">
      <c r="F3948" s="591">
        <v>3939</v>
      </c>
      <c r="G3948" s="420">
        <f t="shared" ca="1" si="69"/>
        <v>0.11777124960541857</v>
      </c>
    </row>
    <row r="3949" spans="6:7" x14ac:dyDescent="0.2">
      <c r="F3949" s="591">
        <v>3940</v>
      </c>
      <c r="G3949" s="420">
        <f t="shared" ca="1" si="69"/>
        <v>-3.9430340227699839E-2</v>
      </c>
    </row>
    <row r="3950" spans="6:7" x14ac:dyDescent="0.2">
      <c r="F3950" s="591">
        <v>3941</v>
      </c>
      <c r="G3950" s="420">
        <f t="shared" ca="1" si="69"/>
        <v>-6.0253841212277934E-2</v>
      </c>
    </row>
    <row r="3951" spans="6:7" x14ac:dyDescent="0.2">
      <c r="F3951" s="591">
        <v>3942</v>
      </c>
      <c r="G3951" s="420">
        <f t="shared" ca="1" si="69"/>
        <v>-4.5576744853250611E-2</v>
      </c>
    </row>
    <row r="3952" spans="6:7" x14ac:dyDescent="0.2">
      <c r="F3952" s="591">
        <v>3943</v>
      </c>
      <c r="G3952" s="420">
        <f t="shared" ca="1" si="69"/>
        <v>-0.14837717029917133</v>
      </c>
    </row>
    <row r="3953" spans="6:7" x14ac:dyDescent="0.2">
      <c r="F3953" s="591">
        <v>3944</v>
      </c>
      <c r="G3953" s="420">
        <f t="shared" ca="1" si="69"/>
        <v>4.779923837255895E-3</v>
      </c>
    </row>
    <row r="3954" spans="6:7" x14ac:dyDescent="0.2">
      <c r="F3954" s="591">
        <v>3945</v>
      </c>
      <c r="G3954" s="420">
        <f t="shared" ca="1" si="69"/>
        <v>9.8655871789860558E-2</v>
      </c>
    </row>
    <row r="3955" spans="6:7" x14ac:dyDescent="0.2">
      <c r="F3955" s="591">
        <v>3946</v>
      </c>
      <c r="G3955" s="420">
        <f t="shared" ca="1" si="69"/>
        <v>-8.9523756765964968E-2</v>
      </c>
    </row>
    <row r="3956" spans="6:7" x14ac:dyDescent="0.2">
      <c r="F3956" s="591">
        <v>3947</v>
      </c>
      <c r="G3956" s="420">
        <f t="shared" ca="1" si="69"/>
        <v>-9.604420064736692E-2</v>
      </c>
    </row>
    <row r="3957" spans="6:7" x14ac:dyDescent="0.2">
      <c r="F3957" s="591">
        <v>3948</v>
      </c>
      <c r="G3957" s="420">
        <f t="shared" ca="1" si="69"/>
        <v>1.054477301190024E-2</v>
      </c>
    </row>
    <row r="3958" spans="6:7" x14ac:dyDescent="0.2">
      <c r="F3958" s="591">
        <v>3949</v>
      </c>
      <c r="G3958" s="420">
        <f t="shared" ca="1" si="69"/>
        <v>-0.11617584246159383</v>
      </c>
    </row>
    <row r="3959" spans="6:7" x14ac:dyDescent="0.2">
      <c r="F3959" s="591">
        <v>3950</v>
      </c>
      <c r="G3959" s="420">
        <f t="shared" ca="1" si="69"/>
        <v>1.7937016282192648E-2</v>
      </c>
    </row>
    <row r="3960" spans="6:7" x14ac:dyDescent="0.2">
      <c r="F3960" s="591">
        <v>3951</v>
      </c>
      <c r="G3960" s="420">
        <f t="shared" ca="1" si="69"/>
        <v>-4.8789848891036929E-3</v>
      </c>
    </row>
    <row r="3961" spans="6:7" x14ac:dyDescent="0.2">
      <c r="F3961" s="591">
        <v>3952</v>
      </c>
      <c r="G3961" s="420">
        <f t="shared" ca="1" si="69"/>
        <v>5.7710489199600423E-2</v>
      </c>
    </row>
    <row r="3962" spans="6:7" x14ac:dyDescent="0.2">
      <c r="F3962" s="591">
        <v>3953</v>
      </c>
      <c r="G3962" s="420">
        <f t="shared" ca="1" si="69"/>
        <v>-2.6586658837708065E-2</v>
      </c>
    </row>
    <row r="3963" spans="6:7" x14ac:dyDescent="0.2">
      <c r="F3963" s="591">
        <v>3954</v>
      </c>
      <c r="G3963" s="420">
        <f t="shared" ca="1" si="69"/>
        <v>-3.5890105081941834E-2</v>
      </c>
    </row>
    <row r="3964" spans="6:7" x14ac:dyDescent="0.2">
      <c r="F3964" s="591">
        <v>3955</v>
      </c>
      <c r="G3964" s="420">
        <f t="shared" ca="1" si="69"/>
        <v>4.9901816800577384E-2</v>
      </c>
    </row>
    <row r="3965" spans="6:7" x14ac:dyDescent="0.2">
      <c r="F3965" s="591">
        <v>3956</v>
      </c>
      <c r="G3965" s="420">
        <f t="shared" ca="1" si="69"/>
        <v>2.4843534526066847E-2</v>
      </c>
    </row>
    <row r="3966" spans="6:7" x14ac:dyDescent="0.2">
      <c r="F3966" s="591">
        <v>3957</v>
      </c>
      <c r="G3966" s="420">
        <f t="shared" ca="1" si="69"/>
        <v>3.3719957050107177E-2</v>
      </c>
    </row>
    <row r="3967" spans="6:7" x14ac:dyDescent="0.2">
      <c r="F3967" s="591">
        <v>3958</v>
      </c>
      <c r="G3967" s="420">
        <f t="shared" ca="1" si="69"/>
        <v>-5.4009003686863066E-2</v>
      </c>
    </row>
    <row r="3968" spans="6:7" x14ac:dyDescent="0.2">
      <c r="F3968" s="591">
        <v>3959</v>
      </c>
      <c r="G3968" s="420">
        <f t="shared" ca="1" si="69"/>
        <v>8.6812724690292706E-2</v>
      </c>
    </row>
    <row r="3969" spans="6:7" x14ac:dyDescent="0.2">
      <c r="F3969" s="591">
        <v>3960</v>
      </c>
      <c r="G3969" s="420">
        <f t="shared" ca="1" si="69"/>
        <v>-2.1500026060409561E-2</v>
      </c>
    </row>
    <row r="3970" spans="6:7" x14ac:dyDescent="0.2">
      <c r="F3970" s="591">
        <v>3961</v>
      </c>
      <c r="G3970" s="420">
        <f t="shared" ca="1" si="69"/>
        <v>3.7459710315174158E-2</v>
      </c>
    </row>
    <row r="3971" spans="6:7" x14ac:dyDescent="0.2">
      <c r="F3971" s="591">
        <v>3962</v>
      </c>
      <c r="G3971" s="420">
        <f t="shared" ca="1" si="69"/>
        <v>-1.8992869616171439E-2</v>
      </c>
    </row>
    <row r="3972" spans="6:7" x14ac:dyDescent="0.2">
      <c r="F3972" s="591">
        <v>3963</v>
      </c>
      <c r="G3972" s="420">
        <f t="shared" ca="1" si="69"/>
        <v>-3.4453714014034603E-2</v>
      </c>
    </row>
    <row r="3973" spans="6:7" x14ac:dyDescent="0.2">
      <c r="F3973" s="591">
        <v>3964</v>
      </c>
      <c r="G3973" s="420">
        <f t="shared" ca="1" si="69"/>
        <v>7.1975335651245503E-2</v>
      </c>
    </row>
    <row r="3974" spans="6:7" x14ac:dyDescent="0.2">
      <c r="F3974" s="591">
        <v>3965</v>
      </c>
      <c r="G3974" s="420">
        <f t="shared" ca="1" si="69"/>
        <v>0.10854310912688384</v>
      </c>
    </row>
    <row r="3975" spans="6:7" x14ac:dyDescent="0.2">
      <c r="F3975" s="591">
        <v>3966</v>
      </c>
      <c r="G3975" s="420">
        <f t="shared" ca="1" si="69"/>
        <v>9.7499264317054246E-2</v>
      </c>
    </row>
    <row r="3976" spans="6:7" x14ac:dyDescent="0.2">
      <c r="F3976" s="591">
        <v>3967</v>
      </c>
      <c r="G3976" s="420">
        <f t="shared" ca="1" si="69"/>
        <v>-7.7013528876177517E-2</v>
      </c>
    </row>
    <row r="3977" spans="6:7" x14ac:dyDescent="0.2">
      <c r="F3977" s="591">
        <v>3968</v>
      </c>
      <c r="G3977" s="420">
        <f t="shared" ca="1" si="69"/>
        <v>-3.3350789656172389E-3</v>
      </c>
    </row>
    <row r="3978" spans="6:7" x14ac:dyDescent="0.2">
      <c r="F3978" s="591">
        <v>3969</v>
      </c>
      <c r="G3978" s="420">
        <f t="shared" ca="1" si="69"/>
        <v>-1.5662609681730562E-2</v>
      </c>
    </row>
    <row r="3979" spans="6:7" x14ac:dyDescent="0.2">
      <c r="F3979" s="591">
        <v>3970</v>
      </c>
      <c r="G3979" s="420">
        <f t="shared" ref="G3979:G4042" ca="1" si="70">_xlfn.NORM.INV(RAND(), $M$11,$M$12)</f>
        <v>1.4442067245087698E-2</v>
      </c>
    </row>
    <row r="3980" spans="6:7" x14ac:dyDescent="0.2">
      <c r="F3980" s="591">
        <v>3971</v>
      </c>
      <c r="G3980" s="420">
        <f t="shared" ca="1" si="70"/>
        <v>-7.0844299383973186E-2</v>
      </c>
    </row>
    <row r="3981" spans="6:7" x14ac:dyDescent="0.2">
      <c r="F3981" s="591">
        <v>3972</v>
      </c>
      <c r="G3981" s="420">
        <f t="shared" ca="1" si="70"/>
        <v>-3.5316811096347073E-2</v>
      </c>
    </row>
    <row r="3982" spans="6:7" x14ac:dyDescent="0.2">
      <c r="F3982" s="591">
        <v>3973</v>
      </c>
      <c r="G3982" s="420">
        <f t="shared" ca="1" si="70"/>
        <v>5.3483842144547905E-2</v>
      </c>
    </row>
    <row r="3983" spans="6:7" x14ac:dyDescent="0.2">
      <c r="F3983" s="591">
        <v>3974</v>
      </c>
      <c r="G3983" s="420">
        <f t="shared" ca="1" si="70"/>
        <v>9.895300828840807E-2</v>
      </c>
    </row>
    <row r="3984" spans="6:7" x14ac:dyDescent="0.2">
      <c r="F3984" s="591">
        <v>3975</v>
      </c>
      <c r="G3984" s="420">
        <f t="shared" ca="1" si="70"/>
        <v>5.2996243780851715E-2</v>
      </c>
    </row>
    <row r="3985" spans="6:7" x14ac:dyDescent="0.2">
      <c r="F3985" s="591">
        <v>3976</v>
      </c>
      <c r="G3985" s="420">
        <f t="shared" ca="1" si="70"/>
        <v>-3.7021417745050203E-2</v>
      </c>
    </row>
    <row r="3986" spans="6:7" x14ac:dyDescent="0.2">
      <c r="F3986" s="591">
        <v>3977</v>
      </c>
      <c r="G3986" s="420">
        <f t="shared" ca="1" si="70"/>
        <v>1.9676589404897193E-2</v>
      </c>
    </row>
    <row r="3987" spans="6:7" x14ac:dyDescent="0.2">
      <c r="F3987" s="591">
        <v>3978</v>
      </c>
      <c r="G3987" s="420">
        <f t="shared" ca="1" si="70"/>
        <v>2.3157696326140662E-2</v>
      </c>
    </row>
    <row r="3988" spans="6:7" x14ac:dyDescent="0.2">
      <c r="F3988" s="591">
        <v>3979</v>
      </c>
      <c r="G3988" s="420">
        <f t="shared" ca="1" si="70"/>
        <v>2.0572322389614837E-2</v>
      </c>
    </row>
    <row r="3989" spans="6:7" x14ac:dyDescent="0.2">
      <c r="F3989" s="591">
        <v>3980</v>
      </c>
      <c r="G3989" s="420">
        <f t="shared" ca="1" si="70"/>
        <v>2.0633833066229706E-2</v>
      </c>
    </row>
    <row r="3990" spans="6:7" x14ac:dyDescent="0.2">
      <c r="F3990" s="591">
        <v>3981</v>
      </c>
      <c r="G3990" s="420">
        <f t="shared" ca="1" si="70"/>
        <v>5.0814805359328752E-2</v>
      </c>
    </row>
    <row r="3991" spans="6:7" x14ac:dyDescent="0.2">
      <c r="F3991" s="591">
        <v>3982</v>
      </c>
      <c r="G3991" s="420">
        <f t="shared" ca="1" si="70"/>
        <v>-0.12069674731459139</v>
      </c>
    </row>
    <row r="3992" spans="6:7" x14ac:dyDescent="0.2">
      <c r="F3992" s="591">
        <v>3983</v>
      </c>
      <c r="G3992" s="420">
        <f t="shared" ca="1" si="70"/>
        <v>-1.8961371942313315E-2</v>
      </c>
    </row>
    <row r="3993" spans="6:7" x14ac:dyDescent="0.2">
      <c r="F3993" s="591">
        <v>3984</v>
      </c>
      <c r="G3993" s="420">
        <f t="shared" ca="1" si="70"/>
        <v>2.2753219630246443E-2</v>
      </c>
    </row>
    <row r="3994" spans="6:7" x14ac:dyDescent="0.2">
      <c r="F3994" s="591">
        <v>3985</v>
      </c>
      <c r="G3994" s="420">
        <f t="shared" ca="1" si="70"/>
        <v>-4.0093607351892931E-3</v>
      </c>
    </row>
    <row r="3995" spans="6:7" x14ac:dyDescent="0.2">
      <c r="F3995" s="591">
        <v>3986</v>
      </c>
      <c r="G3995" s="420">
        <f t="shared" ca="1" si="70"/>
        <v>-5.87418247370632E-2</v>
      </c>
    </row>
    <row r="3996" spans="6:7" x14ac:dyDescent="0.2">
      <c r="F3996" s="591">
        <v>3987</v>
      </c>
      <c r="G3996" s="420">
        <f t="shared" ca="1" si="70"/>
        <v>-8.6955105017737205E-2</v>
      </c>
    </row>
    <row r="3997" spans="6:7" x14ac:dyDescent="0.2">
      <c r="F3997" s="591">
        <v>3988</v>
      </c>
      <c r="G3997" s="420">
        <f t="shared" ca="1" si="70"/>
        <v>2.4421049368140581E-2</v>
      </c>
    </row>
    <row r="3998" spans="6:7" x14ac:dyDescent="0.2">
      <c r="F3998" s="591">
        <v>3989</v>
      </c>
      <c r="G3998" s="420">
        <f t="shared" ca="1" si="70"/>
        <v>5.9530363244655063E-2</v>
      </c>
    </row>
    <row r="3999" spans="6:7" x14ac:dyDescent="0.2">
      <c r="F3999" s="591">
        <v>3990</v>
      </c>
      <c r="G3999" s="420">
        <f t="shared" ca="1" si="70"/>
        <v>-1.9277037841351451E-3</v>
      </c>
    </row>
    <row r="4000" spans="6:7" x14ac:dyDescent="0.2">
      <c r="F4000" s="591">
        <v>3991</v>
      </c>
      <c r="G4000" s="420">
        <f t="shared" ca="1" si="70"/>
        <v>3.2893444159137392E-2</v>
      </c>
    </row>
    <row r="4001" spans="6:7" x14ac:dyDescent="0.2">
      <c r="F4001" s="591">
        <v>3992</v>
      </c>
      <c r="G4001" s="420">
        <f t="shared" ca="1" si="70"/>
        <v>1.7052412817505365E-2</v>
      </c>
    </row>
    <row r="4002" spans="6:7" x14ac:dyDescent="0.2">
      <c r="F4002" s="591">
        <v>3993</v>
      </c>
      <c r="G4002" s="420">
        <f t="shared" ca="1" si="70"/>
        <v>-3.7403928933427456E-3</v>
      </c>
    </row>
    <row r="4003" spans="6:7" x14ac:dyDescent="0.2">
      <c r="F4003" s="591">
        <v>3994</v>
      </c>
      <c r="G4003" s="420">
        <f t="shared" ca="1" si="70"/>
        <v>-1.6561827911872745E-3</v>
      </c>
    </row>
    <row r="4004" spans="6:7" x14ac:dyDescent="0.2">
      <c r="F4004" s="591">
        <v>3995</v>
      </c>
      <c r="G4004" s="420">
        <f t="shared" ca="1" si="70"/>
        <v>-4.4964235289211868E-2</v>
      </c>
    </row>
    <row r="4005" spans="6:7" x14ac:dyDescent="0.2">
      <c r="F4005" s="591">
        <v>3996</v>
      </c>
      <c r="G4005" s="420">
        <f t="shared" ca="1" si="70"/>
        <v>-3.8852041360719659E-3</v>
      </c>
    </row>
    <row r="4006" spans="6:7" x14ac:dyDescent="0.2">
      <c r="F4006" s="591">
        <v>3997</v>
      </c>
      <c r="G4006" s="420">
        <f t="shared" ca="1" si="70"/>
        <v>-6.6285043810411406E-2</v>
      </c>
    </row>
    <row r="4007" spans="6:7" x14ac:dyDescent="0.2">
      <c r="F4007" s="591">
        <v>3998</v>
      </c>
      <c r="G4007" s="420">
        <f t="shared" ca="1" si="70"/>
        <v>0.1255647347536161</v>
      </c>
    </row>
    <row r="4008" spans="6:7" x14ac:dyDescent="0.2">
      <c r="F4008" s="591">
        <v>3999</v>
      </c>
      <c r="G4008" s="420">
        <f t="shared" ca="1" si="70"/>
        <v>-4.6982962188485952E-2</v>
      </c>
    </row>
    <row r="4009" spans="6:7" x14ac:dyDescent="0.2">
      <c r="F4009" s="591">
        <v>4000</v>
      </c>
      <c r="G4009" s="420">
        <f t="shared" ca="1" si="70"/>
        <v>-0.10686353050217647</v>
      </c>
    </row>
    <row r="4010" spans="6:7" x14ac:dyDescent="0.2">
      <c r="F4010" s="591">
        <v>4001</v>
      </c>
      <c r="G4010" s="420">
        <f t="shared" ca="1" si="70"/>
        <v>-6.6797716474413779E-2</v>
      </c>
    </row>
    <row r="4011" spans="6:7" x14ac:dyDescent="0.2">
      <c r="F4011" s="591">
        <v>4002</v>
      </c>
      <c r="G4011" s="420">
        <f t="shared" ca="1" si="70"/>
        <v>-5.4893685931466069E-2</v>
      </c>
    </row>
    <row r="4012" spans="6:7" x14ac:dyDescent="0.2">
      <c r="F4012" s="591">
        <v>4003</v>
      </c>
      <c r="G4012" s="420">
        <f t="shared" ca="1" si="70"/>
        <v>4.3447578759652813E-2</v>
      </c>
    </row>
    <row r="4013" spans="6:7" x14ac:dyDescent="0.2">
      <c r="F4013" s="591">
        <v>4004</v>
      </c>
      <c r="G4013" s="420">
        <f t="shared" ca="1" si="70"/>
        <v>-1.2505685378630522E-2</v>
      </c>
    </row>
    <row r="4014" spans="6:7" x14ac:dyDescent="0.2">
      <c r="F4014" s="591">
        <v>4005</v>
      </c>
      <c r="G4014" s="420">
        <f t="shared" ca="1" si="70"/>
        <v>2.3544076617478996E-2</v>
      </c>
    </row>
    <row r="4015" spans="6:7" x14ac:dyDescent="0.2">
      <c r="F4015" s="591">
        <v>4006</v>
      </c>
      <c r="G4015" s="420">
        <f t="shared" ca="1" si="70"/>
        <v>-4.2199466034232566E-2</v>
      </c>
    </row>
    <row r="4016" spans="6:7" x14ac:dyDescent="0.2">
      <c r="F4016" s="591">
        <v>4007</v>
      </c>
      <c r="G4016" s="420">
        <f t="shared" ca="1" si="70"/>
        <v>-0.10518585829449587</v>
      </c>
    </row>
    <row r="4017" spans="6:7" x14ac:dyDescent="0.2">
      <c r="F4017" s="591">
        <v>4008</v>
      </c>
      <c r="G4017" s="420">
        <f t="shared" ca="1" si="70"/>
        <v>-7.8792408020493213E-2</v>
      </c>
    </row>
    <row r="4018" spans="6:7" x14ac:dyDescent="0.2">
      <c r="F4018" s="591">
        <v>4009</v>
      </c>
      <c r="G4018" s="420">
        <f t="shared" ca="1" si="70"/>
        <v>6.1229487429611207E-2</v>
      </c>
    </row>
    <row r="4019" spans="6:7" x14ac:dyDescent="0.2">
      <c r="F4019" s="591">
        <v>4010</v>
      </c>
      <c r="G4019" s="420">
        <f t="shared" ca="1" si="70"/>
        <v>-1.4331059218115096E-2</v>
      </c>
    </row>
    <row r="4020" spans="6:7" x14ac:dyDescent="0.2">
      <c r="F4020" s="591">
        <v>4011</v>
      </c>
      <c r="G4020" s="420">
        <f t="shared" ca="1" si="70"/>
        <v>4.5531699653574134E-2</v>
      </c>
    </row>
    <row r="4021" spans="6:7" x14ac:dyDescent="0.2">
      <c r="F4021" s="591">
        <v>4012</v>
      </c>
      <c r="G4021" s="420">
        <f t="shared" ca="1" si="70"/>
        <v>9.7324936670825923E-2</v>
      </c>
    </row>
    <row r="4022" spans="6:7" x14ac:dyDescent="0.2">
      <c r="F4022" s="591">
        <v>4013</v>
      </c>
      <c r="G4022" s="420">
        <f t="shared" ca="1" si="70"/>
        <v>4.4761011170961248E-2</v>
      </c>
    </row>
    <row r="4023" spans="6:7" x14ac:dyDescent="0.2">
      <c r="F4023" s="591">
        <v>4014</v>
      </c>
      <c r="G4023" s="420">
        <f t="shared" ca="1" si="70"/>
        <v>2.1062192521125629E-2</v>
      </c>
    </row>
    <row r="4024" spans="6:7" x14ac:dyDescent="0.2">
      <c r="F4024" s="591">
        <v>4015</v>
      </c>
      <c r="G4024" s="420">
        <f t="shared" ca="1" si="70"/>
        <v>4.7621318163107801E-2</v>
      </c>
    </row>
    <row r="4025" spans="6:7" x14ac:dyDescent="0.2">
      <c r="F4025" s="591">
        <v>4016</v>
      </c>
      <c r="G4025" s="420">
        <f t="shared" ca="1" si="70"/>
        <v>-7.1659485933211441E-3</v>
      </c>
    </row>
    <row r="4026" spans="6:7" x14ac:dyDescent="0.2">
      <c r="F4026" s="591">
        <v>4017</v>
      </c>
      <c r="G4026" s="420">
        <f t="shared" ca="1" si="70"/>
        <v>1.4427520003643203E-2</v>
      </c>
    </row>
    <row r="4027" spans="6:7" x14ac:dyDescent="0.2">
      <c r="F4027" s="591">
        <v>4018</v>
      </c>
      <c r="G4027" s="420">
        <f t="shared" ca="1" si="70"/>
        <v>6.2705900926800437E-2</v>
      </c>
    </row>
    <row r="4028" spans="6:7" x14ac:dyDescent="0.2">
      <c r="F4028" s="591">
        <v>4019</v>
      </c>
      <c r="G4028" s="420">
        <f t="shared" ca="1" si="70"/>
        <v>4.410375244211498E-2</v>
      </c>
    </row>
    <row r="4029" spans="6:7" x14ac:dyDescent="0.2">
      <c r="F4029" s="591">
        <v>4020</v>
      </c>
      <c r="G4029" s="420">
        <f t="shared" ca="1" si="70"/>
        <v>2.6943504489379169E-2</v>
      </c>
    </row>
    <row r="4030" spans="6:7" x14ac:dyDescent="0.2">
      <c r="F4030" s="591">
        <v>4021</v>
      </c>
      <c r="G4030" s="420">
        <f t="shared" ca="1" si="70"/>
        <v>7.0117373301704242E-2</v>
      </c>
    </row>
    <row r="4031" spans="6:7" x14ac:dyDescent="0.2">
      <c r="F4031" s="591">
        <v>4022</v>
      </c>
      <c r="G4031" s="420">
        <f t="shared" ca="1" si="70"/>
        <v>-6.6713865811932095E-3</v>
      </c>
    </row>
    <row r="4032" spans="6:7" x14ac:dyDescent="0.2">
      <c r="F4032" s="591">
        <v>4023</v>
      </c>
      <c r="G4032" s="420">
        <f t="shared" ca="1" si="70"/>
        <v>8.3278589744017847E-2</v>
      </c>
    </row>
    <row r="4033" spans="6:7" x14ac:dyDescent="0.2">
      <c r="F4033" s="591">
        <v>4024</v>
      </c>
      <c r="G4033" s="420">
        <f t="shared" ca="1" si="70"/>
        <v>3.7214110756043903E-2</v>
      </c>
    </row>
    <row r="4034" spans="6:7" x14ac:dyDescent="0.2">
      <c r="F4034" s="591">
        <v>4025</v>
      </c>
      <c r="G4034" s="420">
        <f t="shared" ca="1" si="70"/>
        <v>-4.3183844053094028E-2</v>
      </c>
    </row>
    <row r="4035" spans="6:7" x14ac:dyDescent="0.2">
      <c r="F4035" s="591">
        <v>4026</v>
      </c>
      <c r="G4035" s="420">
        <f t="shared" ca="1" si="70"/>
        <v>-3.5381309288434026E-2</v>
      </c>
    </row>
    <row r="4036" spans="6:7" x14ac:dyDescent="0.2">
      <c r="F4036" s="591">
        <v>4027</v>
      </c>
      <c r="G4036" s="420">
        <f t="shared" ca="1" si="70"/>
        <v>-7.2271768251656564E-3</v>
      </c>
    </row>
    <row r="4037" spans="6:7" x14ac:dyDescent="0.2">
      <c r="F4037" s="591">
        <v>4028</v>
      </c>
      <c r="G4037" s="420">
        <f t="shared" ca="1" si="70"/>
        <v>-2.2602983404679502E-2</v>
      </c>
    </row>
    <row r="4038" spans="6:7" x14ac:dyDescent="0.2">
      <c r="F4038" s="591">
        <v>4029</v>
      </c>
      <c r="G4038" s="420">
        <f t="shared" ca="1" si="70"/>
        <v>1.272882557734375E-2</v>
      </c>
    </row>
    <row r="4039" spans="6:7" x14ac:dyDescent="0.2">
      <c r="F4039" s="591">
        <v>4030</v>
      </c>
      <c r="G4039" s="420">
        <f t="shared" ca="1" si="70"/>
        <v>-3.531487469322224E-2</v>
      </c>
    </row>
    <row r="4040" spans="6:7" x14ac:dyDescent="0.2">
      <c r="F4040" s="591">
        <v>4031</v>
      </c>
      <c r="G4040" s="420">
        <f t="shared" ca="1" si="70"/>
        <v>8.8277780759020846E-3</v>
      </c>
    </row>
    <row r="4041" spans="6:7" x14ac:dyDescent="0.2">
      <c r="F4041" s="591">
        <v>4032</v>
      </c>
      <c r="G4041" s="420">
        <f t="shared" ca="1" si="70"/>
        <v>-7.4209592583199362E-3</v>
      </c>
    </row>
    <row r="4042" spans="6:7" x14ac:dyDescent="0.2">
      <c r="F4042" s="591">
        <v>4033</v>
      </c>
      <c r="G4042" s="420">
        <f t="shared" ca="1" si="70"/>
        <v>6.526673412156514E-2</v>
      </c>
    </row>
    <row r="4043" spans="6:7" x14ac:dyDescent="0.2">
      <c r="F4043" s="591">
        <v>4034</v>
      </c>
      <c r="G4043" s="420">
        <f t="shared" ref="G4043:G4106" ca="1" si="71">_xlfn.NORM.INV(RAND(), $M$11,$M$12)</f>
        <v>-1.7177692303667839E-2</v>
      </c>
    </row>
    <row r="4044" spans="6:7" x14ac:dyDescent="0.2">
      <c r="F4044" s="591">
        <v>4035</v>
      </c>
      <c r="G4044" s="420">
        <f t="shared" ca="1" si="71"/>
        <v>-3.6904519790873544E-2</v>
      </c>
    </row>
    <row r="4045" spans="6:7" x14ac:dyDescent="0.2">
      <c r="F4045" s="591">
        <v>4036</v>
      </c>
      <c r="G4045" s="420">
        <f t="shared" ca="1" si="71"/>
        <v>-9.1680523847851914E-2</v>
      </c>
    </row>
    <row r="4046" spans="6:7" x14ac:dyDescent="0.2">
      <c r="F4046" s="591">
        <v>4037</v>
      </c>
      <c r="G4046" s="420">
        <f t="shared" ca="1" si="71"/>
        <v>2.4789403093026227E-2</v>
      </c>
    </row>
    <row r="4047" spans="6:7" x14ac:dyDescent="0.2">
      <c r="F4047" s="591">
        <v>4038</v>
      </c>
      <c r="G4047" s="420">
        <f t="shared" ca="1" si="71"/>
        <v>5.5013491171193585E-5</v>
      </c>
    </row>
    <row r="4048" spans="6:7" x14ac:dyDescent="0.2">
      <c r="F4048" s="591">
        <v>4039</v>
      </c>
      <c r="G4048" s="420">
        <f t="shared" ca="1" si="71"/>
        <v>4.2768401520485153E-2</v>
      </c>
    </row>
    <row r="4049" spans="6:7" x14ac:dyDescent="0.2">
      <c r="F4049" s="591">
        <v>4040</v>
      </c>
      <c r="G4049" s="420">
        <f t="shared" ca="1" si="71"/>
        <v>-0.10250985583045925</v>
      </c>
    </row>
    <row r="4050" spans="6:7" x14ac:dyDescent="0.2">
      <c r="F4050" s="591">
        <v>4041</v>
      </c>
      <c r="G4050" s="420">
        <f t="shared" ca="1" si="71"/>
        <v>-1.3794133671583636E-2</v>
      </c>
    </row>
    <row r="4051" spans="6:7" x14ac:dyDescent="0.2">
      <c r="F4051" s="591">
        <v>4042</v>
      </c>
      <c r="G4051" s="420">
        <f t="shared" ca="1" si="71"/>
        <v>-1.1210007791922393E-2</v>
      </c>
    </row>
    <row r="4052" spans="6:7" x14ac:dyDescent="0.2">
      <c r="F4052" s="591">
        <v>4043</v>
      </c>
      <c r="G4052" s="420">
        <f t="shared" ca="1" si="71"/>
        <v>2.464727001045464E-2</v>
      </c>
    </row>
    <row r="4053" spans="6:7" x14ac:dyDescent="0.2">
      <c r="F4053" s="591">
        <v>4044</v>
      </c>
      <c r="G4053" s="420">
        <f t="shared" ca="1" si="71"/>
        <v>0.14438688121391943</v>
      </c>
    </row>
    <row r="4054" spans="6:7" x14ac:dyDescent="0.2">
      <c r="F4054" s="591">
        <v>4045</v>
      </c>
      <c r="G4054" s="420">
        <f t="shared" ca="1" si="71"/>
        <v>2.9904127127852283E-2</v>
      </c>
    </row>
    <row r="4055" spans="6:7" x14ac:dyDescent="0.2">
      <c r="F4055" s="591">
        <v>4046</v>
      </c>
      <c r="G4055" s="420">
        <f t="shared" ca="1" si="71"/>
        <v>-7.1906985479486651E-2</v>
      </c>
    </row>
    <row r="4056" spans="6:7" x14ac:dyDescent="0.2">
      <c r="F4056" s="591">
        <v>4047</v>
      </c>
      <c r="G4056" s="420">
        <f t="shared" ca="1" si="71"/>
        <v>-2.7509039625017686E-2</v>
      </c>
    </row>
    <row r="4057" spans="6:7" x14ac:dyDescent="0.2">
      <c r="F4057" s="591">
        <v>4048</v>
      </c>
      <c r="G4057" s="420">
        <f t="shared" ca="1" si="71"/>
        <v>0.1037512376951714</v>
      </c>
    </row>
    <row r="4058" spans="6:7" x14ac:dyDescent="0.2">
      <c r="F4058" s="591">
        <v>4049</v>
      </c>
      <c r="G4058" s="420">
        <f t="shared" ca="1" si="71"/>
        <v>7.5544469727888107E-3</v>
      </c>
    </row>
    <row r="4059" spans="6:7" x14ac:dyDescent="0.2">
      <c r="F4059" s="591">
        <v>4050</v>
      </c>
      <c r="G4059" s="420">
        <f t="shared" ca="1" si="71"/>
        <v>0.16061398214240763</v>
      </c>
    </row>
    <row r="4060" spans="6:7" x14ac:dyDescent="0.2">
      <c r="F4060" s="591">
        <v>4051</v>
      </c>
      <c r="G4060" s="420">
        <f t="shared" ca="1" si="71"/>
        <v>-2.8720679697019708E-2</v>
      </c>
    </row>
    <row r="4061" spans="6:7" x14ac:dyDescent="0.2">
      <c r="F4061" s="591">
        <v>4052</v>
      </c>
      <c r="G4061" s="420">
        <f t="shared" ca="1" si="71"/>
        <v>4.3534864193445502E-2</v>
      </c>
    </row>
    <row r="4062" spans="6:7" x14ac:dyDescent="0.2">
      <c r="F4062" s="591">
        <v>4053</v>
      </c>
      <c r="G4062" s="420">
        <f t="shared" ca="1" si="71"/>
        <v>3.2900202601368521E-2</v>
      </c>
    </row>
    <row r="4063" spans="6:7" x14ac:dyDescent="0.2">
      <c r="F4063" s="591">
        <v>4054</v>
      </c>
      <c r="G4063" s="420">
        <f t="shared" ca="1" si="71"/>
        <v>0.10426106358882323</v>
      </c>
    </row>
    <row r="4064" spans="6:7" x14ac:dyDescent="0.2">
      <c r="F4064" s="591">
        <v>4055</v>
      </c>
      <c r="G4064" s="420">
        <f t="shared" ca="1" si="71"/>
        <v>6.9937347966292737E-2</v>
      </c>
    </row>
    <row r="4065" spans="6:7" x14ac:dyDescent="0.2">
      <c r="F4065" s="591">
        <v>4056</v>
      </c>
      <c r="G4065" s="420">
        <f t="shared" ca="1" si="71"/>
        <v>2.3748950576316149E-3</v>
      </c>
    </row>
    <row r="4066" spans="6:7" x14ac:dyDescent="0.2">
      <c r="F4066" s="591">
        <v>4057</v>
      </c>
      <c r="G4066" s="420">
        <f t="shared" ca="1" si="71"/>
        <v>3.6201438911024286E-2</v>
      </c>
    </row>
    <row r="4067" spans="6:7" x14ac:dyDescent="0.2">
      <c r="F4067" s="591">
        <v>4058</v>
      </c>
      <c r="G4067" s="420">
        <f t="shared" ca="1" si="71"/>
        <v>-7.7177965316105566E-3</v>
      </c>
    </row>
    <row r="4068" spans="6:7" x14ac:dyDescent="0.2">
      <c r="F4068" s="591">
        <v>4059</v>
      </c>
      <c r="G4068" s="420">
        <f t="shared" ca="1" si="71"/>
        <v>8.9405340962276314E-2</v>
      </c>
    </row>
    <row r="4069" spans="6:7" x14ac:dyDescent="0.2">
      <c r="F4069" s="591">
        <v>4060</v>
      </c>
      <c r="G4069" s="420">
        <f t="shared" ca="1" si="71"/>
        <v>-0.10023316207670087</v>
      </c>
    </row>
    <row r="4070" spans="6:7" x14ac:dyDescent="0.2">
      <c r="F4070" s="591">
        <v>4061</v>
      </c>
      <c r="G4070" s="420">
        <f t="shared" ca="1" si="71"/>
        <v>-0.11130027038403595</v>
      </c>
    </row>
    <row r="4071" spans="6:7" x14ac:dyDescent="0.2">
      <c r="F4071" s="591">
        <v>4062</v>
      </c>
      <c r="G4071" s="420">
        <f t="shared" ca="1" si="71"/>
        <v>4.5170338500476456E-2</v>
      </c>
    </row>
    <row r="4072" spans="6:7" x14ac:dyDescent="0.2">
      <c r="F4072" s="591">
        <v>4063</v>
      </c>
      <c r="G4072" s="420">
        <f t="shared" ca="1" si="71"/>
        <v>-0.11394724794921092</v>
      </c>
    </row>
    <row r="4073" spans="6:7" x14ac:dyDescent="0.2">
      <c r="F4073" s="591">
        <v>4064</v>
      </c>
      <c r="G4073" s="420">
        <f t="shared" ca="1" si="71"/>
        <v>-5.8557506518793018E-2</v>
      </c>
    </row>
    <row r="4074" spans="6:7" x14ac:dyDescent="0.2">
      <c r="F4074" s="591">
        <v>4065</v>
      </c>
      <c r="G4074" s="420">
        <f t="shared" ca="1" si="71"/>
        <v>-1.885154147207864E-3</v>
      </c>
    </row>
    <row r="4075" spans="6:7" x14ac:dyDescent="0.2">
      <c r="F4075" s="591">
        <v>4066</v>
      </c>
      <c r="G4075" s="420">
        <f t="shared" ca="1" si="71"/>
        <v>3.7684019897863755E-2</v>
      </c>
    </row>
    <row r="4076" spans="6:7" x14ac:dyDescent="0.2">
      <c r="F4076" s="591">
        <v>4067</v>
      </c>
      <c r="G4076" s="420">
        <f t="shared" ca="1" si="71"/>
        <v>0.14584238344481887</v>
      </c>
    </row>
    <row r="4077" spans="6:7" x14ac:dyDescent="0.2">
      <c r="F4077" s="591">
        <v>4068</v>
      </c>
      <c r="G4077" s="420">
        <f t="shared" ca="1" si="71"/>
        <v>9.7224235124363761E-2</v>
      </c>
    </row>
    <row r="4078" spans="6:7" x14ac:dyDescent="0.2">
      <c r="F4078" s="591">
        <v>4069</v>
      </c>
      <c r="G4078" s="420">
        <f t="shared" ca="1" si="71"/>
        <v>-7.7882381574999715E-2</v>
      </c>
    </row>
    <row r="4079" spans="6:7" x14ac:dyDescent="0.2">
      <c r="F4079" s="591">
        <v>4070</v>
      </c>
      <c r="G4079" s="420">
        <f t="shared" ca="1" si="71"/>
        <v>-4.1420822941811361E-2</v>
      </c>
    </row>
    <row r="4080" spans="6:7" x14ac:dyDescent="0.2">
      <c r="F4080" s="591">
        <v>4071</v>
      </c>
      <c r="G4080" s="420">
        <f t="shared" ca="1" si="71"/>
        <v>-5.1084897171057062E-2</v>
      </c>
    </row>
    <row r="4081" spans="6:7" x14ac:dyDescent="0.2">
      <c r="F4081" s="591">
        <v>4072</v>
      </c>
      <c r="G4081" s="420">
        <f t="shared" ca="1" si="71"/>
        <v>2.591853641852028E-2</v>
      </c>
    </row>
    <row r="4082" spans="6:7" x14ac:dyDescent="0.2">
      <c r="F4082" s="591">
        <v>4073</v>
      </c>
      <c r="G4082" s="420">
        <f t="shared" ca="1" si="71"/>
        <v>-7.4976400125760373E-3</v>
      </c>
    </row>
    <row r="4083" spans="6:7" x14ac:dyDescent="0.2">
      <c r="F4083" s="591">
        <v>4074</v>
      </c>
      <c r="G4083" s="420">
        <f t="shared" ca="1" si="71"/>
        <v>-2.0053209511964824E-2</v>
      </c>
    </row>
    <row r="4084" spans="6:7" x14ac:dyDescent="0.2">
      <c r="F4084" s="591">
        <v>4075</v>
      </c>
      <c r="G4084" s="420">
        <f t="shared" ca="1" si="71"/>
        <v>-6.1420270686049924E-2</v>
      </c>
    </row>
    <row r="4085" spans="6:7" x14ac:dyDescent="0.2">
      <c r="F4085" s="591">
        <v>4076</v>
      </c>
      <c r="G4085" s="420">
        <f t="shared" ca="1" si="71"/>
        <v>6.3986133044334814E-2</v>
      </c>
    </row>
    <row r="4086" spans="6:7" x14ac:dyDescent="0.2">
      <c r="F4086" s="591">
        <v>4077</v>
      </c>
      <c r="G4086" s="420">
        <f t="shared" ca="1" si="71"/>
        <v>8.8607492224654541E-2</v>
      </c>
    </row>
    <row r="4087" spans="6:7" x14ac:dyDescent="0.2">
      <c r="F4087" s="591">
        <v>4078</v>
      </c>
      <c r="G4087" s="420">
        <f t="shared" ca="1" si="71"/>
        <v>-3.3904806677865273E-2</v>
      </c>
    </row>
    <row r="4088" spans="6:7" x14ac:dyDescent="0.2">
      <c r="F4088" s="591">
        <v>4079</v>
      </c>
      <c r="G4088" s="420">
        <f t="shared" ca="1" si="71"/>
        <v>-6.8288798888269581E-2</v>
      </c>
    </row>
    <row r="4089" spans="6:7" x14ac:dyDescent="0.2">
      <c r="F4089" s="591">
        <v>4080</v>
      </c>
      <c r="G4089" s="420">
        <f t="shared" ca="1" si="71"/>
        <v>1.7754016204503641E-2</v>
      </c>
    </row>
    <row r="4090" spans="6:7" x14ac:dyDescent="0.2">
      <c r="F4090" s="591">
        <v>4081</v>
      </c>
      <c r="G4090" s="420">
        <f t="shared" ca="1" si="71"/>
        <v>3.2007051652822985E-2</v>
      </c>
    </row>
    <row r="4091" spans="6:7" x14ac:dyDescent="0.2">
      <c r="F4091" s="591">
        <v>4082</v>
      </c>
      <c r="G4091" s="420">
        <f t="shared" ca="1" si="71"/>
        <v>-1.0982553205821824E-2</v>
      </c>
    </row>
    <row r="4092" spans="6:7" x14ac:dyDescent="0.2">
      <c r="F4092" s="591">
        <v>4083</v>
      </c>
      <c r="G4092" s="420">
        <f t="shared" ca="1" si="71"/>
        <v>0.1181627615837554</v>
      </c>
    </row>
    <row r="4093" spans="6:7" x14ac:dyDescent="0.2">
      <c r="F4093" s="591">
        <v>4084</v>
      </c>
      <c r="G4093" s="420">
        <f t="shared" ca="1" si="71"/>
        <v>3.1405034614994873E-4</v>
      </c>
    </row>
    <row r="4094" spans="6:7" x14ac:dyDescent="0.2">
      <c r="F4094" s="591">
        <v>4085</v>
      </c>
      <c r="G4094" s="420">
        <f t="shared" ca="1" si="71"/>
        <v>-9.3242396879514647E-2</v>
      </c>
    </row>
    <row r="4095" spans="6:7" x14ac:dyDescent="0.2">
      <c r="F4095" s="591">
        <v>4086</v>
      </c>
      <c r="G4095" s="420">
        <f t="shared" ca="1" si="71"/>
        <v>-1.8189117874424027E-2</v>
      </c>
    </row>
    <row r="4096" spans="6:7" x14ac:dyDescent="0.2">
      <c r="F4096" s="591">
        <v>4087</v>
      </c>
      <c r="G4096" s="420">
        <f t="shared" ca="1" si="71"/>
        <v>0.12317481669086937</v>
      </c>
    </row>
    <row r="4097" spans="6:7" x14ac:dyDescent="0.2">
      <c r="F4097" s="591">
        <v>4088</v>
      </c>
      <c r="G4097" s="420">
        <f t="shared" ca="1" si="71"/>
        <v>-2.6966090591471068E-2</v>
      </c>
    </row>
    <row r="4098" spans="6:7" x14ac:dyDescent="0.2">
      <c r="F4098" s="591">
        <v>4089</v>
      </c>
      <c r="G4098" s="420">
        <f t="shared" ca="1" si="71"/>
        <v>0.10693502982528091</v>
      </c>
    </row>
    <row r="4099" spans="6:7" x14ac:dyDescent="0.2">
      <c r="F4099" s="591">
        <v>4090</v>
      </c>
      <c r="G4099" s="420">
        <f t="shared" ca="1" si="71"/>
        <v>-0.10016028478169307</v>
      </c>
    </row>
    <row r="4100" spans="6:7" x14ac:dyDescent="0.2">
      <c r="F4100" s="591">
        <v>4091</v>
      </c>
      <c r="G4100" s="420">
        <f t="shared" ca="1" si="71"/>
        <v>5.4170520675601408E-2</v>
      </c>
    </row>
    <row r="4101" spans="6:7" x14ac:dyDescent="0.2">
      <c r="F4101" s="591">
        <v>4092</v>
      </c>
      <c r="G4101" s="420">
        <f t="shared" ca="1" si="71"/>
        <v>-3.7222544165395402E-2</v>
      </c>
    </row>
    <row r="4102" spans="6:7" x14ac:dyDescent="0.2">
      <c r="F4102" s="591">
        <v>4093</v>
      </c>
      <c r="G4102" s="420">
        <f t="shared" ca="1" si="71"/>
        <v>1.0195050364846591E-2</v>
      </c>
    </row>
    <row r="4103" spans="6:7" x14ac:dyDescent="0.2">
      <c r="F4103" s="591">
        <v>4094</v>
      </c>
      <c r="G4103" s="420">
        <f t="shared" ca="1" si="71"/>
        <v>2.9260684033227066E-2</v>
      </c>
    </row>
    <row r="4104" spans="6:7" x14ac:dyDescent="0.2">
      <c r="F4104" s="591">
        <v>4095</v>
      </c>
      <c r="G4104" s="420">
        <f t="shared" ca="1" si="71"/>
        <v>-3.7221238984881493E-4</v>
      </c>
    </row>
    <row r="4105" spans="6:7" x14ac:dyDescent="0.2">
      <c r="F4105" s="591">
        <v>4096</v>
      </c>
      <c r="G4105" s="420">
        <f t="shared" ca="1" si="71"/>
        <v>0.11470978299415835</v>
      </c>
    </row>
    <row r="4106" spans="6:7" x14ac:dyDescent="0.2">
      <c r="F4106" s="591">
        <v>4097</v>
      </c>
      <c r="G4106" s="420">
        <f t="shared" ca="1" si="71"/>
        <v>0.18363610579394829</v>
      </c>
    </row>
    <row r="4107" spans="6:7" x14ac:dyDescent="0.2">
      <c r="F4107" s="591">
        <v>4098</v>
      </c>
      <c r="G4107" s="420">
        <f t="shared" ref="G4107:G4170" ca="1" si="72">_xlfn.NORM.INV(RAND(), $M$11,$M$12)</f>
        <v>-0.13679072568584075</v>
      </c>
    </row>
    <row r="4108" spans="6:7" x14ac:dyDescent="0.2">
      <c r="F4108" s="591">
        <v>4099</v>
      </c>
      <c r="G4108" s="420">
        <f t="shared" ca="1" si="72"/>
        <v>6.754523878066486E-2</v>
      </c>
    </row>
    <row r="4109" spans="6:7" x14ac:dyDescent="0.2">
      <c r="F4109" s="591">
        <v>4100</v>
      </c>
      <c r="G4109" s="420">
        <f t="shared" ca="1" si="72"/>
        <v>0.10007619774667244</v>
      </c>
    </row>
    <row r="4110" spans="6:7" x14ac:dyDescent="0.2">
      <c r="F4110" s="591">
        <v>4101</v>
      </c>
      <c r="G4110" s="420">
        <f t="shared" ca="1" si="72"/>
        <v>-5.8164236685542284E-2</v>
      </c>
    </row>
    <row r="4111" spans="6:7" x14ac:dyDescent="0.2">
      <c r="F4111" s="591">
        <v>4102</v>
      </c>
      <c r="G4111" s="420">
        <f t="shared" ca="1" si="72"/>
        <v>0.14645555811680389</v>
      </c>
    </row>
    <row r="4112" spans="6:7" x14ac:dyDescent="0.2">
      <c r="F4112" s="591">
        <v>4103</v>
      </c>
      <c r="G4112" s="420">
        <f t="shared" ca="1" si="72"/>
        <v>-2.9633951412398826E-2</v>
      </c>
    </row>
    <row r="4113" spans="6:7" x14ac:dyDescent="0.2">
      <c r="F4113" s="591">
        <v>4104</v>
      </c>
      <c r="G4113" s="420">
        <f t="shared" ca="1" si="72"/>
        <v>0.13585752024083464</v>
      </c>
    </row>
    <row r="4114" spans="6:7" x14ac:dyDescent="0.2">
      <c r="F4114" s="591">
        <v>4105</v>
      </c>
      <c r="G4114" s="420">
        <f t="shared" ca="1" si="72"/>
        <v>-0.13348477181255955</v>
      </c>
    </row>
    <row r="4115" spans="6:7" x14ac:dyDescent="0.2">
      <c r="F4115" s="591">
        <v>4106</v>
      </c>
      <c r="G4115" s="420">
        <f t="shared" ca="1" si="72"/>
        <v>7.6495305417449061E-2</v>
      </c>
    </row>
    <row r="4116" spans="6:7" x14ac:dyDescent="0.2">
      <c r="F4116" s="591">
        <v>4107</v>
      </c>
      <c r="G4116" s="420">
        <f t="shared" ca="1" si="72"/>
        <v>7.8221524969174686E-2</v>
      </c>
    </row>
    <row r="4117" spans="6:7" x14ac:dyDescent="0.2">
      <c r="F4117" s="591">
        <v>4108</v>
      </c>
      <c r="G4117" s="420">
        <f t="shared" ca="1" si="72"/>
        <v>-0.13759006352469033</v>
      </c>
    </row>
    <row r="4118" spans="6:7" x14ac:dyDescent="0.2">
      <c r="F4118" s="591">
        <v>4109</v>
      </c>
      <c r="G4118" s="420">
        <f t="shared" ca="1" si="72"/>
        <v>7.2801655429433232E-2</v>
      </c>
    </row>
    <row r="4119" spans="6:7" x14ac:dyDescent="0.2">
      <c r="F4119" s="591">
        <v>4110</v>
      </c>
      <c r="G4119" s="420">
        <f t="shared" ca="1" si="72"/>
        <v>-2.3225068982825389E-2</v>
      </c>
    </row>
    <row r="4120" spans="6:7" x14ac:dyDescent="0.2">
      <c r="F4120" s="591">
        <v>4111</v>
      </c>
      <c r="G4120" s="420">
        <f t="shared" ca="1" si="72"/>
        <v>7.1365601257830803E-3</v>
      </c>
    </row>
    <row r="4121" spans="6:7" x14ac:dyDescent="0.2">
      <c r="F4121" s="591">
        <v>4112</v>
      </c>
      <c r="G4121" s="420">
        <f t="shared" ca="1" si="72"/>
        <v>9.0068584718585587E-3</v>
      </c>
    </row>
    <row r="4122" spans="6:7" x14ac:dyDescent="0.2">
      <c r="F4122" s="591">
        <v>4113</v>
      </c>
      <c r="G4122" s="420">
        <f t="shared" ca="1" si="72"/>
        <v>-2.069011712202377E-2</v>
      </c>
    </row>
    <row r="4123" spans="6:7" x14ac:dyDescent="0.2">
      <c r="F4123" s="591">
        <v>4114</v>
      </c>
      <c r="G4123" s="420">
        <f t="shared" ca="1" si="72"/>
        <v>-2.1922353433584642E-2</v>
      </c>
    </row>
    <row r="4124" spans="6:7" x14ac:dyDescent="0.2">
      <c r="F4124" s="591">
        <v>4115</v>
      </c>
      <c r="G4124" s="420">
        <f t="shared" ca="1" si="72"/>
        <v>-8.0723863518415845E-3</v>
      </c>
    </row>
    <row r="4125" spans="6:7" x14ac:dyDescent="0.2">
      <c r="F4125" s="591">
        <v>4116</v>
      </c>
      <c r="G4125" s="420">
        <f t="shared" ca="1" si="72"/>
        <v>4.4584384769097429E-2</v>
      </c>
    </row>
    <row r="4126" spans="6:7" x14ac:dyDescent="0.2">
      <c r="F4126" s="591">
        <v>4117</v>
      </c>
      <c r="G4126" s="420">
        <f t="shared" ca="1" si="72"/>
        <v>3.0274841455971317E-2</v>
      </c>
    </row>
    <row r="4127" spans="6:7" x14ac:dyDescent="0.2">
      <c r="F4127" s="591">
        <v>4118</v>
      </c>
      <c r="G4127" s="420">
        <f t="shared" ca="1" si="72"/>
        <v>-7.7863449506898573E-3</v>
      </c>
    </row>
    <row r="4128" spans="6:7" x14ac:dyDescent="0.2">
      <c r="F4128" s="591">
        <v>4119</v>
      </c>
      <c r="G4128" s="420">
        <f t="shared" ca="1" si="72"/>
        <v>3.4218418717500212E-3</v>
      </c>
    </row>
    <row r="4129" spans="6:7" x14ac:dyDescent="0.2">
      <c r="F4129" s="591">
        <v>4120</v>
      </c>
      <c r="G4129" s="420">
        <f t="shared" ca="1" si="72"/>
        <v>0.13473726505169795</v>
      </c>
    </row>
    <row r="4130" spans="6:7" x14ac:dyDescent="0.2">
      <c r="F4130" s="591">
        <v>4121</v>
      </c>
      <c r="G4130" s="420">
        <f t="shared" ca="1" si="72"/>
        <v>3.8050980465661369E-2</v>
      </c>
    </row>
    <row r="4131" spans="6:7" x14ac:dyDescent="0.2">
      <c r="F4131" s="591">
        <v>4122</v>
      </c>
      <c r="G4131" s="420">
        <f t="shared" ca="1" si="72"/>
        <v>-6.9424533175819578E-2</v>
      </c>
    </row>
    <row r="4132" spans="6:7" x14ac:dyDescent="0.2">
      <c r="F4132" s="591">
        <v>4123</v>
      </c>
      <c r="G4132" s="420">
        <f t="shared" ca="1" si="72"/>
        <v>-2.3472382485338898E-2</v>
      </c>
    </row>
    <row r="4133" spans="6:7" x14ac:dyDescent="0.2">
      <c r="F4133" s="591">
        <v>4124</v>
      </c>
      <c r="G4133" s="420">
        <f t="shared" ca="1" si="72"/>
        <v>-2.5012260765079678E-2</v>
      </c>
    </row>
    <row r="4134" spans="6:7" x14ac:dyDescent="0.2">
      <c r="F4134" s="591">
        <v>4125</v>
      </c>
      <c r="G4134" s="420">
        <f t="shared" ca="1" si="72"/>
        <v>9.3009042243514597E-3</v>
      </c>
    </row>
    <row r="4135" spans="6:7" x14ac:dyDescent="0.2">
      <c r="F4135" s="591">
        <v>4126</v>
      </c>
      <c r="G4135" s="420">
        <f t="shared" ca="1" si="72"/>
        <v>-5.8688760617342642E-2</v>
      </c>
    </row>
    <row r="4136" spans="6:7" x14ac:dyDescent="0.2">
      <c r="F4136" s="591">
        <v>4127</v>
      </c>
      <c r="G4136" s="420">
        <f t="shared" ca="1" si="72"/>
        <v>-2.0091309846864167E-2</v>
      </c>
    </row>
    <row r="4137" spans="6:7" x14ac:dyDescent="0.2">
      <c r="F4137" s="591">
        <v>4128</v>
      </c>
      <c r="G4137" s="420">
        <f t="shared" ca="1" si="72"/>
        <v>-5.2466404790942556E-2</v>
      </c>
    </row>
    <row r="4138" spans="6:7" x14ac:dyDescent="0.2">
      <c r="F4138" s="591">
        <v>4129</v>
      </c>
      <c r="G4138" s="420">
        <f t="shared" ca="1" si="72"/>
        <v>9.8833901212641656E-2</v>
      </c>
    </row>
    <row r="4139" spans="6:7" x14ac:dyDescent="0.2">
      <c r="F4139" s="591">
        <v>4130</v>
      </c>
      <c r="G4139" s="420">
        <f t="shared" ca="1" si="72"/>
        <v>6.5871942802612965E-2</v>
      </c>
    </row>
    <row r="4140" spans="6:7" x14ac:dyDescent="0.2">
      <c r="F4140" s="591">
        <v>4131</v>
      </c>
      <c r="G4140" s="420">
        <f t="shared" ca="1" si="72"/>
        <v>3.6414011861629528E-2</v>
      </c>
    </row>
    <row r="4141" spans="6:7" x14ac:dyDescent="0.2">
      <c r="F4141" s="591">
        <v>4132</v>
      </c>
      <c r="G4141" s="420">
        <f t="shared" ca="1" si="72"/>
        <v>-9.3007401648139282E-3</v>
      </c>
    </row>
    <row r="4142" spans="6:7" x14ac:dyDescent="0.2">
      <c r="F4142" s="591">
        <v>4133</v>
      </c>
      <c r="G4142" s="420">
        <f t="shared" ca="1" si="72"/>
        <v>-1.3193221341633591E-2</v>
      </c>
    </row>
    <row r="4143" spans="6:7" x14ac:dyDescent="0.2">
      <c r="F4143" s="591">
        <v>4134</v>
      </c>
      <c r="G4143" s="420">
        <f t="shared" ca="1" si="72"/>
        <v>-1.3667915615105566E-2</v>
      </c>
    </row>
    <row r="4144" spans="6:7" x14ac:dyDescent="0.2">
      <c r="F4144" s="591">
        <v>4135</v>
      </c>
      <c r="G4144" s="420">
        <f t="shared" ca="1" si="72"/>
        <v>5.40039356554987E-2</v>
      </c>
    </row>
    <row r="4145" spans="6:7" x14ac:dyDescent="0.2">
      <c r="F4145" s="591">
        <v>4136</v>
      </c>
      <c r="G4145" s="420">
        <f t="shared" ca="1" si="72"/>
        <v>3.7081221639610709E-2</v>
      </c>
    </row>
    <row r="4146" spans="6:7" x14ac:dyDescent="0.2">
      <c r="F4146" s="591">
        <v>4137</v>
      </c>
      <c r="G4146" s="420">
        <f t="shared" ca="1" si="72"/>
        <v>1.9308322141285871E-2</v>
      </c>
    </row>
    <row r="4147" spans="6:7" x14ac:dyDescent="0.2">
      <c r="F4147" s="591">
        <v>4138</v>
      </c>
      <c r="G4147" s="420">
        <f t="shared" ca="1" si="72"/>
        <v>2.87782732369413E-3</v>
      </c>
    </row>
    <row r="4148" spans="6:7" x14ac:dyDescent="0.2">
      <c r="F4148" s="591">
        <v>4139</v>
      </c>
      <c r="G4148" s="420">
        <f t="shared" ca="1" si="72"/>
        <v>-5.3670760798484762E-2</v>
      </c>
    </row>
    <row r="4149" spans="6:7" x14ac:dyDescent="0.2">
      <c r="F4149" s="591">
        <v>4140</v>
      </c>
      <c r="G4149" s="420">
        <f t="shared" ca="1" si="72"/>
        <v>0.15642156752045477</v>
      </c>
    </row>
    <row r="4150" spans="6:7" x14ac:dyDescent="0.2">
      <c r="F4150" s="591">
        <v>4141</v>
      </c>
      <c r="G4150" s="420">
        <f t="shared" ca="1" si="72"/>
        <v>1.5685865636858011E-2</v>
      </c>
    </row>
    <row r="4151" spans="6:7" x14ac:dyDescent="0.2">
      <c r="F4151" s="591">
        <v>4142</v>
      </c>
      <c r="G4151" s="420">
        <f t="shared" ca="1" si="72"/>
        <v>3.0333134739020561E-2</v>
      </c>
    </row>
    <row r="4152" spans="6:7" x14ac:dyDescent="0.2">
      <c r="F4152" s="591">
        <v>4143</v>
      </c>
      <c r="G4152" s="420">
        <f t="shared" ca="1" si="72"/>
        <v>-6.498181117541027E-2</v>
      </c>
    </row>
    <row r="4153" spans="6:7" x14ac:dyDescent="0.2">
      <c r="F4153" s="591">
        <v>4144</v>
      </c>
      <c r="G4153" s="420">
        <f t="shared" ca="1" si="72"/>
        <v>-7.3001950925460669E-3</v>
      </c>
    </row>
    <row r="4154" spans="6:7" x14ac:dyDescent="0.2">
      <c r="F4154" s="591">
        <v>4145</v>
      </c>
      <c r="G4154" s="420">
        <f t="shared" ca="1" si="72"/>
        <v>4.2356103066785514E-2</v>
      </c>
    </row>
    <row r="4155" spans="6:7" x14ac:dyDescent="0.2">
      <c r="F4155" s="591">
        <v>4146</v>
      </c>
      <c r="G4155" s="420">
        <f t="shared" ca="1" si="72"/>
        <v>2.3200492177076711E-2</v>
      </c>
    </row>
    <row r="4156" spans="6:7" x14ac:dyDescent="0.2">
      <c r="F4156" s="591">
        <v>4147</v>
      </c>
      <c r="G4156" s="420">
        <f t="shared" ca="1" si="72"/>
        <v>0.11574828353931822</v>
      </c>
    </row>
    <row r="4157" spans="6:7" x14ac:dyDescent="0.2">
      <c r="F4157" s="591">
        <v>4148</v>
      </c>
      <c r="G4157" s="420">
        <f t="shared" ca="1" si="72"/>
        <v>-2.1885477576297111E-2</v>
      </c>
    </row>
    <row r="4158" spans="6:7" x14ac:dyDescent="0.2">
      <c r="F4158" s="591">
        <v>4149</v>
      </c>
      <c r="G4158" s="420">
        <f t="shared" ca="1" si="72"/>
        <v>-2.7319352862620248E-2</v>
      </c>
    </row>
    <row r="4159" spans="6:7" x14ac:dyDescent="0.2">
      <c r="F4159" s="591">
        <v>4150</v>
      </c>
      <c r="G4159" s="420">
        <f t="shared" ca="1" si="72"/>
        <v>1.7945346432054626E-2</v>
      </c>
    </row>
    <row r="4160" spans="6:7" x14ac:dyDescent="0.2">
      <c r="F4160" s="591">
        <v>4151</v>
      </c>
      <c r="G4160" s="420">
        <f t="shared" ca="1" si="72"/>
        <v>-7.9435302529896751E-2</v>
      </c>
    </row>
    <row r="4161" spans="6:7" x14ac:dyDescent="0.2">
      <c r="F4161" s="591">
        <v>4152</v>
      </c>
      <c r="G4161" s="420">
        <f t="shared" ca="1" si="72"/>
        <v>-9.3937127123294398E-2</v>
      </c>
    </row>
    <row r="4162" spans="6:7" x14ac:dyDescent="0.2">
      <c r="F4162" s="591">
        <v>4153</v>
      </c>
      <c r="G4162" s="420">
        <f t="shared" ca="1" si="72"/>
        <v>1.0422794761551012E-2</v>
      </c>
    </row>
    <row r="4163" spans="6:7" x14ac:dyDescent="0.2">
      <c r="F4163" s="591">
        <v>4154</v>
      </c>
      <c r="G4163" s="420">
        <f t="shared" ca="1" si="72"/>
        <v>5.1790810567192577E-2</v>
      </c>
    </row>
    <row r="4164" spans="6:7" x14ac:dyDescent="0.2">
      <c r="F4164" s="591">
        <v>4155</v>
      </c>
      <c r="G4164" s="420">
        <f t="shared" ca="1" si="72"/>
        <v>8.7114005956124868E-2</v>
      </c>
    </row>
    <row r="4165" spans="6:7" x14ac:dyDescent="0.2">
      <c r="F4165" s="591">
        <v>4156</v>
      </c>
      <c r="G4165" s="420">
        <f t="shared" ca="1" si="72"/>
        <v>-2.0439469417834529E-2</v>
      </c>
    </row>
    <row r="4166" spans="6:7" x14ac:dyDescent="0.2">
      <c r="F4166" s="591">
        <v>4157</v>
      </c>
      <c r="G4166" s="420">
        <f t="shared" ca="1" si="72"/>
        <v>5.3043265432728581E-2</v>
      </c>
    </row>
    <row r="4167" spans="6:7" x14ac:dyDescent="0.2">
      <c r="F4167" s="591">
        <v>4158</v>
      </c>
      <c r="G4167" s="420">
        <f t="shared" ca="1" si="72"/>
        <v>0.16050290924110147</v>
      </c>
    </row>
    <row r="4168" spans="6:7" x14ac:dyDescent="0.2">
      <c r="F4168" s="591">
        <v>4159</v>
      </c>
      <c r="G4168" s="420">
        <f t="shared" ca="1" si="72"/>
        <v>-9.951573148072379E-3</v>
      </c>
    </row>
    <row r="4169" spans="6:7" x14ac:dyDescent="0.2">
      <c r="F4169" s="591">
        <v>4160</v>
      </c>
      <c r="G4169" s="420">
        <f t="shared" ca="1" si="72"/>
        <v>3.0772977818647192E-2</v>
      </c>
    </row>
    <row r="4170" spans="6:7" x14ac:dyDescent="0.2">
      <c r="F4170" s="591">
        <v>4161</v>
      </c>
      <c r="G4170" s="420">
        <f t="shared" ca="1" si="72"/>
        <v>0.159121502571616</v>
      </c>
    </row>
    <row r="4171" spans="6:7" x14ac:dyDescent="0.2">
      <c r="F4171" s="591">
        <v>4162</v>
      </c>
      <c r="G4171" s="420">
        <f t="shared" ref="G4171:G4234" ca="1" si="73">_xlfn.NORM.INV(RAND(), $M$11,$M$12)</f>
        <v>0.14443895794976214</v>
      </c>
    </row>
    <row r="4172" spans="6:7" x14ac:dyDescent="0.2">
      <c r="F4172" s="591">
        <v>4163</v>
      </c>
      <c r="G4172" s="420">
        <f t="shared" ca="1" si="73"/>
        <v>-8.0053467125008368E-2</v>
      </c>
    </row>
    <row r="4173" spans="6:7" x14ac:dyDescent="0.2">
      <c r="F4173" s="591">
        <v>4164</v>
      </c>
      <c r="G4173" s="420">
        <f t="shared" ca="1" si="73"/>
        <v>3.4754732048315716E-2</v>
      </c>
    </row>
    <row r="4174" spans="6:7" x14ac:dyDescent="0.2">
      <c r="F4174" s="591">
        <v>4165</v>
      </c>
      <c r="G4174" s="420">
        <f t="shared" ca="1" si="73"/>
        <v>1.6293224879492141E-2</v>
      </c>
    </row>
    <row r="4175" spans="6:7" x14ac:dyDescent="0.2">
      <c r="F4175" s="591">
        <v>4166</v>
      </c>
      <c r="G4175" s="420">
        <f t="shared" ca="1" si="73"/>
        <v>-0.12691030009740681</v>
      </c>
    </row>
    <row r="4176" spans="6:7" x14ac:dyDescent="0.2">
      <c r="F4176" s="591">
        <v>4167</v>
      </c>
      <c r="G4176" s="420">
        <f t="shared" ca="1" si="73"/>
        <v>-3.3073728352904286E-2</v>
      </c>
    </row>
    <row r="4177" spans="6:7" x14ac:dyDescent="0.2">
      <c r="F4177" s="591">
        <v>4168</v>
      </c>
      <c r="G4177" s="420">
        <f t="shared" ca="1" si="73"/>
        <v>2.7131474823404396E-2</v>
      </c>
    </row>
    <row r="4178" spans="6:7" x14ac:dyDescent="0.2">
      <c r="F4178" s="591">
        <v>4169</v>
      </c>
      <c r="G4178" s="420">
        <f t="shared" ca="1" si="73"/>
        <v>3.9874630750827084E-3</v>
      </c>
    </row>
    <row r="4179" spans="6:7" x14ac:dyDescent="0.2">
      <c r="F4179" s="591">
        <v>4170</v>
      </c>
      <c r="G4179" s="420">
        <f t="shared" ca="1" si="73"/>
        <v>9.0625795731353487E-2</v>
      </c>
    </row>
    <row r="4180" spans="6:7" x14ac:dyDescent="0.2">
      <c r="F4180" s="591">
        <v>4171</v>
      </c>
      <c r="G4180" s="420">
        <f t="shared" ca="1" si="73"/>
        <v>0.12705038804270027</v>
      </c>
    </row>
    <row r="4181" spans="6:7" x14ac:dyDescent="0.2">
      <c r="F4181" s="591">
        <v>4172</v>
      </c>
      <c r="G4181" s="420">
        <f t="shared" ca="1" si="73"/>
        <v>-7.3384147602935691E-3</v>
      </c>
    </row>
    <row r="4182" spans="6:7" x14ac:dyDescent="0.2">
      <c r="F4182" s="591">
        <v>4173</v>
      </c>
      <c r="G4182" s="420">
        <f t="shared" ca="1" si="73"/>
        <v>1.6489179153000352E-2</v>
      </c>
    </row>
    <row r="4183" spans="6:7" x14ac:dyDescent="0.2">
      <c r="F4183" s="591">
        <v>4174</v>
      </c>
      <c r="G4183" s="420">
        <f t="shared" ca="1" si="73"/>
        <v>4.0863126834512702E-2</v>
      </c>
    </row>
    <row r="4184" spans="6:7" x14ac:dyDescent="0.2">
      <c r="F4184" s="591">
        <v>4175</v>
      </c>
      <c r="G4184" s="420">
        <f t="shared" ca="1" si="73"/>
        <v>4.0225577902766249E-4</v>
      </c>
    </row>
    <row r="4185" spans="6:7" x14ac:dyDescent="0.2">
      <c r="F4185" s="591">
        <v>4176</v>
      </c>
      <c r="G4185" s="420">
        <f t="shared" ca="1" si="73"/>
        <v>-8.4753138418029339E-2</v>
      </c>
    </row>
    <row r="4186" spans="6:7" x14ac:dyDescent="0.2">
      <c r="F4186" s="591">
        <v>4177</v>
      </c>
      <c r="G4186" s="420">
        <f t="shared" ca="1" si="73"/>
        <v>4.2435103210146138E-2</v>
      </c>
    </row>
    <row r="4187" spans="6:7" x14ac:dyDescent="0.2">
      <c r="F4187" s="591">
        <v>4178</v>
      </c>
      <c r="G4187" s="420">
        <f t="shared" ca="1" si="73"/>
        <v>5.173175565947731E-2</v>
      </c>
    </row>
    <row r="4188" spans="6:7" x14ac:dyDescent="0.2">
      <c r="F4188" s="591">
        <v>4179</v>
      </c>
      <c r="G4188" s="420">
        <f t="shared" ca="1" si="73"/>
        <v>2.7270137402898412E-2</v>
      </c>
    </row>
    <row r="4189" spans="6:7" x14ac:dyDescent="0.2">
      <c r="F4189" s="591">
        <v>4180</v>
      </c>
      <c r="G4189" s="420">
        <f t="shared" ca="1" si="73"/>
        <v>1.0648596499146679E-2</v>
      </c>
    </row>
    <row r="4190" spans="6:7" x14ac:dyDescent="0.2">
      <c r="F4190" s="591">
        <v>4181</v>
      </c>
      <c r="G4190" s="420">
        <f t="shared" ca="1" si="73"/>
        <v>-2.2037085127976305E-2</v>
      </c>
    </row>
    <row r="4191" spans="6:7" x14ac:dyDescent="0.2">
      <c r="F4191" s="591">
        <v>4182</v>
      </c>
      <c r="G4191" s="420">
        <f t="shared" ca="1" si="73"/>
        <v>-0.12722654917203591</v>
      </c>
    </row>
    <row r="4192" spans="6:7" x14ac:dyDescent="0.2">
      <c r="F4192" s="591">
        <v>4183</v>
      </c>
      <c r="G4192" s="420">
        <f t="shared" ca="1" si="73"/>
        <v>9.2937769088310244E-3</v>
      </c>
    </row>
    <row r="4193" spans="6:7" x14ac:dyDescent="0.2">
      <c r="F4193" s="591">
        <v>4184</v>
      </c>
      <c r="G4193" s="420">
        <f t="shared" ca="1" si="73"/>
        <v>-7.8799943470114417E-2</v>
      </c>
    </row>
    <row r="4194" spans="6:7" x14ac:dyDescent="0.2">
      <c r="F4194" s="591">
        <v>4185</v>
      </c>
      <c r="G4194" s="420">
        <f t="shared" ca="1" si="73"/>
        <v>-6.5153768045425331E-2</v>
      </c>
    </row>
    <row r="4195" spans="6:7" x14ac:dyDescent="0.2">
      <c r="F4195" s="591">
        <v>4186</v>
      </c>
      <c r="G4195" s="420">
        <f t="shared" ca="1" si="73"/>
        <v>1.6759075903152384E-2</v>
      </c>
    </row>
    <row r="4196" spans="6:7" x14ac:dyDescent="0.2">
      <c r="F4196" s="591">
        <v>4187</v>
      </c>
      <c r="G4196" s="420">
        <f t="shared" ca="1" si="73"/>
        <v>-3.304875255846261E-2</v>
      </c>
    </row>
    <row r="4197" spans="6:7" x14ac:dyDescent="0.2">
      <c r="F4197" s="591">
        <v>4188</v>
      </c>
      <c r="G4197" s="420">
        <f t="shared" ca="1" si="73"/>
        <v>-0.10847493278520061</v>
      </c>
    </row>
    <row r="4198" spans="6:7" x14ac:dyDescent="0.2">
      <c r="F4198" s="591">
        <v>4189</v>
      </c>
      <c r="G4198" s="420">
        <f t="shared" ca="1" si="73"/>
        <v>-2.838162503389895E-2</v>
      </c>
    </row>
    <row r="4199" spans="6:7" x14ac:dyDescent="0.2">
      <c r="F4199" s="591">
        <v>4190</v>
      </c>
      <c r="G4199" s="420">
        <f t="shared" ca="1" si="73"/>
        <v>-1.8862474744301763E-3</v>
      </c>
    </row>
    <row r="4200" spans="6:7" x14ac:dyDescent="0.2">
      <c r="F4200" s="591">
        <v>4191</v>
      </c>
      <c r="G4200" s="420">
        <f t="shared" ca="1" si="73"/>
        <v>8.8251163903734053E-2</v>
      </c>
    </row>
    <row r="4201" spans="6:7" x14ac:dyDescent="0.2">
      <c r="F4201" s="591">
        <v>4192</v>
      </c>
      <c r="G4201" s="420">
        <f t="shared" ca="1" si="73"/>
        <v>-2.2872863578919291E-3</v>
      </c>
    </row>
    <row r="4202" spans="6:7" x14ac:dyDescent="0.2">
      <c r="F4202" s="591">
        <v>4193</v>
      </c>
      <c r="G4202" s="420">
        <f t="shared" ca="1" si="73"/>
        <v>-5.3766209718317262E-2</v>
      </c>
    </row>
    <row r="4203" spans="6:7" x14ac:dyDescent="0.2">
      <c r="F4203" s="591">
        <v>4194</v>
      </c>
      <c r="G4203" s="420">
        <f t="shared" ca="1" si="73"/>
        <v>0.1006662085452369</v>
      </c>
    </row>
    <row r="4204" spans="6:7" x14ac:dyDescent="0.2">
      <c r="F4204" s="591">
        <v>4195</v>
      </c>
      <c r="G4204" s="420">
        <f t="shared" ca="1" si="73"/>
        <v>2.0878492181831604E-2</v>
      </c>
    </row>
    <row r="4205" spans="6:7" x14ac:dyDescent="0.2">
      <c r="F4205" s="591">
        <v>4196</v>
      </c>
      <c r="G4205" s="420">
        <f t="shared" ca="1" si="73"/>
        <v>-4.7985991676248715E-2</v>
      </c>
    </row>
    <row r="4206" spans="6:7" x14ac:dyDescent="0.2">
      <c r="F4206" s="591">
        <v>4197</v>
      </c>
      <c r="G4206" s="420">
        <f t="shared" ca="1" si="73"/>
        <v>5.3387234307865142E-2</v>
      </c>
    </row>
    <row r="4207" spans="6:7" x14ac:dyDescent="0.2">
      <c r="F4207" s="591">
        <v>4198</v>
      </c>
      <c r="G4207" s="420">
        <f t="shared" ca="1" si="73"/>
        <v>1.2341928442503546E-2</v>
      </c>
    </row>
    <row r="4208" spans="6:7" x14ac:dyDescent="0.2">
      <c r="F4208" s="591">
        <v>4199</v>
      </c>
      <c r="G4208" s="420">
        <f t="shared" ca="1" si="73"/>
        <v>-3.4378893180583167E-2</v>
      </c>
    </row>
    <row r="4209" spans="6:7" x14ac:dyDescent="0.2">
      <c r="F4209" s="591">
        <v>4200</v>
      </c>
      <c r="G4209" s="420">
        <f t="shared" ca="1" si="73"/>
        <v>-6.5781789629646911E-3</v>
      </c>
    </row>
    <row r="4210" spans="6:7" x14ac:dyDescent="0.2">
      <c r="F4210" s="591">
        <v>4201</v>
      </c>
      <c r="G4210" s="420">
        <f t="shared" ca="1" si="73"/>
        <v>4.2202348574867925E-2</v>
      </c>
    </row>
    <row r="4211" spans="6:7" x14ac:dyDescent="0.2">
      <c r="F4211" s="591">
        <v>4202</v>
      </c>
      <c r="G4211" s="420">
        <f t="shared" ca="1" si="73"/>
        <v>-8.19251768361762E-2</v>
      </c>
    </row>
    <row r="4212" spans="6:7" x14ac:dyDescent="0.2">
      <c r="F4212" s="591">
        <v>4203</v>
      </c>
      <c r="G4212" s="420">
        <f t="shared" ca="1" si="73"/>
        <v>7.8897756514962225E-2</v>
      </c>
    </row>
    <row r="4213" spans="6:7" x14ac:dyDescent="0.2">
      <c r="F4213" s="591">
        <v>4204</v>
      </c>
      <c r="G4213" s="420">
        <f t="shared" ca="1" si="73"/>
        <v>-9.5023840657918968E-2</v>
      </c>
    </row>
    <row r="4214" spans="6:7" x14ac:dyDescent="0.2">
      <c r="F4214" s="591">
        <v>4205</v>
      </c>
      <c r="G4214" s="420">
        <f t="shared" ca="1" si="73"/>
        <v>-3.1490113612097276E-2</v>
      </c>
    </row>
    <row r="4215" spans="6:7" x14ac:dyDescent="0.2">
      <c r="F4215" s="591">
        <v>4206</v>
      </c>
      <c r="G4215" s="420">
        <f t="shared" ca="1" si="73"/>
        <v>8.4007665986621197E-2</v>
      </c>
    </row>
    <row r="4216" spans="6:7" x14ac:dyDescent="0.2">
      <c r="F4216" s="591">
        <v>4207</v>
      </c>
      <c r="G4216" s="420">
        <f t="shared" ca="1" si="73"/>
        <v>-2.6935050031715726E-2</v>
      </c>
    </row>
    <row r="4217" spans="6:7" x14ac:dyDescent="0.2">
      <c r="F4217" s="591">
        <v>4208</v>
      </c>
      <c r="G4217" s="420">
        <f t="shared" ca="1" si="73"/>
        <v>7.9686013296785645E-3</v>
      </c>
    </row>
    <row r="4218" spans="6:7" x14ac:dyDescent="0.2">
      <c r="F4218" s="591">
        <v>4209</v>
      </c>
      <c r="G4218" s="420">
        <f t="shared" ca="1" si="73"/>
        <v>6.13316058473522E-2</v>
      </c>
    </row>
    <row r="4219" spans="6:7" x14ac:dyDescent="0.2">
      <c r="F4219" s="591">
        <v>4210</v>
      </c>
      <c r="G4219" s="420">
        <f t="shared" ca="1" si="73"/>
        <v>5.6599554672205246E-2</v>
      </c>
    </row>
    <row r="4220" spans="6:7" x14ac:dyDescent="0.2">
      <c r="F4220" s="591">
        <v>4211</v>
      </c>
      <c r="G4220" s="420">
        <f t="shared" ca="1" si="73"/>
        <v>1.0080538948668401E-2</v>
      </c>
    </row>
    <row r="4221" spans="6:7" x14ac:dyDescent="0.2">
      <c r="F4221" s="591">
        <v>4212</v>
      </c>
      <c r="G4221" s="420">
        <f t="shared" ca="1" si="73"/>
        <v>7.7765317798581979E-2</v>
      </c>
    </row>
    <row r="4222" spans="6:7" x14ac:dyDescent="0.2">
      <c r="F4222" s="591">
        <v>4213</v>
      </c>
      <c r="G4222" s="420">
        <f t="shared" ca="1" si="73"/>
        <v>1.6479004650783998E-2</v>
      </c>
    </row>
    <row r="4223" spans="6:7" x14ac:dyDescent="0.2">
      <c r="F4223" s="591">
        <v>4214</v>
      </c>
      <c r="G4223" s="420">
        <f t="shared" ca="1" si="73"/>
        <v>3.6403151893708879E-2</v>
      </c>
    </row>
    <row r="4224" spans="6:7" x14ac:dyDescent="0.2">
      <c r="F4224" s="591">
        <v>4215</v>
      </c>
      <c r="G4224" s="420">
        <f t="shared" ca="1" si="73"/>
        <v>-3.2749702560983696E-2</v>
      </c>
    </row>
    <row r="4225" spans="6:7" x14ac:dyDescent="0.2">
      <c r="F4225" s="591">
        <v>4216</v>
      </c>
      <c r="G4225" s="420">
        <f t="shared" ca="1" si="73"/>
        <v>5.0008976235676864E-2</v>
      </c>
    </row>
    <row r="4226" spans="6:7" x14ac:dyDescent="0.2">
      <c r="F4226" s="591">
        <v>4217</v>
      </c>
      <c r="G4226" s="420">
        <f t="shared" ca="1" si="73"/>
        <v>2.3749920522437885E-2</v>
      </c>
    </row>
    <row r="4227" spans="6:7" x14ac:dyDescent="0.2">
      <c r="F4227" s="591">
        <v>4218</v>
      </c>
      <c r="G4227" s="420">
        <f t="shared" ca="1" si="73"/>
        <v>-3.7893682769801429E-2</v>
      </c>
    </row>
    <row r="4228" spans="6:7" x14ac:dyDescent="0.2">
      <c r="F4228" s="591">
        <v>4219</v>
      </c>
      <c r="G4228" s="420">
        <f t="shared" ca="1" si="73"/>
        <v>9.2654816711983487E-2</v>
      </c>
    </row>
    <row r="4229" spans="6:7" x14ac:dyDescent="0.2">
      <c r="F4229" s="591">
        <v>4220</v>
      </c>
      <c r="G4229" s="420">
        <f t="shared" ca="1" si="73"/>
        <v>7.7672755284921652E-2</v>
      </c>
    </row>
    <row r="4230" spans="6:7" x14ac:dyDescent="0.2">
      <c r="F4230" s="591">
        <v>4221</v>
      </c>
      <c r="G4230" s="420">
        <f t="shared" ca="1" si="73"/>
        <v>-5.6615058656125858E-2</v>
      </c>
    </row>
    <row r="4231" spans="6:7" x14ac:dyDescent="0.2">
      <c r="F4231" s="591">
        <v>4222</v>
      </c>
      <c r="G4231" s="420">
        <f t="shared" ca="1" si="73"/>
        <v>-1.2960348209285613E-2</v>
      </c>
    </row>
    <row r="4232" spans="6:7" x14ac:dyDescent="0.2">
      <c r="F4232" s="591">
        <v>4223</v>
      </c>
      <c r="G4232" s="420">
        <f t="shared" ca="1" si="73"/>
        <v>0.12385729623272444</v>
      </c>
    </row>
    <row r="4233" spans="6:7" x14ac:dyDescent="0.2">
      <c r="F4233" s="591">
        <v>4224</v>
      </c>
      <c r="G4233" s="420">
        <f t="shared" ca="1" si="73"/>
        <v>9.4568661866992008E-3</v>
      </c>
    </row>
    <row r="4234" spans="6:7" x14ac:dyDescent="0.2">
      <c r="F4234" s="591">
        <v>4225</v>
      </c>
      <c r="G4234" s="420">
        <f t="shared" ca="1" si="73"/>
        <v>4.4478287041681761E-2</v>
      </c>
    </row>
    <row r="4235" spans="6:7" x14ac:dyDescent="0.2">
      <c r="F4235" s="591">
        <v>4226</v>
      </c>
      <c r="G4235" s="420">
        <f t="shared" ref="G4235:G4298" ca="1" si="74">_xlfn.NORM.INV(RAND(), $M$11,$M$12)</f>
        <v>0.14556282347791794</v>
      </c>
    </row>
    <row r="4236" spans="6:7" x14ac:dyDescent="0.2">
      <c r="F4236" s="591">
        <v>4227</v>
      </c>
      <c r="G4236" s="420">
        <f t="shared" ca="1" si="74"/>
        <v>6.7922451203868084E-2</v>
      </c>
    </row>
    <row r="4237" spans="6:7" x14ac:dyDescent="0.2">
      <c r="F4237" s="591">
        <v>4228</v>
      </c>
      <c r="G4237" s="420">
        <f t="shared" ca="1" si="74"/>
        <v>9.165686314397338E-2</v>
      </c>
    </row>
    <row r="4238" spans="6:7" x14ac:dyDescent="0.2">
      <c r="F4238" s="591">
        <v>4229</v>
      </c>
      <c r="G4238" s="420">
        <f t="shared" ca="1" si="74"/>
        <v>0.1069789422071791</v>
      </c>
    </row>
    <row r="4239" spans="6:7" x14ac:dyDescent="0.2">
      <c r="F4239" s="591">
        <v>4230</v>
      </c>
      <c r="G4239" s="420">
        <f t="shared" ca="1" si="74"/>
        <v>-2.0182846448815423E-2</v>
      </c>
    </row>
    <row r="4240" spans="6:7" x14ac:dyDescent="0.2">
      <c r="F4240" s="591">
        <v>4231</v>
      </c>
      <c r="G4240" s="420">
        <f t="shared" ca="1" si="74"/>
        <v>6.7254108758662279E-2</v>
      </c>
    </row>
    <row r="4241" spans="6:7" x14ac:dyDescent="0.2">
      <c r="F4241" s="591">
        <v>4232</v>
      </c>
      <c r="G4241" s="420">
        <f t="shared" ca="1" si="74"/>
        <v>-7.3658499737347352E-2</v>
      </c>
    </row>
    <row r="4242" spans="6:7" x14ac:dyDescent="0.2">
      <c r="F4242" s="591">
        <v>4233</v>
      </c>
      <c r="G4242" s="420">
        <f t="shared" ca="1" si="74"/>
        <v>7.8757898416178765E-2</v>
      </c>
    </row>
    <row r="4243" spans="6:7" x14ac:dyDescent="0.2">
      <c r="F4243" s="591">
        <v>4234</v>
      </c>
      <c r="G4243" s="420">
        <f t="shared" ca="1" si="74"/>
        <v>9.9193258684463173E-2</v>
      </c>
    </row>
    <row r="4244" spans="6:7" x14ac:dyDescent="0.2">
      <c r="F4244" s="591">
        <v>4235</v>
      </c>
      <c r="G4244" s="420">
        <f t="shared" ca="1" si="74"/>
        <v>1.290966095425513E-2</v>
      </c>
    </row>
    <row r="4245" spans="6:7" x14ac:dyDescent="0.2">
      <c r="F4245" s="591">
        <v>4236</v>
      </c>
      <c r="G4245" s="420">
        <f t="shared" ca="1" si="74"/>
        <v>9.0312402251364374E-2</v>
      </c>
    </row>
    <row r="4246" spans="6:7" x14ac:dyDescent="0.2">
      <c r="F4246" s="591">
        <v>4237</v>
      </c>
      <c r="G4246" s="420">
        <f t="shared" ca="1" si="74"/>
        <v>-3.7748187495943875E-3</v>
      </c>
    </row>
    <row r="4247" spans="6:7" x14ac:dyDescent="0.2">
      <c r="F4247" s="591">
        <v>4238</v>
      </c>
      <c r="G4247" s="420">
        <f t="shared" ca="1" si="74"/>
        <v>3.1620801197088919E-2</v>
      </c>
    </row>
    <row r="4248" spans="6:7" x14ac:dyDescent="0.2">
      <c r="F4248" s="591">
        <v>4239</v>
      </c>
      <c r="G4248" s="420">
        <f t="shared" ca="1" si="74"/>
        <v>-2.7844452717934707E-2</v>
      </c>
    </row>
    <row r="4249" spans="6:7" x14ac:dyDescent="0.2">
      <c r="F4249" s="591">
        <v>4240</v>
      </c>
      <c r="G4249" s="420">
        <f t="shared" ca="1" si="74"/>
        <v>-3.5841658685655656E-2</v>
      </c>
    </row>
    <row r="4250" spans="6:7" x14ac:dyDescent="0.2">
      <c r="F4250" s="591">
        <v>4241</v>
      </c>
      <c r="G4250" s="420">
        <f t="shared" ca="1" si="74"/>
        <v>7.7361671485271594E-2</v>
      </c>
    </row>
    <row r="4251" spans="6:7" x14ac:dyDescent="0.2">
      <c r="F4251" s="591">
        <v>4242</v>
      </c>
      <c r="G4251" s="420">
        <f t="shared" ca="1" si="74"/>
        <v>-2.6453264776564522E-2</v>
      </c>
    </row>
    <row r="4252" spans="6:7" x14ac:dyDescent="0.2">
      <c r="F4252" s="591">
        <v>4243</v>
      </c>
      <c r="G4252" s="420">
        <f t="shared" ca="1" si="74"/>
        <v>-1.2828500405482973E-2</v>
      </c>
    </row>
    <row r="4253" spans="6:7" x14ac:dyDescent="0.2">
      <c r="F4253" s="591">
        <v>4244</v>
      </c>
      <c r="G4253" s="420">
        <f t="shared" ca="1" si="74"/>
        <v>-2.4629641380992082E-2</v>
      </c>
    </row>
    <row r="4254" spans="6:7" x14ac:dyDescent="0.2">
      <c r="F4254" s="591">
        <v>4245</v>
      </c>
      <c r="G4254" s="420">
        <f t="shared" ca="1" si="74"/>
        <v>7.7280777553316596E-2</v>
      </c>
    </row>
    <row r="4255" spans="6:7" x14ac:dyDescent="0.2">
      <c r="F4255" s="591">
        <v>4246</v>
      </c>
      <c r="G4255" s="420">
        <f t="shared" ca="1" si="74"/>
        <v>-8.5095986220470224E-2</v>
      </c>
    </row>
    <row r="4256" spans="6:7" x14ac:dyDescent="0.2">
      <c r="F4256" s="591">
        <v>4247</v>
      </c>
      <c r="G4256" s="420">
        <f t="shared" ca="1" si="74"/>
        <v>5.6020900135209217E-2</v>
      </c>
    </row>
    <row r="4257" spans="6:7" x14ac:dyDescent="0.2">
      <c r="F4257" s="591">
        <v>4248</v>
      </c>
      <c r="G4257" s="420">
        <f t="shared" ca="1" si="74"/>
        <v>9.8854680776294737E-2</v>
      </c>
    </row>
    <row r="4258" spans="6:7" x14ac:dyDescent="0.2">
      <c r="F4258" s="591">
        <v>4249</v>
      </c>
      <c r="G4258" s="420">
        <f t="shared" ca="1" si="74"/>
        <v>4.48679129243474E-2</v>
      </c>
    </row>
    <row r="4259" spans="6:7" x14ac:dyDescent="0.2">
      <c r="F4259" s="591">
        <v>4250</v>
      </c>
      <c r="G4259" s="420">
        <f t="shared" ca="1" si="74"/>
        <v>3.9949340785731799E-2</v>
      </c>
    </row>
    <row r="4260" spans="6:7" x14ac:dyDescent="0.2">
      <c r="F4260" s="591">
        <v>4251</v>
      </c>
      <c r="G4260" s="420">
        <f t="shared" ca="1" si="74"/>
        <v>0.14737336066302895</v>
      </c>
    </row>
    <row r="4261" spans="6:7" x14ac:dyDescent="0.2">
      <c r="F4261" s="591">
        <v>4252</v>
      </c>
      <c r="G4261" s="420">
        <f t="shared" ca="1" si="74"/>
        <v>4.8763479095097748E-2</v>
      </c>
    </row>
    <row r="4262" spans="6:7" x14ac:dyDescent="0.2">
      <c r="F4262" s="591">
        <v>4253</v>
      </c>
      <c r="G4262" s="420">
        <f t="shared" ca="1" si="74"/>
        <v>-6.9492998296548453E-2</v>
      </c>
    </row>
    <row r="4263" spans="6:7" x14ac:dyDescent="0.2">
      <c r="F4263" s="591">
        <v>4254</v>
      </c>
      <c r="G4263" s="420">
        <f t="shared" ca="1" si="74"/>
        <v>8.433311134580096E-2</v>
      </c>
    </row>
    <row r="4264" spans="6:7" x14ac:dyDescent="0.2">
      <c r="F4264" s="591">
        <v>4255</v>
      </c>
      <c r="G4264" s="420">
        <f t="shared" ca="1" si="74"/>
        <v>-1.0706512516310163E-2</v>
      </c>
    </row>
    <row r="4265" spans="6:7" x14ac:dyDescent="0.2">
      <c r="F4265" s="591">
        <v>4256</v>
      </c>
      <c r="G4265" s="420">
        <f t="shared" ca="1" si="74"/>
        <v>0.10883289870811551</v>
      </c>
    </row>
    <row r="4266" spans="6:7" x14ac:dyDescent="0.2">
      <c r="F4266" s="591">
        <v>4257</v>
      </c>
      <c r="G4266" s="420">
        <f t="shared" ca="1" si="74"/>
        <v>4.0585802310117672E-2</v>
      </c>
    </row>
    <row r="4267" spans="6:7" x14ac:dyDescent="0.2">
      <c r="F4267" s="591">
        <v>4258</v>
      </c>
      <c r="G4267" s="420">
        <f t="shared" ca="1" si="74"/>
        <v>9.0568078801081149E-3</v>
      </c>
    </row>
    <row r="4268" spans="6:7" x14ac:dyDescent="0.2">
      <c r="F4268" s="591">
        <v>4259</v>
      </c>
      <c r="G4268" s="420">
        <f t="shared" ca="1" si="74"/>
        <v>2.5451118085641541E-2</v>
      </c>
    </row>
    <row r="4269" spans="6:7" x14ac:dyDescent="0.2">
      <c r="F4269" s="591">
        <v>4260</v>
      </c>
      <c r="G4269" s="420">
        <f t="shared" ca="1" si="74"/>
        <v>1.3315892745700495E-2</v>
      </c>
    </row>
    <row r="4270" spans="6:7" x14ac:dyDescent="0.2">
      <c r="F4270" s="591">
        <v>4261</v>
      </c>
      <c r="G4270" s="420">
        <f t="shared" ca="1" si="74"/>
        <v>-1.0718632902947226E-2</v>
      </c>
    </row>
    <row r="4271" spans="6:7" x14ac:dyDescent="0.2">
      <c r="F4271" s="591">
        <v>4262</v>
      </c>
      <c r="G4271" s="420">
        <f t="shared" ca="1" si="74"/>
        <v>-4.4015579680406307E-4</v>
      </c>
    </row>
    <row r="4272" spans="6:7" x14ac:dyDescent="0.2">
      <c r="F4272" s="591">
        <v>4263</v>
      </c>
      <c r="G4272" s="420">
        <f t="shared" ca="1" si="74"/>
        <v>-3.3650339392734714E-3</v>
      </c>
    </row>
    <row r="4273" spans="6:7" x14ac:dyDescent="0.2">
      <c r="F4273" s="591">
        <v>4264</v>
      </c>
      <c r="G4273" s="420">
        <f t="shared" ca="1" si="74"/>
        <v>2.5858926788779282E-2</v>
      </c>
    </row>
    <row r="4274" spans="6:7" x14ac:dyDescent="0.2">
      <c r="F4274" s="591">
        <v>4265</v>
      </c>
      <c r="G4274" s="420">
        <f t="shared" ca="1" si="74"/>
        <v>-3.7744396404836622E-2</v>
      </c>
    </row>
    <row r="4275" spans="6:7" x14ac:dyDescent="0.2">
      <c r="F4275" s="591">
        <v>4266</v>
      </c>
      <c r="G4275" s="420">
        <f t="shared" ca="1" si="74"/>
        <v>-2.928498284656671E-2</v>
      </c>
    </row>
    <row r="4276" spans="6:7" x14ac:dyDescent="0.2">
      <c r="F4276" s="591">
        <v>4267</v>
      </c>
      <c r="G4276" s="420">
        <f t="shared" ca="1" si="74"/>
        <v>-5.8708265700461407E-2</v>
      </c>
    </row>
    <row r="4277" spans="6:7" x14ac:dyDescent="0.2">
      <c r="F4277" s="591">
        <v>4268</v>
      </c>
      <c r="G4277" s="420">
        <f t="shared" ca="1" si="74"/>
        <v>-0.10509118843448557</v>
      </c>
    </row>
    <row r="4278" spans="6:7" x14ac:dyDescent="0.2">
      <c r="F4278" s="591">
        <v>4269</v>
      </c>
      <c r="G4278" s="420">
        <f t="shared" ca="1" si="74"/>
        <v>1.7220624949740922E-2</v>
      </c>
    </row>
    <row r="4279" spans="6:7" x14ac:dyDescent="0.2">
      <c r="F4279" s="591">
        <v>4270</v>
      </c>
      <c r="G4279" s="420">
        <f t="shared" ca="1" si="74"/>
        <v>1.4408986647828817E-2</v>
      </c>
    </row>
    <row r="4280" spans="6:7" x14ac:dyDescent="0.2">
      <c r="F4280" s="591">
        <v>4271</v>
      </c>
      <c r="G4280" s="420">
        <f t="shared" ca="1" si="74"/>
        <v>3.414897677825806E-2</v>
      </c>
    </row>
    <row r="4281" spans="6:7" x14ac:dyDescent="0.2">
      <c r="F4281" s="591">
        <v>4272</v>
      </c>
      <c r="G4281" s="420">
        <f t="shared" ca="1" si="74"/>
        <v>-0.15017864375235146</v>
      </c>
    </row>
    <row r="4282" spans="6:7" x14ac:dyDescent="0.2">
      <c r="F4282" s="591">
        <v>4273</v>
      </c>
      <c r="G4282" s="420">
        <f t="shared" ca="1" si="74"/>
        <v>2.3410989835923976E-2</v>
      </c>
    </row>
    <row r="4283" spans="6:7" x14ac:dyDescent="0.2">
      <c r="F4283" s="591">
        <v>4274</v>
      </c>
      <c r="G4283" s="420">
        <f t="shared" ca="1" si="74"/>
        <v>-3.8389559285191652E-2</v>
      </c>
    </row>
    <row r="4284" spans="6:7" x14ac:dyDescent="0.2">
      <c r="F4284" s="591">
        <v>4275</v>
      </c>
      <c r="G4284" s="420">
        <f t="shared" ca="1" si="74"/>
        <v>-3.7063995193910973E-2</v>
      </c>
    </row>
    <row r="4285" spans="6:7" x14ac:dyDescent="0.2">
      <c r="F4285" s="591">
        <v>4276</v>
      </c>
      <c r="G4285" s="420">
        <f t="shared" ca="1" si="74"/>
        <v>9.3894262055547836E-2</v>
      </c>
    </row>
    <row r="4286" spans="6:7" x14ac:dyDescent="0.2">
      <c r="F4286" s="591">
        <v>4277</v>
      </c>
      <c r="G4286" s="420">
        <f t="shared" ca="1" si="74"/>
        <v>-2.5763737228525405E-2</v>
      </c>
    </row>
    <row r="4287" spans="6:7" x14ac:dyDescent="0.2">
      <c r="F4287" s="591">
        <v>4278</v>
      </c>
      <c r="G4287" s="420">
        <f t="shared" ca="1" si="74"/>
        <v>2.3867171497606251E-2</v>
      </c>
    </row>
    <row r="4288" spans="6:7" x14ac:dyDescent="0.2">
      <c r="F4288" s="591">
        <v>4279</v>
      </c>
      <c r="G4288" s="420">
        <f t="shared" ca="1" si="74"/>
        <v>-7.5868952223986791E-2</v>
      </c>
    </row>
    <row r="4289" spans="6:7" x14ac:dyDescent="0.2">
      <c r="F4289" s="591">
        <v>4280</v>
      </c>
      <c r="G4289" s="420">
        <f t="shared" ca="1" si="74"/>
        <v>3.8696915211087937E-2</v>
      </c>
    </row>
    <row r="4290" spans="6:7" x14ac:dyDescent="0.2">
      <c r="F4290" s="591">
        <v>4281</v>
      </c>
      <c r="G4290" s="420">
        <f t="shared" ca="1" si="74"/>
        <v>-6.5721853667861957E-2</v>
      </c>
    </row>
    <row r="4291" spans="6:7" x14ac:dyDescent="0.2">
      <c r="F4291" s="591">
        <v>4282</v>
      </c>
      <c r="G4291" s="420">
        <f t="shared" ca="1" si="74"/>
        <v>2.3134396045200272E-2</v>
      </c>
    </row>
    <row r="4292" spans="6:7" x14ac:dyDescent="0.2">
      <c r="F4292" s="591">
        <v>4283</v>
      </c>
      <c r="G4292" s="420">
        <f t="shared" ca="1" si="74"/>
        <v>7.8707588417324059E-2</v>
      </c>
    </row>
    <row r="4293" spans="6:7" x14ac:dyDescent="0.2">
      <c r="F4293" s="591">
        <v>4284</v>
      </c>
      <c r="G4293" s="420">
        <f t="shared" ca="1" si="74"/>
        <v>-3.0064985325919041E-2</v>
      </c>
    </row>
    <row r="4294" spans="6:7" x14ac:dyDescent="0.2">
      <c r="F4294" s="591">
        <v>4285</v>
      </c>
      <c r="G4294" s="420">
        <f t="shared" ca="1" si="74"/>
        <v>-7.9045118450900162E-2</v>
      </c>
    </row>
    <row r="4295" spans="6:7" x14ac:dyDescent="0.2">
      <c r="F4295" s="591">
        <v>4286</v>
      </c>
      <c r="G4295" s="420">
        <f t="shared" ca="1" si="74"/>
        <v>-1.8300354542541277E-2</v>
      </c>
    </row>
    <row r="4296" spans="6:7" x14ac:dyDescent="0.2">
      <c r="F4296" s="591">
        <v>4287</v>
      </c>
      <c r="G4296" s="420">
        <f t="shared" ca="1" si="74"/>
        <v>6.8493230778899558E-2</v>
      </c>
    </row>
    <row r="4297" spans="6:7" x14ac:dyDescent="0.2">
      <c r="F4297" s="591">
        <v>4288</v>
      </c>
      <c r="G4297" s="420">
        <f t="shared" ca="1" si="74"/>
        <v>-3.7591630869086373E-2</v>
      </c>
    </row>
    <row r="4298" spans="6:7" x14ac:dyDescent="0.2">
      <c r="F4298" s="591">
        <v>4289</v>
      </c>
      <c r="G4298" s="420">
        <f t="shared" ca="1" si="74"/>
        <v>1.201649960297122E-2</v>
      </c>
    </row>
    <row r="4299" spans="6:7" x14ac:dyDescent="0.2">
      <c r="F4299" s="591">
        <v>4290</v>
      </c>
      <c r="G4299" s="420">
        <f t="shared" ref="G4299:G4362" ca="1" si="75">_xlfn.NORM.INV(RAND(), $M$11,$M$12)</f>
        <v>-3.3653767167731038E-2</v>
      </c>
    </row>
    <row r="4300" spans="6:7" x14ac:dyDescent="0.2">
      <c r="F4300" s="591">
        <v>4291</v>
      </c>
      <c r="G4300" s="420">
        <f t="shared" ca="1" si="75"/>
        <v>0.13403757012893275</v>
      </c>
    </row>
    <row r="4301" spans="6:7" x14ac:dyDescent="0.2">
      <c r="F4301" s="591">
        <v>4292</v>
      </c>
      <c r="G4301" s="420">
        <f t="shared" ca="1" si="75"/>
        <v>6.0678223357863062E-2</v>
      </c>
    </row>
    <row r="4302" spans="6:7" x14ac:dyDescent="0.2">
      <c r="F4302" s="591">
        <v>4293</v>
      </c>
      <c r="G4302" s="420">
        <f t="shared" ca="1" si="75"/>
        <v>-5.025216564879055E-2</v>
      </c>
    </row>
    <row r="4303" spans="6:7" x14ac:dyDescent="0.2">
      <c r="F4303" s="591">
        <v>4294</v>
      </c>
      <c r="G4303" s="420">
        <f t="shared" ca="1" si="75"/>
        <v>-4.4010413319384989E-2</v>
      </c>
    </row>
    <row r="4304" spans="6:7" x14ac:dyDescent="0.2">
      <c r="F4304" s="591">
        <v>4295</v>
      </c>
      <c r="G4304" s="420">
        <f t="shared" ca="1" si="75"/>
        <v>4.5820139974957885E-3</v>
      </c>
    </row>
    <row r="4305" spans="6:7" x14ac:dyDescent="0.2">
      <c r="F4305" s="591">
        <v>4296</v>
      </c>
      <c r="G4305" s="420">
        <f t="shared" ca="1" si="75"/>
        <v>1.8495093619007863E-3</v>
      </c>
    </row>
    <row r="4306" spans="6:7" x14ac:dyDescent="0.2">
      <c r="F4306" s="591">
        <v>4297</v>
      </c>
      <c r="G4306" s="420">
        <f t="shared" ca="1" si="75"/>
        <v>-5.4493929385251119E-2</v>
      </c>
    </row>
    <row r="4307" spans="6:7" x14ac:dyDescent="0.2">
      <c r="F4307" s="591">
        <v>4298</v>
      </c>
      <c r="G4307" s="420">
        <f t="shared" ca="1" si="75"/>
        <v>-5.3805086046012349E-2</v>
      </c>
    </row>
    <row r="4308" spans="6:7" x14ac:dyDescent="0.2">
      <c r="F4308" s="591">
        <v>4299</v>
      </c>
      <c r="G4308" s="420">
        <f t="shared" ca="1" si="75"/>
        <v>-0.10829951183652549</v>
      </c>
    </row>
    <row r="4309" spans="6:7" x14ac:dyDescent="0.2">
      <c r="F4309" s="591">
        <v>4300</v>
      </c>
      <c r="G4309" s="420">
        <f t="shared" ca="1" si="75"/>
        <v>-3.9339850138395121E-3</v>
      </c>
    </row>
    <row r="4310" spans="6:7" x14ac:dyDescent="0.2">
      <c r="F4310" s="591">
        <v>4301</v>
      </c>
      <c r="G4310" s="420">
        <f t="shared" ca="1" si="75"/>
        <v>6.5202840897302924E-2</v>
      </c>
    </row>
    <row r="4311" spans="6:7" x14ac:dyDescent="0.2">
      <c r="F4311" s="591">
        <v>4302</v>
      </c>
      <c r="G4311" s="420">
        <f t="shared" ca="1" si="75"/>
        <v>8.3276587647688985E-2</v>
      </c>
    </row>
    <row r="4312" spans="6:7" x14ac:dyDescent="0.2">
      <c r="F4312" s="591">
        <v>4303</v>
      </c>
      <c r="G4312" s="420">
        <f t="shared" ca="1" si="75"/>
        <v>3.8720901861941506E-2</v>
      </c>
    </row>
    <row r="4313" spans="6:7" x14ac:dyDescent="0.2">
      <c r="F4313" s="591">
        <v>4304</v>
      </c>
      <c r="G4313" s="420">
        <f t="shared" ca="1" si="75"/>
        <v>8.2940030608959436E-2</v>
      </c>
    </row>
    <row r="4314" spans="6:7" x14ac:dyDescent="0.2">
      <c r="F4314" s="591">
        <v>4305</v>
      </c>
      <c r="G4314" s="420">
        <f t="shared" ca="1" si="75"/>
        <v>2.357553366887704E-2</v>
      </c>
    </row>
    <row r="4315" spans="6:7" x14ac:dyDescent="0.2">
      <c r="F4315" s="591">
        <v>4306</v>
      </c>
      <c r="G4315" s="420">
        <f t="shared" ca="1" si="75"/>
        <v>8.159578575631727E-3</v>
      </c>
    </row>
    <row r="4316" spans="6:7" x14ac:dyDescent="0.2">
      <c r="F4316" s="591">
        <v>4307</v>
      </c>
      <c r="G4316" s="420">
        <f t="shared" ca="1" si="75"/>
        <v>-1.1879287075193919E-2</v>
      </c>
    </row>
    <row r="4317" spans="6:7" x14ac:dyDescent="0.2">
      <c r="F4317" s="591">
        <v>4308</v>
      </c>
      <c r="G4317" s="420">
        <f t="shared" ca="1" si="75"/>
        <v>-0.12243011466854832</v>
      </c>
    </row>
    <row r="4318" spans="6:7" x14ac:dyDescent="0.2">
      <c r="F4318" s="591">
        <v>4309</v>
      </c>
      <c r="G4318" s="420">
        <f t="shared" ca="1" si="75"/>
        <v>-2.0598565525932824E-3</v>
      </c>
    </row>
    <row r="4319" spans="6:7" x14ac:dyDescent="0.2">
      <c r="F4319" s="591">
        <v>4310</v>
      </c>
      <c r="G4319" s="420">
        <f t="shared" ca="1" si="75"/>
        <v>-8.2675483521917642E-2</v>
      </c>
    </row>
    <row r="4320" spans="6:7" x14ac:dyDescent="0.2">
      <c r="F4320" s="591">
        <v>4311</v>
      </c>
      <c r="G4320" s="420">
        <f t="shared" ca="1" si="75"/>
        <v>-1.0461834322362498E-2</v>
      </c>
    </row>
    <row r="4321" spans="6:7" x14ac:dyDescent="0.2">
      <c r="F4321" s="591">
        <v>4312</v>
      </c>
      <c r="G4321" s="420">
        <f t="shared" ca="1" si="75"/>
        <v>9.1742325193241117E-2</v>
      </c>
    </row>
    <row r="4322" spans="6:7" x14ac:dyDescent="0.2">
      <c r="F4322" s="591">
        <v>4313</v>
      </c>
      <c r="G4322" s="420">
        <f t="shared" ca="1" si="75"/>
        <v>-0.10521684685856388</v>
      </c>
    </row>
    <row r="4323" spans="6:7" x14ac:dyDescent="0.2">
      <c r="F4323" s="591">
        <v>4314</v>
      </c>
      <c r="G4323" s="420">
        <f t="shared" ca="1" si="75"/>
        <v>1.4789935438975443E-2</v>
      </c>
    </row>
    <row r="4324" spans="6:7" x14ac:dyDescent="0.2">
      <c r="F4324" s="591">
        <v>4315</v>
      </c>
      <c r="G4324" s="420">
        <f t="shared" ca="1" si="75"/>
        <v>-4.8322136925736947E-2</v>
      </c>
    </row>
    <row r="4325" spans="6:7" x14ac:dyDescent="0.2">
      <c r="F4325" s="591">
        <v>4316</v>
      </c>
      <c r="G4325" s="420">
        <f t="shared" ca="1" si="75"/>
        <v>5.2300635955134553E-2</v>
      </c>
    </row>
    <row r="4326" spans="6:7" x14ac:dyDescent="0.2">
      <c r="F4326" s="591">
        <v>4317</v>
      </c>
      <c r="G4326" s="420">
        <f t="shared" ca="1" si="75"/>
        <v>-1.7214311696569933E-2</v>
      </c>
    </row>
    <row r="4327" spans="6:7" x14ac:dyDescent="0.2">
      <c r="F4327" s="591">
        <v>4318</v>
      </c>
      <c r="G4327" s="420">
        <f t="shared" ca="1" si="75"/>
        <v>5.0743965270357072E-2</v>
      </c>
    </row>
    <row r="4328" spans="6:7" x14ac:dyDescent="0.2">
      <c r="F4328" s="591">
        <v>4319</v>
      </c>
      <c r="G4328" s="420">
        <f t="shared" ca="1" si="75"/>
        <v>-0.1241001106658227</v>
      </c>
    </row>
    <row r="4329" spans="6:7" x14ac:dyDescent="0.2">
      <c r="F4329" s="591">
        <v>4320</v>
      </c>
      <c r="G4329" s="420">
        <f t="shared" ca="1" si="75"/>
        <v>-2.51319947099173E-2</v>
      </c>
    </row>
    <row r="4330" spans="6:7" x14ac:dyDescent="0.2">
      <c r="F4330" s="591">
        <v>4321</v>
      </c>
      <c r="G4330" s="420">
        <f t="shared" ca="1" si="75"/>
        <v>0.13088149571960075</v>
      </c>
    </row>
    <row r="4331" spans="6:7" x14ac:dyDescent="0.2">
      <c r="F4331" s="591">
        <v>4322</v>
      </c>
      <c r="G4331" s="420">
        <f t="shared" ca="1" si="75"/>
        <v>-3.9876513908386854E-2</v>
      </c>
    </row>
    <row r="4332" spans="6:7" x14ac:dyDescent="0.2">
      <c r="F4332" s="591">
        <v>4323</v>
      </c>
      <c r="G4332" s="420">
        <f t="shared" ca="1" si="75"/>
        <v>1.5808391237576314E-2</v>
      </c>
    </row>
    <row r="4333" spans="6:7" x14ac:dyDescent="0.2">
      <c r="F4333" s="591">
        <v>4324</v>
      </c>
      <c r="G4333" s="420">
        <f t="shared" ca="1" si="75"/>
        <v>-6.4738077807373048E-2</v>
      </c>
    </row>
    <row r="4334" spans="6:7" x14ac:dyDescent="0.2">
      <c r="F4334" s="591">
        <v>4325</v>
      </c>
      <c r="G4334" s="420">
        <f t="shared" ca="1" si="75"/>
        <v>5.0835849852919529E-2</v>
      </c>
    </row>
    <row r="4335" spans="6:7" x14ac:dyDescent="0.2">
      <c r="F4335" s="591">
        <v>4326</v>
      </c>
      <c r="G4335" s="420">
        <f t="shared" ca="1" si="75"/>
        <v>-6.7049053577606654E-2</v>
      </c>
    </row>
    <row r="4336" spans="6:7" x14ac:dyDescent="0.2">
      <c r="F4336" s="591">
        <v>4327</v>
      </c>
      <c r="G4336" s="420">
        <f t="shared" ca="1" si="75"/>
        <v>8.6798347222793962E-2</v>
      </c>
    </row>
    <row r="4337" spans="6:7" x14ac:dyDescent="0.2">
      <c r="F4337" s="591">
        <v>4328</v>
      </c>
      <c r="G4337" s="420">
        <f t="shared" ca="1" si="75"/>
        <v>-2.8866504654168363E-2</v>
      </c>
    </row>
    <row r="4338" spans="6:7" x14ac:dyDescent="0.2">
      <c r="F4338" s="591">
        <v>4329</v>
      </c>
      <c r="G4338" s="420">
        <f t="shared" ca="1" si="75"/>
        <v>-8.9706532552845802E-2</v>
      </c>
    </row>
    <row r="4339" spans="6:7" x14ac:dyDescent="0.2">
      <c r="F4339" s="591">
        <v>4330</v>
      </c>
      <c r="G4339" s="420">
        <f t="shared" ca="1" si="75"/>
        <v>2.6374515818229631E-2</v>
      </c>
    </row>
    <row r="4340" spans="6:7" x14ac:dyDescent="0.2">
      <c r="F4340" s="591">
        <v>4331</v>
      </c>
      <c r="G4340" s="420">
        <f t="shared" ca="1" si="75"/>
        <v>-7.8477620284939043E-2</v>
      </c>
    </row>
    <row r="4341" spans="6:7" x14ac:dyDescent="0.2">
      <c r="F4341" s="591">
        <v>4332</v>
      </c>
      <c r="G4341" s="420">
        <f t="shared" ca="1" si="75"/>
        <v>-1.8273069359770223E-2</v>
      </c>
    </row>
    <row r="4342" spans="6:7" x14ac:dyDescent="0.2">
      <c r="F4342" s="591">
        <v>4333</v>
      </c>
      <c r="G4342" s="420">
        <f t="shared" ca="1" si="75"/>
        <v>-0.11547440993049278</v>
      </c>
    </row>
    <row r="4343" spans="6:7" x14ac:dyDescent="0.2">
      <c r="F4343" s="591">
        <v>4334</v>
      </c>
      <c r="G4343" s="420">
        <f t="shared" ca="1" si="75"/>
        <v>4.6237675812221615E-2</v>
      </c>
    </row>
    <row r="4344" spans="6:7" x14ac:dyDescent="0.2">
      <c r="F4344" s="591">
        <v>4335</v>
      </c>
      <c r="G4344" s="420">
        <f t="shared" ca="1" si="75"/>
        <v>7.8684104686052775E-2</v>
      </c>
    </row>
    <row r="4345" spans="6:7" x14ac:dyDescent="0.2">
      <c r="F4345" s="591">
        <v>4336</v>
      </c>
      <c r="G4345" s="420">
        <f t="shared" ca="1" si="75"/>
        <v>-7.0905583067021813E-2</v>
      </c>
    </row>
    <row r="4346" spans="6:7" x14ac:dyDescent="0.2">
      <c r="F4346" s="591">
        <v>4337</v>
      </c>
      <c r="G4346" s="420">
        <f t="shared" ca="1" si="75"/>
        <v>-9.2198225658471633E-3</v>
      </c>
    </row>
    <row r="4347" spans="6:7" x14ac:dyDescent="0.2">
      <c r="F4347" s="591">
        <v>4338</v>
      </c>
      <c r="G4347" s="420">
        <f t="shared" ca="1" si="75"/>
        <v>-1.4897067620919618E-2</v>
      </c>
    </row>
    <row r="4348" spans="6:7" x14ac:dyDescent="0.2">
      <c r="F4348" s="591">
        <v>4339</v>
      </c>
      <c r="G4348" s="420">
        <f t="shared" ca="1" si="75"/>
        <v>5.1307759820913679E-2</v>
      </c>
    </row>
    <row r="4349" spans="6:7" x14ac:dyDescent="0.2">
      <c r="F4349" s="591">
        <v>4340</v>
      </c>
      <c r="G4349" s="420">
        <f t="shared" ca="1" si="75"/>
        <v>-6.6329852126046057E-2</v>
      </c>
    </row>
    <row r="4350" spans="6:7" x14ac:dyDescent="0.2">
      <c r="F4350" s="591">
        <v>4341</v>
      </c>
      <c r="G4350" s="420">
        <f t="shared" ca="1" si="75"/>
        <v>9.0503754099474712E-2</v>
      </c>
    </row>
    <row r="4351" spans="6:7" x14ac:dyDescent="0.2">
      <c r="F4351" s="591">
        <v>4342</v>
      </c>
      <c r="G4351" s="420">
        <f t="shared" ca="1" si="75"/>
        <v>0.115773335278337</v>
      </c>
    </row>
    <row r="4352" spans="6:7" x14ac:dyDescent="0.2">
      <c r="F4352" s="591">
        <v>4343</v>
      </c>
      <c r="G4352" s="420">
        <f t="shared" ca="1" si="75"/>
        <v>4.5697051281969964E-2</v>
      </c>
    </row>
    <row r="4353" spans="6:7" x14ac:dyDescent="0.2">
      <c r="F4353" s="591">
        <v>4344</v>
      </c>
      <c r="G4353" s="420">
        <f t="shared" ca="1" si="75"/>
        <v>1.0391926282160329E-2</v>
      </c>
    </row>
    <row r="4354" spans="6:7" x14ac:dyDescent="0.2">
      <c r="F4354" s="591">
        <v>4345</v>
      </c>
      <c r="G4354" s="420">
        <f t="shared" ca="1" si="75"/>
        <v>5.6032416815724559E-2</v>
      </c>
    </row>
    <row r="4355" spans="6:7" x14ac:dyDescent="0.2">
      <c r="F4355" s="591">
        <v>4346</v>
      </c>
      <c r="G4355" s="420">
        <f t="shared" ca="1" si="75"/>
        <v>8.1514093286316106E-2</v>
      </c>
    </row>
    <row r="4356" spans="6:7" x14ac:dyDescent="0.2">
      <c r="F4356" s="591">
        <v>4347</v>
      </c>
      <c r="G4356" s="420">
        <f t="shared" ca="1" si="75"/>
        <v>3.5989136534566632E-2</v>
      </c>
    </row>
    <row r="4357" spans="6:7" x14ac:dyDescent="0.2">
      <c r="F4357" s="591">
        <v>4348</v>
      </c>
      <c r="G4357" s="420">
        <f t="shared" ca="1" si="75"/>
        <v>-7.1405673201009587E-2</v>
      </c>
    </row>
    <row r="4358" spans="6:7" x14ac:dyDescent="0.2">
      <c r="F4358" s="591">
        <v>4349</v>
      </c>
      <c r="G4358" s="420">
        <f t="shared" ca="1" si="75"/>
        <v>9.7442637408767546E-2</v>
      </c>
    </row>
    <row r="4359" spans="6:7" x14ac:dyDescent="0.2">
      <c r="F4359" s="591">
        <v>4350</v>
      </c>
      <c r="G4359" s="420">
        <f t="shared" ca="1" si="75"/>
        <v>-6.3063780415114942E-2</v>
      </c>
    </row>
    <row r="4360" spans="6:7" x14ac:dyDescent="0.2">
      <c r="F4360" s="591">
        <v>4351</v>
      </c>
      <c r="G4360" s="420">
        <f t="shared" ca="1" si="75"/>
        <v>9.4637207864687795E-2</v>
      </c>
    </row>
    <row r="4361" spans="6:7" x14ac:dyDescent="0.2">
      <c r="F4361" s="591">
        <v>4352</v>
      </c>
      <c r="G4361" s="420">
        <f t="shared" ca="1" si="75"/>
        <v>-2.7012937637835677E-2</v>
      </c>
    </row>
    <row r="4362" spans="6:7" x14ac:dyDescent="0.2">
      <c r="F4362" s="591">
        <v>4353</v>
      </c>
      <c r="G4362" s="420">
        <f t="shared" ca="1" si="75"/>
        <v>-2.1898725837832565E-2</v>
      </c>
    </row>
    <row r="4363" spans="6:7" x14ac:dyDescent="0.2">
      <c r="F4363" s="591">
        <v>4354</v>
      </c>
      <c r="G4363" s="420">
        <f t="shared" ref="G4363:G4426" ca="1" si="76">_xlfn.NORM.INV(RAND(), $M$11,$M$12)</f>
        <v>8.2249196747806369E-2</v>
      </c>
    </row>
    <row r="4364" spans="6:7" x14ac:dyDescent="0.2">
      <c r="F4364" s="591">
        <v>4355</v>
      </c>
      <c r="G4364" s="420">
        <f t="shared" ca="1" si="76"/>
        <v>-0.11220709561704455</v>
      </c>
    </row>
    <row r="4365" spans="6:7" x14ac:dyDescent="0.2">
      <c r="F4365" s="591">
        <v>4356</v>
      </c>
      <c r="G4365" s="420">
        <f t="shared" ca="1" si="76"/>
        <v>-6.8645263854136745E-2</v>
      </c>
    </row>
    <row r="4366" spans="6:7" x14ac:dyDescent="0.2">
      <c r="F4366" s="591">
        <v>4357</v>
      </c>
      <c r="G4366" s="420">
        <f t="shared" ca="1" si="76"/>
        <v>2.562689717975818E-2</v>
      </c>
    </row>
    <row r="4367" spans="6:7" x14ac:dyDescent="0.2">
      <c r="F4367" s="591">
        <v>4358</v>
      </c>
      <c r="G4367" s="420">
        <f t="shared" ca="1" si="76"/>
        <v>-3.8519121269361078E-2</v>
      </c>
    </row>
    <row r="4368" spans="6:7" x14ac:dyDescent="0.2">
      <c r="F4368" s="591">
        <v>4359</v>
      </c>
      <c r="G4368" s="420">
        <f t="shared" ca="1" si="76"/>
        <v>6.1961764992494367E-2</v>
      </c>
    </row>
    <row r="4369" spans="6:7" x14ac:dyDescent="0.2">
      <c r="F4369" s="591">
        <v>4360</v>
      </c>
      <c r="G4369" s="420">
        <f t="shared" ca="1" si="76"/>
        <v>-0.10296031449682239</v>
      </c>
    </row>
    <row r="4370" spans="6:7" x14ac:dyDescent="0.2">
      <c r="F4370" s="591">
        <v>4361</v>
      </c>
      <c r="G4370" s="420">
        <f t="shared" ca="1" si="76"/>
        <v>0.14539802035603203</v>
      </c>
    </row>
    <row r="4371" spans="6:7" x14ac:dyDescent="0.2">
      <c r="F4371" s="591">
        <v>4362</v>
      </c>
      <c r="G4371" s="420">
        <f t="shared" ca="1" si="76"/>
        <v>-1.7704897072976847E-2</v>
      </c>
    </row>
    <row r="4372" spans="6:7" x14ac:dyDescent="0.2">
      <c r="F4372" s="591">
        <v>4363</v>
      </c>
      <c r="G4372" s="420">
        <f t="shared" ca="1" si="76"/>
        <v>-1.0594640360189856E-2</v>
      </c>
    </row>
    <row r="4373" spans="6:7" x14ac:dyDescent="0.2">
      <c r="F4373" s="591">
        <v>4364</v>
      </c>
      <c r="G4373" s="420">
        <f t="shared" ca="1" si="76"/>
        <v>1.5216971594744189E-2</v>
      </c>
    </row>
    <row r="4374" spans="6:7" x14ac:dyDescent="0.2">
      <c r="F4374" s="591">
        <v>4365</v>
      </c>
      <c r="G4374" s="420">
        <f t="shared" ca="1" si="76"/>
        <v>5.1267142310346993E-4</v>
      </c>
    </row>
    <row r="4375" spans="6:7" x14ac:dyDescent="0.2">
      <c r="F4375" s="591">
        <v>4366</v>
      </c>
      <c r="G4375" s="420">
        <f t="shared" ca="1" si="76"/>
        <v>-8.3958292917148514E-2</v>
      </c>
    </row>
    <row r="4376" spans="6:7" x14ac:dyDescent="0.2">
      <c r="F4376" s="591">
        <v>4367</v>
      </c>
      <c r="G4376" s="420">
        <f t="shared" ca="1" si="76"/>
        <v>6.4341396794570183E-2</v>
      </c>
    </row>
    <row r="4377" spans="6:7" x14ac:dyDescent="0.2">
      <c r="F4377" s="591">
        <v>4368</v>
      </c>
      <c r="G4377" s="420">
        <f t="shared" ca="1" si="76"/>
        <v>3.3798442827547487E-2</v>
      </c>
    </row>
    <row r="4378" spans="6:7" x14ac:dyDescent="0.2">
      <c r="F4378" s="591">
        <v>4369</v>
      </c>
      <c r="G4378" s="420">
        <f t="shared" ca="1" si="76"/>
        <v>2.2774777505659795E-2</v>
      </c>
    </row>
    <row r="4379" spans="6:7" x14ac:dyDescent="0.2">
      <c r="F4379" s="591">
        <v>4370</v>
      </c>
      <c r="G4379" s="420">
        <f t="shared" ca="1" si="76"/>
        <v>3.5022416210708542E-2</v>
      </c>
    </row>
    <row r="4380" spans="6:7" x14ac:dyDescent="0.2">
      <c r="F4380" s="591">
        <v>4371</v>
      </c>
      <c r="G4380" s="420">
        <f t="shared" ca="1" si="76"/>
        <v>5.6382449721190289E-2</v>
      </c>
    </row>
    <row r="4381" spans="6:7" x14ac:dyDescent="0.2">
      <c r="F4381" s="591">
        <v>4372</v>
      </c>
      <c r="G4381" s="420">
        <f t="shared" ca="1" si="76"/>
        <v>-0.14781481236507707</v>
      </c>
    </row>
    <row r="4382" spans="6:7" x14ac:dyDescent="0.2">
      <c r="F4382" s="591">
        <v>4373</v>
      </c>
      <c r="G4382" s="420">
        <f t="shared" ca="1" si="76"/>
        <v>9.8485631910761665E-2</v>
      </c>
    </row>
    <row r="4383" spans="6:7" x14ac:dyDescent="0.2">
      <c r="F4383" s="591">
        <v>4374</v>
      </c>
      <c r="G4383" s="420">
        <f t="shared" ca="1" si="76"/>
        <v>1.279112195229996E-2</v>
      </c>
    </row>
    <row r="4384" spans="6:7" x14ac:dyDescent="0.2">
      <c r="F4384" s="591">
        <v>4375</v>
      </c>
      <c r="G4384" s="420">
        <f t="shared" ca="1" si="76"/>
        <v>4.7154136175040856E-2</v>
      </c>
    </row>
    <row r="4385" spans="6:7" x14ac:dyDescent="0.2">
      <c r="F4385" s="591">
        <v>4376</v>
      </c>
      <c r="G4385" s="420">
        <f t="shared" ca="1" si="76"/>
        <v>8.214269678386428E-2</v>
      </c>
    </row>
    <row r="4386" spans="6:7" x14ac:dyDescent="0.2">
      <c r="F4386" s="591">
        <v>4377</v>
      </c>
      <c r="G4386" s="420">
        <f t="shared" ca="1" si="76"/>
        <v>5.6494443618155865E-2</v>
      </c>
    </row>
    <row r="4387" spans="6:7" x14ac:dyDescent="0.2">
      <c r="F4387" s="591">
        <v>4378</v>
      </c>
      <c r="G4387" s="420">
        <f t="shared" ca="1" si="76"/>
        <v>-1.4278823041389117E-2</v>
      </c>
    </row>
    <row r="4388" spans="6:7" x14ac:dyDescent="0.2">
      <c r="F4388" s="591">
        <v>4379</v>
      </c>
      <c r="G4388" s="420">
        <f t="shared" ca="1" si="76"/>
        <v>-3.3448415213674962E-2</v>
      </c>
    </row>
    <row r="4389" spans="6:7" x14ac:dyDescent="0.2">
      <c r="F4389" s="591">
        <v>4380</v>
      </c>
      <c r="G4389" s="420">
        <f t="shared" ca="1" si="76"/>
        <v>0.15280070200887644</v>
      </c>
    </row>
    <row r="4390" spans="6:7" x14ac:dyDescent="0.2">
      <c r="F4390" s="591">
        <v>4381</v>
      </c>
      <c r="G4390" s="420">
        <f t="shared" ca="1" si="76"/>
        <v>1.7387095112444753E-3</v>
      </c>
    </row>
    <row r="4391" spans="6:7" x14ac:dyDescent="0.2">
      <c r="F4391" s="591">
        <v>4382</v>
      </c>
      <c r="G4391" s="420">
        <f t="shared" ca="1" si="76"/>
        <v>7.5555086601934884E-2</v>
      </c>
    </row>
    <row r="4392" spans="6:7" x14ac:dyDescent="0.2">
      <c r="F4392" s="591">
        <v>4383</v>
      </c>
      <c r="G4392" s="420">
        <f t="shared" ca="1" si="76"/>
        <v>7.9006007002786108E-2</v>
      </c>
    </row>
    <row r="4393" spans="6:7" x14ac:dyDescent="0.2">
      <c r="F4393" s="591">
        <v>4384</v>
      </c>
      <c r="G4393" s="420">
        <f t="shared" ca="1" si="76"/>
        <v>0.10359747431318032</v>
      </c>
    </row>
    <row r="4394" spans="6:7" x14ac:dyDescent="0.2">
      <c r="F4394" s="591">
        <v>4385</v>
      </c>
      <c r="G4394" s="420">
        <f t="shared" ca="1" si="76"/>
        <v>3.9763467099724614E-2</v>
      </c>
    </row>
    <row r="4395" spans="6:7" x14ac:dyDescent="0.2">
      <c r="F4395" s="591">
        <v>4386</v>
      </c>
      <c r="G4395" s="420">
        <f t="shared" ca="1" si="76"/>
        <v>-1.3237151093355055E-3</v>
      </c>
    </row>
    <row r="4396" spans="6:7" x14ac:dyDescent="0.2">
      <c r="F4396" s="591">
        <v>4387</v>
      </c>
      <c r="G4396" s="420">
        <f t="shared" ca="1" si="76"/>
        <v>-3.0240971503194578E-2</v>
      </c>
    </row>
    <row r="4397" spans="6:7" x14ac:dyDescent="0.2">
      <c r="F4397" s="591">
        <v>4388</v>
      </c>
      <c r="G4397" s="420">
        <f t="shared" ca="1" si="76"/>
        <v>8.6537100396258931E-3</v>
      </c>
    </row>
    <row r="4398" spans="6:7" x14ac:dyDescent="0.2">
      <c r="F4398" s="591">
        <v>4389</v>
      </c>
      <c r="G4398" s="420">
        <f t="shared" ca="1" si="76"/>
        <v>-8.9943763637070115E-2</v>
      </c>
    </row>
    <row r="4399" spans="6:7" x14ac:dyDescent="0.2">
      <c r="F4399" s="591">
        <v>4390</v>
      </c>
      <c r="G4399" s="420">
        <f t="shared" ca="1" si="76"/>
        <v>6.4720392256231316E-2</v>
      </c>
    </row>
    <row r="4400" spans="6:7" x14ac:dyDescent="0.2">
      <c r="F4400" s="591">
        <v>4391</v>
      </c>
      <c r="G4400" s="420">
        <f t="shared" ca="1" si="76"/>
        <v>-7.5742355857548335E-2</v>
      </c>
    </row>
    <row r="4401" spans="6:7" x14ac:dyDescent="0.2">
      <c r="F4401" s="591">
        <v>4392</v>
      </c>
      <c r="G4401" s="420">
        <f t="shared" ca="1" si="76"/>
        <v>8.9082834845380862E-2</v>
      </c>
    </row>
    <row r="4402" spans="6:7" x14ac:dyDescent="0.2">
      <c r="F4402" s="591">
        <v>4393</v>
      </c>
      <c r="G4402" s="420">
        <f t="shared" ca="1" si="76"/>
        <v>4.1535493892011978E-2</v>
      </c>
    </row>
    <row r="4403" spans="6:7" x14ac:dyDescent="0.2">
      <c r="F4403" s="591">
        <v>4394</v>
      </c>
      <c r="G4403" s="420">
        <f t="shared" ca="1" si="76"/>
        <v>2.1779933511306172E-2</v>
      </c>
    </row>
    <row r="4404" spans="6:7" x14ac:dyDescent="0.2">
      <c r="F4404" s="591">
        <v>4395</v>
      </c>
      <c r="G4404" s="420">
        <f t="shared" ca="1" si="76"/>
        <v>-8.3795281503597149E-2</v>
      </c>
    </row>
    <row r="4405" spans="6:7" x14ac:dyDescent="0.2">
      <c r="F4405" s="591">
        <v>4396</v>
      </c>
      <c r="G4405" s="420">
        <f t="shared" ca="1" si="76"/>
        <v>-5.1246525036832621E-2</v>
      </c>
    </row>
    <row r="4406" spans="6:7" x14ac:dyDescent="0.2">
      <c r="F4406" s="591">
        <v>4397</v>
      </c>
      <c r="G4406" s="420">
        <f t="shared" ca="1" si="76"/>
        <v>7.5879817975687922E-2</v>
      </c>
    </row>
    <row r="4407" spans="6:7" x14ac:dyDescent="0.2">
      <c r="F4407" s="591">
        <v>4398</v>
      </c>
      <c r="G4407" s="420">
        <f t="shared" ca="1" si="76"/>
        <v>-6.5997526857605217E-3</v>
      </c>
    </row>
    <row r="4408" spans="6:7" x14ac:dyDescent="0.2">
      <c r="F4408" s="591">
        <v>4399</v>
      </c>
      <c r="G4408" s="420">
        <f t="shared" ca="1" si="76"/>
        <v>6.7427402532828362E-5</v>
      </c>
    </row>
    <row r="4409" spans="6:7" x14ac:dyDescent="0.2">
      <c r="F4409" s="591">
        <v>4400</v>
      </c>
      <c r="G4409" s="420">
        <f t="shared" ca="1" si="76"/>
        <v>4.7087523709113552E-2</v>
      </c>
    </row>
    <row r="4410" spans="6:7" x14ac:dyDescent="0.2">
      <c r="F4410" s="591">
        <v>4401</v>
      </c>
      <c r="G4410" s="420">
        <f t="shared" ca="1" si="76"/>
        <v>-5.4137877178477012E-3</v>
      </c>
    </row>
    <row r="4411" spans="6:7" x14ac:dyDescent="0.2">
      <c r="F4411" s="591">
        <v>4402</v>
      </c>
      <c r="G4411" s="420">
        <f t="shared" ca="1" si="76"/>
        <v>-0.15152532345925862</v>
      </c>
    </row>
    <row r="4412" spans="6:7" x14ac:dyDescent="0.2">
      <c r="F4412" s="591">
        <v>4403</v>
      </c>
      <c r="G4412" s="420">
        <f t="shared" ca="1" si="76"/>
        <v>-5.6162094675829E-2</v>
      </c>
    </row>
    <row r="4413" spans="6:7" x14ac:dyDescent="0.2">
      <c r="F4413" s="591">
        <v>4404</v>
      </c>
      <c r="G4413" s="420">
        <f t="shared" ca="1" si="76"/>
        <v>-8.1085285310675673E-2</v>
      </c>
    </row>
    <row r="4414" spans="6:7" x14ac:dyDescent="0.2">
      <c r="F4414" s="591">
        <v>4405</v>
      </c>
      <c r="G4414" s="420">
        <f t="shared" ca="1" si="76"/>
        <v>7.0175256097814109E-2</v>
      </c>
    </row>
    <row r="4415" spans="6:7" x14ac:dyDescent="0.2">
      <c r="F4415" s="591">
        <v>4406</v>
      </c>
      <c r="G4415" s="420">
        <f t="shared" ca="1" si="76"/>
        <v>-5.7186483435197583E-2</v>
      </c>
    </row>
    <row r="4416" spans="6:7" x14ac:dyDescent="0.2">
      <c r="F4416" s="591">
        <v>4407</v>
      </c>
      <c r="G4416" s="420">
        <f t="shared" ca="1" si="76"/>
        <v>-6.7988519922258628E-2</v>
      </c>
    </row>
    <row r="4417" spans="6:7" x14ac:dyDescent="0.2">
      <c r="F4417" s="591">
        <v>4408</v>
      </c>
      <c r="G4417" s="420">
        <f t="shared" ca="1" si="76"/>
        <v>6.0380889423240824E-2</v>
      </c>
    </row>
    <row r="4418" spans="6:7" x14ac:dyDescent="0.2">
      <c r="F4418" s="591">
        <v>4409</v>
      </c>
      <c r="G4418" s="420">
        <f t="shared" ca="1" si="76"/>
        <v>-6.615564349780037E-2</v>
      </c>
    </row>
    <row r="4419" spans="6:7" x14ac:dyDescent="0.2">
      <c r="F4419" s="591">
        <v>4410</v>
      </c>
      <c r="G4419" s="420">
        <f t="shared" ca="1" si="76"/>
        <v>-5.3149223694445941E-2</v>
      </c>
    </row>
    <row r="4420" spans="6:7" x14ac:dyDescent="0.2">
      <c r="F4420" s="591">
        <v>4411</v>
      </c>
      <c r="G4420" s="420">
        <f t="shared" ca="1" si="76"/>
        <v>-2.0506896246838883E-2</v>
      </c>
    </row>
    <row r="4421" spans="6:7" x14ac:dyDescent="0.2">
      <c r="F4421" s="591">
        <v>4412</v>
      </c>
      <c r="G4421" s="420">
        <f t="shared" ca="1" si="76"/>
        <v>-1.3979604568001139E-2</v>
      </c>
    </row>
    <row r="4422" spans="6:7" x14ac:dyDescent="0.2">
      <c r="F4422" s="591">
        <v>4413</v>
      </c>
      <c r="G4422" s="420">
        <f t="shared" ca="1" si="76"/>
        <v>-3.4229250423275639E-2</v>
      </c>
    </row>
    <row r="4423" spans="6:7" x14ac:dyDescent="0.2">
      <c r="F4423" s="591">
        <v>4414</v>
      </c>
      <c r="G4423" s="420">
        <f t="shared" ca="1" si="76"/>
        <v>2.2042326890202354E-3</v>
      </c>
    </row>
    <row r="4424" spans="6:7" x14ac:dyDescent="0.2">
      <c r="F4424" s="591">
        <v>4415</v>
      </c>
      <c r="G4424" s="420">
        <f t="shared" ca="1" si="76"/>
        <v>-3.8367196285695199E-3</v>
      </c>
    </row>
    <row r="4425" spans="6:7" x14ac:dyDescent="0.2">
      <c r="F4425" s="591">
        <v>4416</v>
      </c>
      <c r="G4425" s="420">
        <f t="shared" ca="1" si="76"/>
        <v>-8.2736107518710356E-2</v>
      </c>
    </row>
    <row r="4426" spans="6:7" x14ac:dyDescent="0.2">
      <c r="F4426" s="591">
        <v>4417</v>
      </c>
      <c r="G4426" s="420">
        <f t="shared" ca="1" si="76"/>
        <v>-5.8518734050185608E-2</v>
      </c>
    </row>
    <row r="4427" spans="6:7" x14ac:dyDescent="0.2">
      <c r="F4427" s="591">
        <v>4418</v>
      </c>
      <c r="G4427" s="420">
        <f t="shared" ref="G4427:G4490" ca="1" si="77">_xlfn.NORM.INV(RAND(), $M$11,$M$12)</f>
        <v>2.9913424356723006E-2</v>
      </c>
    </row>
    <row r="4428" spans="6:7" x14ac:dyDescent="0.2">
      <c r="F4428" s="591">
        <v>4419</v>
      </c>
      <c r="G4428" s="420">
        <f t="shared" ca="1" si="77"/>
        <v>9.4046349248664327E-2</v>
      </c>
    </row>
    <row r="4429" spans="6:7" x14ac:dyDescent="0.2">
      <c r="F4429" s="591">
        <v>4420</v>
      </c>
      <c r="G4429" s="420">
        <f t="shared" ca="1" si="77"/>
        <v>9.0306419533543111E-2</v>
      </c>
    </row>
    <row r="4430" spans="6:7" x14ac:dyDescent="0.2">
      <c r="F4430" s="591">
        <v>4421</v>
      </c>
      <c r="G4430" s="420">
        <f t="shared" ca="1" si="77"/>
        <v>0.15463427445113301</v>
      </c>
    </row>
    <row r="4431" spans="6:7" x14ac:dyDescent="0.2">
      <c r="F4431" s="591">
        <v>4422</v>
      </c>
      <c r="G4431" s="420">
        <f t="shared" ca="1" si="77"/>
        <v>9.3295431191687331E-2</v>
      </c>
    </row>
    <row r="4432" spans="6:7" x14ac:dyDescent="0.2">
      <c r="F4432" s="591">
        <v>4423</v>
      </c>
      <c r="G4432" s="420">
        <f t="shared" ca="1" si="77"/>
        <v>0.16382150975046902</v>
      </c>
    </row>
    <row r="4433" spans="6:7" x14ac:dyDescent="0.2">
      <c r="F4433" s="591">
        <v>4424</v>
      </c>
      <c r="G4433" s="420">
        <f t="shared" ca="1" si="77"/>
        <v>-6.9209376578178813E-2</v>
      </c>
    </row>
    <row r="4434" spans="6:7" x14ac:dyDescent="0.2">
      <c r="F4434" s="591">
        <v>4425</v>
      </c>
      <c r="G4434" s="420">
        <f t="shared" ca="1" si="77"/>
        <v>0.11031389649968217</v>
      </c>
    </row>
    <row r="4435" spans="6:7" x14ac:dyDescent="0.2">
      <c r="F4435" s="591">
        <v>4426</v>
      </c>
      <c r="G4435" s="420">
        <f t="shared" ca="1" si="77"/>
        <v>4.4490769844243522E-2</v>
      </c>
    </row>
    <row r="4436" spans="6:7" x14ac:dyDescent="0.2">
      <c r="F4436" s="591">
        <v>4427</v>
      </c>
      <c r="G4436" s="420">
        <f t="shared" ca="1" si="77"/>
        <v>-0.14101287555310554</v>
      </c>
    </row>
    <row r="4437" spans="6:7" x14ac:dyDescent="0.2">
      <c r="F4437" s="591">
        <v>4428</v>
      </c>
      <c r="G4437" s="420">
        <f t="shared" ca="1" si="77"/>
        <v>8.0256490794260518E-4</v>
      </c>
    </row>
    <row r="4438" spans="6:7" x14ac:dyDescent="0.2">
      <c r="F4438" s="591">
        <v>4429</v>
      </c>
      <c r="G4438" s="420">
        <f t="shared" ca="1" si="77"/>
        <v>7.437134532878685E-2</v>
      </c>
    </row>
    <row r="4439" spans="6:7" x14ac:dyDescent="0.2">
      <c r="F4439" s="591">
        <v>4430</v>
      </c>
      <c r="G4439" s="420">
        <f t="shared" ca="1" si="77"/>
        <v>6.6149175249416575E-2</v>
      </c>
    </row>
    <row r="4440" spans="6:7" x14ac:dyDescent="0.2">
      <c r="F4440" s="591">
        <v>4431</v>
      </c>
      <c r="G4440" s="420">
        <f t="shared" ca="1" si="77"/>
        <v>7.4025463420590881E-2</v>
      </c>
    </row>
    <row r="4441" spans="6:7" x14ac:dyDescent="0.2">
      <c r="F4441" s="591">
        <v>4432</v>
      </c>
      <c r="G4441" s="420">
        <f t="shared" ca="1" si="77"/>
        <v>-2.0037797011149713E-2</v>
      </c>
    </row>
    <row r="4442" spans="6:7" x14ac:dyDescent="0.2">
      <c r="F4442" s="591">
        <v>4433</v>
      </c>
      <c r="G4442" s="420">
        <f t="shared" ca="1" si="77"/>
        <v>-1.7386538250041696E-2</v>
      </c>
    </row>
    <row r="4443" spans="6:7" x14ac:dyDescent="0.2">
      <c r="F4443" s="591">
        <v>4434</v>
      </c>
      <c r="G4443" s="420">
        <f t="shared" ca="1" si="77"/>
        <v>-1.9207902518348266E-2</v>
      </c>
    </row>
    <row r="4444" spans="6:7" x14ac:dyDescent="0.2">
      <c r="F4444" s="591">
        <v>4435</v>
      </c>
      <c r="G4444" s="420">
        <f t="shared" ca="1" si="77"/>
        <v>-6.3429784606943762E-2</v>
      </c>
    </row>
    <row r="4445" spans="6:7" x14ac:dyDescent="0.2">
      <c r="F4445" s="591">
        <v>4436</v>
      </c>
      <c r="G4445" s="420">
        <f t="shared" ca="1" si="77"/>
        <v>9.3740035175629538E-2</v>
      </c>
    </row>
    <row r="4446" spans="6:7" x14ac:dyDescent="0.2">
      <c r="F4446" s="591">
        <v>4437</v>
      </c>
      <c r="G4446" s="420">
        <f t="shared" ca="1" si="77"/>
        <v>1.5388223134421477E-3</v>
      </c>
    </row>
    <row r="4447" spans="6:7" x14ac:dyDescent="0.2">
      <c r="F4447" s="591">
        <v>4438</v>
      </c>
      <c r="G4447" s="420">
        <f t="shared" ca="1" si="77"/>
        <v>8.4772909883928507E-2</v>
      </c>
    </row>
    <row r="4448" spans="6:7" x14ac:dyDescent="0.2">
      <c r="F4448" s="591">
        <v>4439</v>
      </c>
      <c r="G4448" s="420">
        <f t="shared" ca="1" si="77"/>
        <v>-4.8109404017817978E-2</v>
      </c>
    </row>
    <row r="4449" spans="6:7" x14ac:dyDescent="0.2">
      <c r="F4449" s="591">
        <v>4440</v>
      </c>
      <c r="G4449" s="420">
        <f t="shared" ca="1" si="77"/>
        <v>4.0955937031940566E-2</v>
      </c>
    </row>
    <row r="4450" spans="6:7" x14ac:dyDescent="0.2">
      <c r="F4450" s="591">
        <v>4441</v>
      </c>
      <c r="G4450" s="420">
        <f t="shared" ca="1" si="77"/>
        <v>9.9443809942783082E-2</v>
      </c>
    </row>
    <row r="4451" spans="6:7" x14ac:dyDescent="0.2">
      <c r="F4451" s="591">
        <v>4442</v>
      </c>
      <c r="G4451" s="420">
        <f t="shared" ca="1" si="77"/>
        <v>0.16476178792330118</v>
      </c>
    </row>
    <row r="4452" spans="6:7" x14ac:dyDescent="0.2">
      <c r="F4452" s="591">
        <v>4443</v>
      </c>
      <c r="G4452" s="420">
        <f t="shared" ca="1" si="77"/>
        <v>4.3451840835039099E-2</v>
      </c>
    </row>
    <row r="4453" spans="6:7" x14ac:dyDescent="0.2">
      <c r="F4453" s="591">
        <v>4444</v>
      </c>
      <c r="G4453" s="420">
        <f t="shared" ca="1" si="77"/>
        <v>-6.3620411844376099E-3</v>
      </c>
    </row>
    <row r="4454" spans="6:7" x14ac:dyDescent="0.2">
      <c r="F4454" s="591">
        <v>4445</v>
      </c>
      <c r="G4454" s="420">
        <f t="shared" ca="1" si="77"/>
        <v>8.9985033002699139E-2</v>
      </c>
    </row>
    <row r="4455" spans="6:7" x14ac:dyDescent="0.2">
      <c r="F4455" s="591">
        <v>4446</v>
      </c>
      <c r="G4455" s="420">
        <f t="shared" ca="1" si="77"/>
        <v>0.20913296866537415</v>
      </c>
    </row>
    <row r="4456" spans="6:7" x14ac:dyDescent="0.2">
      <c r="F4456" s="591">
        <v>4447</v>
      </c>
      <c r="G4456" s="420">
        <f t="shared" ca="1" si="77"/>
        <v>-1.8982474584124304E-2</v>
      </c>
    </row>
    <row r="4457" spans="6:7" x14ac:dyDescent="0.2">
      <c r="F4457" s="591">
        <v>4448</v>
      </c>
      <c r="G4457" s="420">
        <f t="shared" ca="1" si="77"/>
        <v>-3.0028790731650424E-2</v>
      </c>
    </row>
    <row r="4458" spans="6:7" x14ac:dyDescent="0.2">
      <c r="F4458" s="591">
        <v>4449</v>
      </c>
      <c r="G4458" s="420">
        <f t="shared" ca="1" si="77"/>
        <v>0.11826090038151851</v>
      </c>
    </row>
    <row r="4459" spans="6:7" x14ac:dyDescent="0.2">
      <c r="F4459" s="591">
        <v>4450</v>
      </c>
      <c r="G4459" s="420">
        <f t="shared" ca="1" si="77"/>
        <v>8.8936168822001921E-2</v>
      </c>
    </row>
    <row r="4460" spans="6:7" x14ac:dyDescent="0.2">
      <c r="F4460" s="591">
        <v>4451</v>
      </c>
      <c r="G4460" s="420">
        <f t="shared" ca="1" si="77"/>
        <v>-5.6461388748455063E-2</v>
      </c>
    </row>
    <row r="4461" spans="6:7" x14ac:dyDescent="0.2">
      <c r="F4461" s="591">
        <v>4452</v>
      </c>
      <c r="G4461" s="420">
        <f t="shared" ca="1" si="77"/>
        <v>6.3221277683744234E-2</v>
      </c>
    </row>
    <row r="4462" spans="6:7" x14ac:dyDescent="0.2">
      <c r="F4462" s="591">
        <v>4453</v>
      </c>
      <c r="G4462" s="420">
        <f t="shared" ca="1" si="77"/>
        <v>-8.6135867538986707E-2</v>
      </c>
    </row>
    <row r="4463" spans="6:7" x14ac:dyDescent="0.2">
      <c r="F4463" s="591">
        <v>4454</v>
      </c>
      <c r="G4463" s="420">
        <f t="shared" ca="1" si="77"/>
        <v>-9.1722439109761633E-2</v>
      </c>
    </row>
    <row r="4464" spans="6:7" x14ac:dyDescent="0.2">
      <c r="F4464" s="591">
        <v>4455</v>
      </c>
      <c r="G4464" s="420">
        <f t="shared" ca="1" si="77"/>
        <v>-9.5424291528240675E-3</v>
      </c>
    </row>
    <row r="4465" spans="6:7" x14ac:dyDescent="0.2">
      <c r="F4465" s="591">
        <v>4456</v>
      </c>
      <c r="G4465" s="420">
        <f t="shared" ca="1" si="77"/>
        <v>0.11943881712361371</v>
      </c>
    </row>
    <row r="4466" spans="6:7" x14ac:dyDescent="0.2">
      <c r="F4466" s="591">
        <v>4457</v>
      </c>
      <c r="G4466" s="420">
        <f t="shared" ca="1" si="77"/>
        <v>3.3933402809169899E-2</v>
      </c>
    </row>
    <row r="4467" spans="6:7" x14ac:dyDescent="0.2">
      <c r="F4467" s="591">
        <v>4458</v>
      </c>
      <c r="G4467" s="420">
        <f t="shared" ca="1" si="77"/>
        <v>7.8692549643162663E-2</v>
      </c>
    </row>
    <row r="4468" spans="6:7" x14ac:dyDescent="0.2">
      <c r="F4468" s="591">
        <v>4459</v>
      </c>
      <c r="G4468" s="420">
        <f t="shared" ca="1" si="77"/>
        <v>2.7864369403500771E-2</v>
      </c>
    </row>
    <row r="4469" spans="6:7" x14ac:dyDescent="0.2">
      <c r="F4469" s="591">
        <v>4460</v>
      </c>
      <c r="G4469" s="420">
        <f t="shared" ca="1" si="77"/>
        <v>7.3535022814961826E-2</v>
      </c>
    </row>
    <row r="4470" spans="6:7" x14ac:dyDescent="0.2">
      <c r="F4470" s="591">
        <v>4461</v>
      </c>
      <c r="G4470" s="420">
        <f t="shared" ca="1" si="77"/>
        <v>8.4787482702163061E-2</v>
      </c>
    </row>
    <row r="4471" spans="6:7" x14ac:dyDescent="0.2">
      <c r="F4471" s="591">
        <v>4462</v>
      </c>
      <c r="G4471" s="420">
        <f t="shared" ca="1" si="77"/>
        <v>-5.7045238884775556E-2</v>
      </c>
    </row>
    <row r="4472" spans="6:7" x14ac:dyDescent="0.2">
      <c r="F4472" s="591">
        <v>4463</v>
      </c>
      <c r="G4472" s="420">
        <f t="shared" ca="1" si="77"/>
        <v>-3.0090398854491256E-2</v>
      </c>
    </row>
    <row r="4473" spans="6:7" x14ac:dyDescent="0.2">
      <c r="F4473" s="591">
        <v>4464</v>
      </c>
      <c r="G4473" s="420">
        <f t="shared" ca="1" si="77"/>
        <v>4.3102354902881224E-2</v>
      </c>
    </row>
    <row r="4474" spans="6:7" x14ac:dyDescent="0.2">
      <c r="F4474" s="591">
        <v>4465</v>
      </c>
      <c r="G4474" s="420">
        <f t="shared" ca="1" si="77"/>
        <v>7.0701154803962163E-2</v>
      </c>
    </row>
    <row r="4475" spans="6:7" x14ac:dyDescent="0.2">
      <c r="F4475" s="591">
        <v>4466</v>
      </c>
      <c r="G4475" s="420">
        <f t="shared" ca="1" si="77"/>
        <v>6.0577973295475346E-2</v>
      </c>
    </row>
    <row r="4476" spans="6:7" x14ac:dyDescent="0.2">
      <c r="F4476" s="591">
        <v>4467</v>
      </c>
      <c r="G4476" s="420">
        <f t="shared" ca="1" si="77"/>
        <v>2.1975825881694323E-2</v>
      </c>
    </row>
    <row r="4477" spans="6:7" x14ac:dyDescent="0.2">
      <c r="F4477" s="591">
        <v>4468</v>
      </c>
      <c r="G4477" s="420">
        <f t="shared" ca="1" si="77"/>
        <v>-1.4803610778364631E-2</v>
      </c>
    </row>
    <row r="4478" spans="6:7" x14ac:dyDescent="0.2">
      <c r="F4478" s="591">
        <v>4469</v>
      </c>
      <c r="G4478" s="420">
        <f t="shared" ca="1" si="77"/>
        <v>-6.1121800997227707E-2</v>
      </c>
    </row>
    <row r="4479" spans="6:7" x14ac:dyDescent="0.2">
      <c r="F4479" s="591">
        <v>4470</v>
      </c>
      <c r="G4479" s="420">
        <f t="shared" ca="1" si="77"/>
        <v>9.8100385042954957E-2</v>
      </c>
    </row>
    <row r="4480" spans="6:7" x14ac:dyDescent="0.2">
      <c r="F4480" s="591">
        <v>4471</v>
      </c>
      <c r="G4480" s="420">
        <f t="shared" ca="1" si="77"/>
        <v>-6.39641365377938E-2</v>
      </c>
    </row>
    <row r="4481" spans="6:7" x14ac:dyDescent="0.2">
      <c r="F4481" s="591">
        <v>4472</v>
      </c>
      <c r="G4481" s="420">
        <f t="shared" ca="1" si="77"/>
        <v>-5.1521050684241093E-2</v>
      </c>
    </row>
    <row r="4482" spans="6:7" x14ac:dyDescent="0.2">
      <c r="F4482" s="591">
        <v>4473</v>
      </c>
      <c r="G4482" s="420">
        <f t="shared" ca="1" si="77"/>
        <v>-7.1362624154989812E-2</v>
      </c>
    </row>
    <row r="4483" spans="6:7" x14ac:dyDescent="0.2">
      <c r="F4483" s="591">
        <v>4474</v>
      </c>
      <c r="G4483" s="420">
        <f t="shared" ca="1" si="77"/>
        <v>-3.9244002932078623E-2</v>
      </c>
    </row>
    <row r="4484" spans="6:7" x14ac:dyDescent="0.2">
      <c r="F4484" s="591">
        <v>4475</v>
      </c>
      <c r="G4484" s="420">
        <f t="shared" ca="1" si="77"/>
        <v>-4.3488285099123725E-2</v>
      </c>
    </row>
    <row r="4485" spans="6:7" x14ac:dyDescent="0.2">
      <c r="F4485" s="591">
        <v>4476</v>
      </c>
      <c r="G4485" s="420">
        <f t="shared" ca="1" si="77"/>
        <v>2.8715639835054152E-2</v>
      </c>
    </row>
    <row r="4486" spans="6:7" x14ac:dyDescent="0.2">
      <c r="F4486" s="591">
        <v>4477</v>
      </c>
      <c r="G4486" s="420">
        <f t="shared" ca="1" si="77"/>
        <v>-2.5854980028955813E-2</v>
      </c>
    </row>
    <row r="4487" spans="6:7" x14ac:dyDescent="0.2">
      <c r="F4487" s="591">
        <v>4478</v>
      </c>
      <c r="G4487" s="420">
        <f t="shared" ca="1" si="77"/>
        <v>7.3784381534914734E-2</v>
      </c>
    </row>
    <row r="4488" spans="6:7" x14ac:dyDescent="0.2">
      <c r="F4488" s="591">
        <v>4479</v>
      </c>
      <c r="G4488" s="420">
        <f t="shared" ca="1" si="77"/>
        <v>-1.848797328117183E-2</v>
      </c>
    </row>
    <row r="4489" spans="6:7" x14ac:dyDescent="0.2">
      <c r="F4489" s="591">
        <v>4480</v>
      </c>
      <c r="G4489" s="420">
        <f t="shared" ca="1" si="77"/>
        <v>4.1726716828319729E-2</v>
      </c>
    </row>
    <row r="4490" spans="6:7" x14ac:dyDescent="0.2">
      <c r="F4490" s="591">
        <v>4481</v>
      </c>
      <c r="G4490" s="420">
        <f t="shared" ca="1" si="77"/>
        <v>-3.3191110603578475E-2</v>
      </c>
    </row>
    <row r="4491" spans="6:7" x14ac:dyDescent="0.2">
      <c r="F4491" s="591">
        <v>4482</v>
      </c>
      <c r="G4491" s="420">
        <f t="shared" ref="G4491:G4554" ca="1" si="78">_xlfn.NORM.INV(RAND(), $M$11,$M$12)</f>
        <v>4.4738250710120817E-2</v>
      </c>
    </row>
    <row r="4492" spans="6:7" x14ac:dyDescent="0.2">
      <c r="F4492" s="591">
        <v>4483</v>
      </c>
      <c r="G4492" s="420">
        <f t="shared" ca="1" si="78"/>
        <v>-7.9000120183442823E-2</v>
      </c>
    </row>
    <row r="4493" spans="6:7" x14ac:dyDescent="0.2">
      <c r="F4493" s="591">
        <v>4484</v>
      </c>
      <c r="G4493" s="420">
        <f t="shared" ca="1" si="78"/>
        <v>5.5545918741027558E-2</v>
      </c>
    </row>
    <row r="4494" spans="6:7" x14ac:dyDescent="0.2">
      <c r="F4494" s="591">
        <v>4485</v>
      </c>
      <c r="G4494" s="420">
        <f t="shared" ca="1" si="78"/>
        <v>-7.3917023811517525E-3</v>
      </c>
    </row>
    <row r="4495" spans="6:7" x14ac:dyDescent="0.2">
      <c r="F4495" s="591">
        <v>4486</v>
      </c>
      <c r="G4495" s="420">
        <f t="shared" ca="1" si="78"/>
        <v>4.1756623621335115E-2</v>
      </c>
    </row>
    <row r="4496" spans="6:7" x14ac:dyDescent="0.2">
      <c r="F4496" s="591">
        <v>4487</v>
      </c>
      <c r="G4496" s="420">
        <f t="shared" ca="1" si="78"/>
        <v>7.166119613996412E-2</v>
      </c>
    </row>
    <row r="4497" spans="6:7" x14ac:dyDescent="0.2">
      <c r="F4497" s="591">
        <v>4488</v>
      </c>
      <c r="G4497" s="420">
        <f t="shared" ca="1" si="78"/>
        <v>-0.10035959057384587</v>
      </c>
    </row>
    <row r="4498" spans="6:7" x14ac:dyDescent="0.2">
      <c r="F4498" s="591">
        <v>4489</v>
      </c>
      <c r="G4498" s="420">
        <f t="shared" ca="1" si="78"/>
        <v>-5.5665272927216403E-3</v>
      </c>
    </row>
    <row r="4499" spans="6:7" x14ac:dyDescent="0.2">
      <c r="F4499" s="591">
        <v>4490</v>
      </c>
      <c r="G4499" s="420">
        <f t="shared" ca="1" si="78"/>
        <v>-8.74290376296585E-3</v>
      </c>
    </row>
    <row r="4500" spans="6:7" x14ac:dyDescent="0.2">
      <c r="F4500" s="591">
        <v>4491</v>
      </c>
      <c r="G4500" s="420">
        <f t="shared" ca="1" si="78"/>
        <v>-0.15917821311633085</v>
      </c>
    </row>
    <row r="4501" spans="6:7" x14ac:dyDescent="0.2">
      <c r="F4501" s="591">
        <v>4492</v>
      </c>
      <c r="G4501" s="420">
        <f t="shared" ca="1" si="78"/>
        <v>-3.4812151310946088E-2</v>
      </c>
    </row>
    <row r="4502" spans="6:7" x14ac:dyDescent="0.2">
      <c r="F4502" s="591">
        <v>4493</v>
      </c>
      <c r="G4502" s="420">
        <f t="shared" ca="1" si="78"/>
        <v>-9.7870006476000297E-3</v>
      </c>
    </row>
    <row r="4503" spans="6:7" x14ac:dyDescent="0.2">
      <c r="F4503" s="591">
        <v>4494</v>
      </c>
      <c r="G4503" s="420">
        <f t="shared" ca="1" si="78"/>
        <v>-2.6750329963345341E-2</v>
      </c>
    </row>
    <row r="4504" spans="6:7" x14ac:dyDescent="0.2">
      <c r="F4504" s="591">
        <v>4495</v>
      </c>
      <c r="G4504" s="420">
        <f t="shared" ca="1" si="78"/>
        <v>2.5946901170730258E-2</v>
      </c>
    </row>
    <row r="4505" spans="6:7" x14ac:dyDescent="0.2">
      <c r="F4505" s="591">
        <v>4496</v>
      </c>
      <c r="G4505" s="420">
        <f t="shared" ca="1" si="78"/>
        <v>4.8528953633286728E-2</v>
      </c>
    </row>
    <row r="4506" spans="6:7" x14ac:dyDescent="0.2">
      <c r="F4506" s="591">
        <v>4497</v>
      </c>
      <c r="G4506" s="420">
        <f t="shared" ca="1" si="78"/>
        <v>1.8548704755371303E-2</v>
      </c>
    </row>
    <row r="4507" spans="6:7" x14ac:dyDescent="0.2">
      <c r="F4507" s="591">
        <v>4498</v>
      </c>
      <c r="G4507" s="420">
        <f t="shared" ca="1" si="78"/>
        <v>9.4254237557020823E-2</v>
      </c>
    </row>
    <row r="4508" spans="6:7" x14ac:dyDescent="0.2">
      <c r="F4508" s="591">
        <v>4499</v>
      </c>
      <c r="G4508" s="420">
        <f t="shared" ca="1" si="78"/>
        <v>-4.6757246436382432E-2</v>
      </c>
    </row>
    <row r="4509" spans="6:7" x14ac:dyDescent="0.2">
      <c r="F4509" s="591">
        <v>4500</v>
      </c>
      <c r="G4509" s="420">
        <f t="shared" ca="1" si="78"/>
        <v>-0.12166630813146533</v>
      </c>
    </row>
    <row r="4510" spans="6:7" x14ac:dyDescent="0.2">
      <c r="F4510" s="591">
        <v>4501</v>
      </c>
      <c r="G4510" s="420">
        <f t="shared" ca="1" si="78"/>
        <v>4.3819752737687498E-2</v>
      </c>
    </row>
    <row r="4511" spans="6:7" x14ac:dyDescent="0.2">
      <c r="F4511" s="591">
        <v>4502</v>
      </c>
      <c r="G4511" s="420">
        <f t="shared" ca="1" si="78"/>
        <v>8.175514763606051E-2</v>
      </c>
    </row>
    <row r="4512" spans="6:7" x14ac:dyDescent="0.2">
      <c r="F4512" s="591">
        <v>4503</v>
      </c>
      <c r="G4512" s="420">
        <f t="shared" ca="1" si="78"/>
        <v>2.4862032347872286E-2</v>
      </c>
    </row>
    <row r="4513" spans="6:7" x14ac:dyDescent="0.2">
      <c r="F4513" s="591">
        <v>4504</v>
      </c>
      <c r="G4513" s="420">
        <f t="shared" ca="1" si="78"/>
        <v>-5.4129178048615681E-2</v>
      </c>
    </row>
    <row r="4514" spans="6:7" x14ac:dyDescent="0.2">
      <c r="F4514" s="591">
        <v>4505</v>
      </c>
      <c r="G4514" s="420">
        <f t="shared" ca="1" si="78"/>
        <v>-1.3729355825211013E-3</v>
      </c>
    </row>
    <row r="4515" spans="6:7" x14ac:dyDescent="0.2">
      <c r="F4515" s="591">
        <v>4506</v>
      </c>
      <c r="G4515" s="420">
        <f t="shared" ca="1" si="78"/>
        <v>-0.18997427093523775</v>
      </c>
    </row>
    <row r="4516" spans="6:7" x14ac:dyDescent="0.2">
      <c r="F4516" s="591">
        <v>4507</v>
      </c>
      <c r="G4516" s="420">
        <f t="shared" ca="1" si="78"/>
        <v>4.1504013746859657E-2</v>
      </c>
    </row>
    <row r="4517" spans="6:7" x14ac:dyDescent="0.2">
      <c r="F4517" s="591">
        <v>4508</v>
      </c>
      <c r="G4517" s="420">
        <f t="shared" ca="1" si="78"/>
        <v>8.830336280544418E-2</v>
      </c>
    </row>
    <row r="4518" spans="6:7" x14ac:dyDescent="0.2">
      <c r="F4518" s="591">
        <v>4509</v>
      </c>
      <c r="G4518" s="420">
        <f t="shared" ca="1" si="78"/>
        <v>-0.11305233517847069</v>
      </c>
    </row>
    <row r="4519" spans="6:7" x14ac:dyDescent="0.2">
      <c r="F4519" s="591">
        <v>4510</v>
      </c>
      <c r="G4519" s="420">
        <f t="shared" ca="1" si="78"/>
        <v>2.4275982738235499E-2</v>
      </c>
    </row>
    <row r="4520" spans="6:7" x14ac:dyDescent="0.2">
      <c r="F4520" s="591">
        <v>4511</v>
      </c>
      <c r="G4520" s="420">
        <f t="shared" ca="1" si="78"/>
        <v>3.3532290067701448E-2</v>
      </c>
    </row>
    <row r="4521" spans="6:7" x14ac:dyDescent="0.2">
      <c r="F4521" s="591">
        <v>4512</v>
      </c>
      <c r="G4521" s="420">
        <f t="shared" ca="1" si="78"/>
        <v>-9.8931562875452767E-2</v>
      </c>
    </row>
    <row r="4522" spans="6:7" x14ac:dyDescent="0.2">
      <c r="F4522" s="591">
        <v>4513</v>
      </c>
      <c r="G4522" s="420">
        <f t="shared" ca="1" si="78"/>
        <v>-5.9908388714794786E-2</v>
      </c>
    </row>
    <row r="4523" spans="6:7" x14ac:dyDescent="0.2">
      <c r="F4523" s="591">
        <v>4514</v>
      </c>
      <c r="G4523" s="420">
        <f t="shared" ca="1" si="78"/>
        <v>-6.7394232572686799E-2</v>
      </c>
    </row>
    <row r="4524" spans="6:7" x14ac:dyDescent="0.2">
      <c r="F4524" s="591">
        <v>4515</v>
      </c>
      <c r="G4524" s="420">
        <f t="shared" ca="1" si="78"/>
        <v>0.12538501720656001</v>
      </c>
    </row>
    <row r="4525" spans="6:7" x14ac:dyDescent="0.2">
      <c r="F4525" s="591">
        <v>4516</v>
      </c>
      <c r="G4525" s="420">
        <f t="shared" ca="1" si="78"/>
        <v>7.7796412515849261E-2</v>
      </c>
    </row>
    <row r="4526" spans="6:7" x14ac:dyDescent="0.2">
      <c r="F4526" s="591">
        <v>4517</v>
      </c>
      <c r="G4526" s="420">
        <f t="shared" ca="1" si="78"/>
        <v>2.0382620501432688E-3</v>
      </c>
    </row>
    <row r="4527" spans="6:7" x14ac:dyDescent="0.2">
      <c r="F4527" s="591">
        <v>4518</v>
      </c>
      <c r="G4527" s="420">
        <f t="shared" ca="1" si="78"/>
        <v>0.18416836680094587</v>
      </c>
    </row>
    <row r="4528" spans="6:7" x14ac:dyDescent="0.2">
      <c r="F4528" s="591">
        <v>4519</v>
      </c>
      <c r="G4528" s="420">
        <f t="shared" ca="1" si="78"/>
        <v>-3.0870856978361279E-2</v>
      </c>
    </row>
    <row r="4529" spans="6:7" x14ac:dyDescent="0.2">
      <c r="F4529" s="591">
        <v>4520</v>
      </c>
      <c r="G4529" s="420">
        <f t="shared" ca="1" si="78"/>
        <v>4.2685958181471029E-2</v>
      </c>
    </row>
    <row r="4530" spans="6:7" x14ac:dyDescent="0.2">
      <c r="F4530" s="591">
        <v>4521</v>
      </c>
      <c r="G4530" s="420">
        <f t="shared" ca="1" si="78"/>
        <v>-3.9544195440821082E-3</v>
      </c>
    </row>
    <row r="4531" spans="6:7" x14ac:dyDescent="0.2">
      <c r="F4531" s="591">
        <v>4522</v>
      </c>
      <c r="G4531" s="420">
        <f t="shared" ca="1" si="78"/>
        <v>-1.277239889830924E-2</v>
      </c>
    </row>
    <row r="4532" spans="6:7" x14ac:dyDescent="0.2">
      <c r="F4532" s="591">
        <v>4523</v>
      </c>
      <c r="G4532" s="420">
        <f t="shared" ca="1" si="78"/>
        <v>9.8405175212099363E-4</v>
      </c>
    </row>
    <row r="4533" spans="6:7" x14ac:dyDescent="0.2">
      <c r="F4533" s="591">
        <v>4524</v>
      </c>
      <c r="G4533" s="420">
        <f t="shared" ca="1" si="78"/>
        <v>2.7764069543604643E-2</v>
      </c>
    </row>
    <row r="4534" spans="6:7" x14ac:dyDescent="0.2">
      <c r="F4534" s="591">
        <v>4525</v>
      </c>
      <c r="G4534" s="420">
        <f t="shared" ca="1" si="78"/>
        <v>-7.7565205070082827E-2</v>
      </c>
    </row>
    <row r="4535" spans="6:7" x14ac:dyDescent="0.2">
      <c r="F4535" s="591">
        <v>4526</v>
      </c>
      <c r="G4535" s="420">
        <f t="shared" ca="1" si="78"/>
        <v>6.3043523612352062E-2</v>
      </c>
    </row>
    <row r="4536" spans="6:7" x14ac:dyDescent="0.2">
      <c r="F4536" s="591">
        <v>4527</v>
      </c>
      <c r="G4536" s="420">
        <f t="shared" ca="1" si="78"/>
        <v>7.579495712022119E-2</v>
      </c>
    </row>
    <row r="4537" spans="6:7" x14ac:dyDescent="0.2">
      <c r="F4537" s="591">
        <v>4528</v>
      </c>
      <c r="G4537" s="420">
        <f t="shared" ca="1" si="78"/>
        <v>0.12110742556284511</v>
      </c>
    </row>
    <row r="4538" spans="6:7" x14ac:dyDescent="0.2">
      <c r="F4538" s="591">
        <v>4529</v>
      </c>
      <c r="G4538" s="420">
        <f t="shared" ca="1" si="78"/>
        <v>-0.16312120232876007</v>
      </c>
    </row>
    <row r="4539" spans="6:7" x14ac:dyDescent="0.2">
      <c r="F4539" s="591">
        <v>4530</v>
      </c>
      <c r="G4539" s="420">
        <f t="shared" ca="1" si="78"/>
        <v>4.8716198402166705E-2</v>
      </c>
    </row>
    <row r="4540" spans="6:7" x14ac:dyDescent="0.2">
      <c r="F4540" s="591">
        <v>4531</v>
      </c>
      <c r="G4540" s="420">
        <f t="shared" ca="1" si="78"/>
        <v>-9.7540868823249222E-2</v>
      </c>
    </row>
    <row r="4541" spans="6:7" x14ac:dyDescent="0.2">
      <c r="F4541" s="591">
        <v>4532</v>
      </c>
      <c r="G4541" s="420">
        <f t="shared" ca="1" si="78"/>
        <v>4.6399563528065027E-2</v>
      </c>
    </row>
    <row r="4542" spans="6:7" x14ac:dyDescent="0.2">
      <c r="F4542" s="591">
        <v>4533</v>
      </c>
      <c r="G4542" s="420">
        <f t="shared" ca="1" si="78"/>
        <v>-4.7074937109671269E-2</v>
      </c>
    </row>
    <row r="4543" spans="6:7" x14ac:dyDescent="0.2">
      <c r="F4543" s="591">
        <v>4534</v>
      </c>
      <c r="G4543" s="420">
        <f t="shared" ca="1" si="78"/>
        <v>0.12487231442845477</v>
      </c>
    </row>
    <row r="4544" spans="6:7" x14ac:dyDescent="0.2">
      <c r="F4544" s="591">
        <v>4535</v>
      </c>
      <c r="G4544" s="420">
        <f t="shared" ca="1" si="78"/>
        <v>4.9681635902655494E-2</v>
      </c>
    </row>
    <row r="4545" spans="6:7" x14ac:dyDescent="0.2">
      <c r="F4545" s="591">
        <v>4536</v>
      </c>
      <c r="G4545" s="420">
        <f t="shared" ca="1" si="78"/>
        <v>-9.836430580810733E-3</v>
      </c>
    </row>
    <row r="4546" spans="6:7" x14ac:dyDescent="0.2">
      <c r="F4546" s="591">
        <v>4537</v>
      </c>
      <c r="G4546" s="420">
        <f t="shared" ca="1" si="78"/>
        <v>3.0143976768468542E-2</v>
      </c>
    </row>
    <row r="4547" spans="6:7" x14ac:dyDescent="0.2">
      <c r="F4547" s="591">
        <v>4538</v>
      </c>
      <c r="G4547" s="420">
        <f t="shared" ca="1" si="78"/>
        <v>-1.2133190843890099E-2</v>
      </c>
    </row>
    <row r="4548" spans="6:7" x14ac:dyDescent="0.2">
      <c r="F4548" s="591">
        <v>4539</v>
      </c>
      <c r="G4548" s="420">
        <f t="shared" ca="1" si="78"/>
        <v>-2.8322045690745663E-2</v>
      </c>
    </row>
    <row r="4549" spans="6:7" x14ac:dyDescent="0.2">
      <c r="F4549" s="591">
        <v>4540</v>
      </c>
      <c r="G4549" s="420">
        <f t="shared" ca="1" si="78"/>
        <v>1.0619350328013293E-2</v>
      </c>
    </row>
    <row r="4550" spans="6:7" x14ac:dyDescent="0.2">
      <c r="F4550" s="591">
        <v>4541</v>
      </c>
      <c r="G4550" s="420">
        <f t="shared" ca="1" si="78"/>
        <v>0.1035983456179034</v>
      </c>
    </row>
    <row r="4551" spans="6:7" x14ac:dyDescent="0.2">
      <c r="F4551" s="591">
        <v>4542</v>
      </c>
      <c r="G4551" s="420">
        <f t="shared" ca="1" si="78"/>
        <v>4.5621895474058982E-2</v>
      </c>
    </row>
    <row r="4552" spans="6:7" x14ac:dyDescent="0.2">
      <c r="F4552" s="591">
        <v>4543</v>
      </c>
      <c r="G4552" s="420">
        <f t="shared" ca="1" si="78"/>
        <v>-3.6058997740503446E-2</v>
      </c>
    </row>
    <row r="4553" spans="6:7" x14ac:dyDescent="0.2">
      <c r="F4553" s="591">
        <v>4544</v>
      </c>
      <c r="G4553" s="420">
        <f t="shared" ca="1" si="78"/>
        <v>2.8163885233163533E-3</v>
      </c>
    </row>
    <row r="4554" spans="6:7" x14ac:dyDescent="0.2">
      <c r="F4554" s="591">
        <v>4545</v>
      </c>
      <c r="G4554" s="420">
        <f t="shared" ca="1" si="78"/>
        <v>4.443372549168452E-2</v>
      </c>
    </row>
    <row r="4555" spans="6:7" x14ac:dyDescent="0.2">
      <c r="F4555" s="591">
        <v>4546</v>
      </c>
      <c r="G4555" s="420">
        <f t="shared" ref="G4555:G4618" ca="1" si="79">_xlfn.NORM.INV(RAND(), $M$11,$M$12)</f>
        <v>-5.2929474741744614E-2</v>
      </c>
    </row>
    <row r="4556" spans="6:7" x14ac:dyDescent="0.2">
      <c r="F4556" s="591">
        <v>4547</v>
      </c>
      <c r="G4556" s="420">
        <f t="shared" ca="1" si="79"/>
        <v>1.722808122899027E-2</v>
      </c>
    </row>
    <row r="4557" spans="6:7" x14ac:dyDescent="0.2">
      <c r="F4557" s="591">
        <v>4548</v>
      </c>
      <c r="G4557" s="420">
        <f t="shared" ca="1" si="79"/>
        <v>5.1871665157822752E-2</v>
      </c>
    </row>
    <row r="4558" spans="6:7" x14ac:dyDescent="0.2">
      <c r="F4558" s="591">
        <v>4549</v>
      </c>
      <c r="G4558" s="420">
        <f t="shared" ca="1" si="79"/>
        <v>3.5781670018244028E-3</v>
      </c>
    </row>
    <row r="4559" spans="6:7" x14ac:dyDescent="0.2">
      <c r="F4559" s="591">
        <v>4550</v>
      </c>
      <c r="G4559" s="420">
        <f t="shared" ca="1" si="79"/>
        <v>4.1046140676491136E-2</v>
      </c>
    </row>
    <row r="4560" spans="6:7" x14ac:dyDescent="0.2">
      <c r="F4560" s="591">
        <v>4551</v>
      </c>
      <c r="G4560" s="420">
        <f t="shared" ca="1" si="79"/>
        <v>8.3918921819633105E-2</v>
      </c>
    </row>
    <row r="4561" spans="6:7" x14ac:dyDescent="0.2">
      <c r="F4561" s="591">
        <v>4552</v>
      </c>
      <c r="G4561" s="420">
        <f t="shared" ca="1" si="79"/>
        <v>-3.1353420699867934E-2</v>
      </c>
    </row>
    <row r="4562" spans="6:7" x14ac:dyDescent="0.2">
      <c r="F4562" s="591">
        <v>4553</v>
      </c>
      <c r="G4562" s="420">
        <f t="shared" ca="1" si="79"/>
        <v>-0.11593617339590866</v>
      </c>
    </row>
    <row r="4563" spans="6:7" x14ac:dyDescent="0.2">
      <c r="F4563" s="591">
        <v>4554</v>
      </c>
      <c r="G4563" s="420">
        <f t="shared" ca="1" si="79"/>
        <v>1.8549622729785397E-2</v>
      </c>
    </row>
    <row r="4564" spans="6:7" x14ac:dyDescent="0.2">
      <c r="F4564" s="591">
        <v>4555</v>
      </c>
      <c r="G4564" s="420">
        <f t="shared" ca="1" si="79"/>
        <v>-1.3204432825980383E-2</v>
      </c>
    </row>
    <row r="4565" spans="6:7" x14ac:dyDescent="0.2">
      <c r="F4565" s="591">
        <v>4556</v>
      </c>
      <c r="G4565" s="420">
        <f t="shared" ca="1" si="79"/>
        <v>3.7817410790961965E-2</v>
      </c>
    </row>
    <row r="4566" spans="6:7" x14ac:dyDescent="0.2">
      <c r="F4566" s="591">
        <v>4557</v>
      </c>
      <c r="G4566" s="420">
        <f t="shared" ca="1" si="79"/>
        <v>-6.4224200979036652E-2</v>
      </c>
    </row>
    <row r="4567" spans="6:7" x14ac:dyDescent="0.2">
      <c r="F4567" s="591">
        <v>4558</v>
      </c>
      <c r="G4567" s="420">
        <f t="shared" ca="1" si="79"/>
        <v>3.873391608043459E-2</v>
      </c>
    </row>
    <row r="4568" spans="6:7" x14ac:dyDescent="0.2">
      <c r="F4568" s="591">
        <v>4559</v>
      </c>
      <c r="G4568" s="420">
        <f t="shared" ca="1" si="79"/>
        <v>4.592734363078747E-3</v>
      </c>
    </row>
    <row r="4569" spans="6:7" x14ac:dyDescent="0.2">
      <c r="F4569" s="591">
        <v>4560</v>
      </c>
      <c r="G4569" s="420">
        <f t="shared" ca="1" si="79"/>
        <v>4.1946484553820967E-2</v>
      </c>
    </row>
    <row r="4570" spans="6:7" x14ac:dyDescent="0.2">
      <c r="F4570" s="591">
        <v>4561</v>
      </c>
      <c r="G4570" s="420">
        <f t="shared" ca="1" si="79"/>
        <v>-2.6481889661372642E-2</v>
      </c>
    </row>
    <row r="4571" spans="6:7" x14ac:dyDescent="0.2">
      <c r="F4571" s="591">
        <v>4562</v>
      </c>
      <c r="G4571" s="420">
        <f t="shared" ca="1" si="79"/>
        <v>7.0878463547326728E-2</v>
      </c>
    </row>
    <row r="4572" spans="6:7" x14ac:dyDescent="0.2">
      <c r="F4572" s="591">
        <v>4563</v>
      </c>
      <c r="G4572" s="420">
        <f t="shared" ca="1" si="79"/>
        <v>9.6760022943342475E-2</v>
      </c>
    </row>
    <row r="4573" spans="6:7" x14ac:dyDescent="0.2">
      <c r="F4573" s="591">
        <v>4564</v>
      </c>
      <c r="G4573" s="420">
        <f t="shared" ca="1" si="79"/>
        <v>-3.1831732512940511E-2</v>
      </c>
    </row>
    <row r="4574" spans="6:7" x14ac:dyDescent="0.2">
      <c r="F4574" s="591">
        <v>4565</v>
      </c>
      <c r="G4574" s="420">
        <f t="shared" ca="1" si="79"/>
        <v>-2.5407561763336983E-2</v>
      </c>
    </row>
    <row r="4575" spans="6:7" x14ac:dyDescent="0.2">
      <c r="F4575" s="591">
        <v>4566</v>
      </c>
      <c r="G4575" s="420">
        <f t="shared" ca="1" si="79"/>
        <v>-8.920119223320043E-2</v>
      </c>
    </row>
    <row r="4576" spans="6:7" x14ac:dyDescent="0.2">
      <c r="F4576" s="591">
        <v>4567</v>
      </c>
      <c r="G4576" s="420">
        <f t="shared" ca="1" si="79"/>
        <v>0.14766953352107062</v>
      </c>
    </row>
    <row r="4577" spans="6:7" x14ac:dyDescent="0.2">
      <c r="F4577" s="591">
        <v>4568</v>
      </c>
      <c r="G4577" s="420">
        <f t="shared" ca="1" si="79"/>
        <v>-1.4620011970437666E-2</v>
      </c>
    </row>
    <row r="4578" spans="6:7" x14ac:dyDescent="0.2">
      <c r="F4578" s="591">
        <v>4569</v>
      </c>
      <c r="G4578" s="420">
        <f t="shared" ca="1" si="79"/>
        <v>4.8917489406492987E-2</v>
      </c>
    </row>
    <row r="4579" spans="6:7" x14ac:dyDescent="0.2">
      <c r="F4579" s="591">
        <v>4570</v>
      </c>
      <c r="G4579" s="420">
        <f t="shared" ca="1" si="79"/>
        <v>0.13044979908965429</v>
      </c>
    </row>
    <row r="4580" spans="6:7" x14ac:dyDescent="0.2">
      <c r="F4580" s="591">
        <v>4571</v>
      </c>
      <c r="G4580" s="420">
        <f t="shared" ca="1" si="79"/>
        <v>-9.6400546840222631E-2</v>
      </c>
    </row>
    <row r="4581" spans="6:7" x14ac:dyDescent="0.2">
      <c r="F4581" s="591">
        <v>4572</v>
      </c>
      <c r="G4581" s="420">
        <f t="shared" ca="1" si="79"/>
        <v>6.7520057699531344E-2</v>
      </c>
    </row>
    <row r="4582" spans="6:7" x14ac:dyDescent="0.2">
      <c r="F4582" s="591">
        <v>4573</v>
      </c>
      <c r="G4582" s="420">
        <f t="shared" ca="1" si="79"/>
        <v>-1.6380932113701216E-2</v>
      </c>
    </row>
    <row r="4583" spans="6:7" x14ac:dyDescent="0.2">
      <c r="F4583" s="591">
        <v>4574</v>
      </c>
      <c r="G4583" s="420">
        <f t="shared" ca="1" si="79"/>
        <v>-2.4211924406549994E-2</v>
      </c>
    </row>
    <row r="4584" spans="6:7" x14ac:dyDescent="0.2">
      <c r="F4584" s="591">
        <v>4575</v>
      </c>
      <c r="G4584" s="420">
        <f t="shared" ca="1" si="79"/>
        <v>4.8744123092952271E-2</v>
      </c>
    </row>
    <row r="4585" spans="6:7" x14ac:dyDescent="0.2">
      <c r="F4585" s="591">
        <v>4576</v>
      </c>
      <c r="G4585" s="420">
        <f t="shared" ca="1" si="79"/>
        <v>7.3271429293051415E-3</v>
      </c>
    </row>
    <row r="4586" spans="6:7" x14ac:dyDescent="0.2">
      <c r="F4586" s="591">
        <v>4577</v>
      </c>
      <c r="G4586" s="420">
        <f t="shared" ca="1" si="79"/>
        <v>8.8582260866274284E-2</v>
      </c>
    </row>
    <row r="4587" spans="6:7" x14ac:dyDescent="0.2">
      <c r="F4587" s="591">
        <v>4578</v>
      </c>
      <c r="G4587" s="420">
        <f t="shared" ca="1" si="79"/>
        <v>7.4735803718288474E-2</v>
      </c>
    </row>
    <row r="4588" spans="6:7" x14ac:dyDescent="0.2">
      <c r="F4588" s="591">
        <v>4579</v>
      </c>
      <c r="G4588" s="420">
        <f t="shared" ca="1" si="79"/>
        <v>8.8177510297055603E-2</v>
      </c>
    </row>
    <row r="4589" spans="6:7" x14ac:dyDescent="0.2">
      <c r="F4589" s="591">
        <v>4580</v>
      </c>
      <c r="G4589" s="420">
        <f t="shared" ca="1" si="79"/>
        <v>1.9550270459742669E-2</v>
      </c>
    </row>
    <row r="4590" spans="6:7" x14ac:dyDescent="0.2">
      <c r="F4590" s="591">
        <v>4581</v>
      </c>
      <c r="G4590" s="420">
        <f t="shared" ca="1" si="79"/>
        <v>-8.0384566714269579E-2</v>
      </c>
    </row>
    <row r="4591" spans="6:7" x14ac:dyDescent="0.2">
      <c r="F4591" s="591">
        <v>4582</v>
      </c>
      <c r="G4591" s="420">
        <f t="shared" ca="1" si="79"/>
        <v>-2.4931595593222822E-2</v>
      </c>
    </row>
    <row r="4592" spans="6:7" x14ac:dyDescent="0.2">
      <c r="F4592" s="591">
        <v>4583</v>
      </c>
      <c r="G4592" s="420">
        <f t="shared" ca="1" si="79"/>
        <v>5.0464343841723464E-2</v>
      </c>
    </row>
    <row r="4593" spans="6:7" x14ac:dyDescent="0.2">
      <c r="F4593" s="591">
        <v>4584</v>
      </c>
      <c r="G4593" s="420">
        <f t="shared" ca="1" si="79"/>
        <v>-7.0317172601750168E-3</v>
      </c>
    </row>
    <row r="4594" spans="6:7" x14ac:dyDescent="0.2">
      <c r="F4594" s="591">
        <v>4585</v>
      </c>
      <c r="G4594" s="420">
        <f t="shared" ca="1" si="79"/>
        <v>-1.8072152572903566E-2</v>
      </c>
    </row>
    <row r="4595" spans="6:7" x14ac:dyDescent="0.2">
      <c r="F4595" s="591">
        <v>4586</v>
      </c>
      <c r="G4595" s="420">
        <f t="shared" ca="1" si="79"/>
        <v>6.8247271718592156E-2</v>
      </c>
    </row>
    <row r="4596" spans="6:7" x14ac:dyDescent="0.2">
      <c r="F4596" s="591">
        <v>4587</v>
      </c>
      <c r="G4596" s="420">
        <f t="shared" ca="1" si="79"/>
        <v>2.7598587972402208E-2</v>
      </c>
    </row>
    <row r="4597" spans="6:7" x14ac:dyDescent="0.2">
      <c r="F4597" s="591">
        <v>4588</v>
      </c>
      <c r="G4597" s="420">
        <f t="shared" ca="1" si="79"/>
        <v>0.11184080449755154</v>
      </c>
    </row>
    <row r="4598" spans="6:7" x14ac:dyDescent="0.2">
      <c r="F4598" s="591">
        <v>4589</v>
      </c>
      <c r="G4598" s="420">
        <f t="shared" ca="1" si="79"/>
        <v>-2.3804503595217377E-2</v>
      </c>
    </row>
    <row r="4599" spans="6:7" x14ac:dyDescent="0.2">
      <c r="F4599" s="591">
        <v>4590</v>
      </c>
      <c r="G4599" s="420">
        <f t="shared" ca="1" si="79"/>
        <v>-3.0185402435472308E-2</v>
      </c>
    </row>
    <row r="4600" spans="6:7" x14ac:dyDescent="0.2">
      <c r="F4600" s="591">
        <v>4591</v>
      </c>
      <c r="G4600" s="420">
        <f t="shared" ca="1" si="79"/>
        <v>-2.5116819983645091E-2</v>
      </c>
    </row>
    <row r="4601" spans="6:7" x14ac:dyDescent="0.2">
      <c r="F4601" s="591">
        <v>4592</v>
      </c>
      <c r="G4601" s="420">
        <f t="shared" ca="1" si="79"/>
        <v>-0.15138241155835436</v>
      </c>
    </row>
    <row r="4602" spans="6:7" x14ac:dyDescent="0.2">
      <c r="F4602" s="591">
        <v>4593</v>
      </c>
      <c r="G4602" s="420">
        <f t="shared" ca="1" si="79"/>
        <v>0.14074124596934709</v>
      </c>
    </row>
    <row r="4603" spans="6:7" x14ac:dyDescent="0.2">
      <c r="F4603" s="591">
        <v>4594</v>
      </c>
      <c r="G4603" s="420">
        <f t="shared" ca="1" si="79"/>
        <v>0.10198418837131776</v>
      </c>
    </row>
    <row r="4604" spans="6:7" x14ac:dyDescent="0.2">
      <c r="F4604" s="591">
        <v>4595</v>
      </c>
      <c r="G4604" s="420">
        <f t="shared" ca="1" si="79"/>
        <v>1.282091441951105E-3</v>
      </c>
    </row>
    <row r="4605" spans="6:7" x14ac:dyDescent="0.2">
      <c r="F4605" s="591">
        <v>4596</v>
      </c>
      <c r="G4605" s="420">
        <f t="shared" ca="1" si="79"/>
        <v>8.6362524401383325E-2</v>
      </c>
    </row>
    <row r="4606" spans="6:7" x14ac:dyDescent="0.2">
      <c r="F4606" s="591">
        <v>4597</v>
      </c>
      <c r="G4606" s="420">
        <f t="shared" ca="1" si="79"/>
        <v>-3.7111534457210382E-3</v>
      </c>
    </row>
    <row r="4607" spans="6:7" x14ac:dyDescent="0.2">
      <c r="F4607" s="591">
        <v>4598</v>
      </c>
      <c r="G4607" s="420">
        <f t="shared" ca="1" si="79"/>
        <v>3.9241072885478546E-2</v>
      </c>
    </row>
    <row r="4608" spans="6:7" x14ac:dyDescent="0.2">
      <c r="F4608" s="591">
        <v>4599</v>
      </c>
      <c r="G4608" s="420">
        <f t="shared" ca="1" si="79"/>
        <v>-8.3120225914396217E-3</v>
      </c>
    </row>
    <row r="4609" spans="6:7" x14ac:dyDescent="0.2">
      <c r="F4609" s="591">
        <v>4600</v>
      </c>
      <c r="G4609" s="420">
        <f t="shared" ca="1" si="79"/>
        <v>3.1579760759035638E-2</v>
      </c>
    </row>
    <row r="4610" spans="6:7" x14ac:dyDescent="0.2">
      <c r="F4610" s="591">
        <v>4601</v>
      </c>
      <c r="G4610" s="420">
        <f t="shared" ca="1" si="79"/>
        <v>-2.7417013597457549E-2</v>
      </c>
    </row>
    <row r="4611" spans="6:7" x14ac:dyDescent="0.2">
      <c r="F4611" s="591">
        <v>4602</v>
      </c>
      <c r="G4611" s="420">
        <f t="shared" ca="1" si="79"/>
        <v>-2.7467011956835579E-2</v>
      </c>
    </row>
    <row r="4612" spans="6:7" x14ac:dyDescent="0.2">
      <c r="F4612" s="591">
        <v>4603</v>
      </c>
      <c r="G4612" s="420">
        <f t="shared" ca="1" si="79"/>
        <v>1.8929106092117919E-2</v>
      </c>
    </row>
    <row r="4613" spans="6:7" x14ac:dyDescent="0.2">
      <c r="F4613" s="591">
        <v>4604</v>
      </c>
      <c r="G4613" s="420">
        <f t="shared" ca="1" si="79"/>
        <v>-2.0745580042267165E-2</v>
      </c>
    </row>
    <row r="4614" spans="6:7" x14ac:dyDescent="0.2">
      <c r="F4614" s="591">
        <v>4605</v>
      </c>
      <c r="G4614" s="420">
        <f t="shared" ca="1" si="79"/>
        <v>2.3194323015417954E-2</v>
      </c>
    </row>
    <row r="4615" spans="6:7" x14ac:dyDescent="0.2">
      <c r="F4615" s="591">
        <v>4606</v>
      </c>
      <c r="G4615" s="420">
        <f t="shared" ca="1" si="79"/>
        <v>0.15937751921278598</v>
      </c>
    </row>
    <row r="4616" spans="6:7" x14ac:dyDescent="0.2">
      <c r="F4616" s="591">
        <v>4607</v>
      </c>
      <c r="G4616" s="420">
        <f t="shared" ca="1" si="79"/>
        <v>4.9284183990662714E-2</v>
      </c>
    </row>
    <row r="4617" spans="6:7" x14ac:dyDescent="0.2">
      <c r="F4617" s="591">
        <v>4608</v>
      </c>
      <c r="G4617" s="420">
        <f t="shared" ca="1" si="79"/>
        <v>4.2248492017553235E-2</v>
      </c>
    </row>
    <row r="4618" spans="6:7" x14ac:dyDescent="0.2">
      <c r="F4618" s="591">
        <v>4609</v>
      </c>
      <c r="G4618" s="420">
        <f t="shared" ca="1" si="79"/>
        <v>6.5529234269923273E-3</v>
      </c>
    </row>
    <row r="4619" spans="6:7" x14ac:dyDescent="0.2">
      <c r="F4619" s="591">
        <v>4610</v>
      </c>
      <c r="G4619" s="420">
        <f t="shared" ref="G4619:G4682" ca="1" si="80">_xlfn.NORM.INV(RAND(), $M$11,$M$12)</f>
        <v>4.4702568277093263E-2</v>
      </c>
    </row>
    <row r="4620" spans="6:7" x14ac:dyDescent="0.2">
      <c r="F4620" s="591">
        <v>4611</v>
      </c>
      <c r="G4620" s="420">
        <f t="shared" ca="1" si="80"/>
        <v>5.3950900175662939E-2</v>
      </c>
    </row>
    <row r="4621" spans="6:7" x14ac:dyDescent="0.2">
      <c r="F4621" s="591">
        <v>4612</v>
      </c>
      <c r="G4621" s="420">
        <f t="shared" ca="1" si="80"/>
        <v>8.5368703712501465E-2</v>
      </c>
    </row>
    <row r="4622" spans="6:7" x14ac:dyDescent="0.2">
      <c r="F4622" s="591">
        <v>4613</v>
      </c>
      <c r="G4622" s="420">
        <f t="shared" ca="1" si="80"/>
        <v>-2.5171665077846277E-2</v>
      </c>
    </row>
    <row r="4623" spans="6:7" x14ac:dyDescent="0.2">
      <c r="F4623" s="591">
        <v>4614</v>
      </c>
      <c r="G4623" s="420">
        <f t="shared" ca="1" si="80"/>
        <v>4.8272455564156339E-2</v>
      </c>
    </row>
    <row r="4624" spans="6:7" x14ac:dyDescent="0.2">
      <c r="F4624" s="591">
        <v>4615</v>
      </c>
      <c r="G4624" s="420">
        <f t="shared" ca="1" si="80"/>
        <v>1.5660840869376615E-2</v>
      </c>
    </row>
    <row r="4625" spans="6:7" x14ac:dyDescent="0.2">
      <c r="F4625" s="591">
        <v>4616</v>
      </c>
      <c r="G4625" s="420">
        <f t="shared" ca="1" si="80"/>
        <v>-9.4793450765968734E-2</v>
      </c>
    </row>
    <row r="4626" spans="6:7" x14ac:dyDescent="0.2">
      <c r="F4626" s="591">
        <v>4617</v>
      </c>
      <c r="G4626" s="420">
        <f t="shared" ca="1" si="80"/>
        <v>6.2331719081087133E-3</v>
      </c>
    </row>
    <row r="4627" spans="6:7" x14ac:dyDescent="0.2">
      <c r="F4627" s="591">
        <v>4618</v>
      </c>
      <c r="G4627" s="420">
        <f t="shared" ca="1" si="80"/>
        <v>2.3781212549812823E-2</v>
      </c>
    </row>
    <row r="4628" spans="6:7" x14ac:dyDescent="0.2">
      <c r="F4628" s="591">
        <v>4619</v>
      </c>
      <c r="G4628" s="420">
        <f t="shared" ca="1" si="80"/>
        <v>-2.0701833921353902E-2</v>
      </c>
    </row>
    <row r="4629" spans="6:7" x14ac:dyDescent="0.2">
      <c r="F4629" s="591">
        <v>4620</v>
      </c>
      <c r="G4629" s="420">
        <f t="shared" ca="1" si="80"/>
        <v>-0.12037983271890308</v>
      </c>
    </row>
    <row r="4630" spans="6:7" x14ac:dyDescent="0.2">
      <c r="F4630" s="591">
        <v>4621</v>
      </c>
      <c r="G4630" s="420">
        <f t="shared" ca="1" si="80"/>
        <v>-4.1458030369227378E-2</v>
      </c>
    </row>
    <row r="4631" spans="6:7" x14ac:dyDescent="0.2">
      <c r="F4631" s="591">
        <v>4622</v>
      </c>
      <c r="G4631" s="420">
        <f t="shared" ca="1" si="80"/>
        <v>9.1787733646421898E-2</v>
      </c>
    </row>
    <row r="4632" spans="6:7" x14ac:dyDescent="0.2">
      <c r="F4632" s="591">
        <v>4623</v>
      </c>
      <c r="G4632" s="420">
        <f t="shared" ca="1" si="80"/>
        <v>5.7558392398861943E-2</v>
      </c>
    </row>
    <row r="4633" spans="6:7" x14ac:dyDescent="0.2">
      <c r="F4633" s="591">
        <v>4624</v>
      </c>
      <c r="G4633" s="420">
        <f t="shared" ca="1" si="80"/>
        <v>6.4024806713433358E-2</v>
      </c>
    </row>
    <row r="4634" spans="6:7" x14ac:dyDescent="0.2">
      <c r="F4634" s="591">
        <v>4625</v>
      </c>
      <c r="G4634" s="420">
        <f t="shared" ca="1" si="80"/>
        <v>-5.128591562374131E-2</v>
      </c>
    </row>
    <row r="4635" spans="6:7" x14ac:dyDescent="0.2">
      <c r="F4635" s="591">
        <v>4626</v>
      </c>
      <c r="G4635" s="420">
        <f t="shared" ca="1" si="80"/>
        <v>0.1310554207622196</v>
      </c>
    </row>
    <row r="4636" spans="6:7" x14ac:dyDescent="0.2">
      <c r="F4636" s="591">
        <v>4627</v>
      </c>
      <c r="G4636" s="420">
        <f t="shared" ca="1" si="80"/>
        <v>4.1364504311943863E-2</v>
      </c>
    </row>
    <row r="4637" spans="6:7" x14ac:dyDescent="0.2">
      <c r="F4637" s="591">
        <v>4628</v>
      </c>
      <c r="G4637" s="420">
        <f t="shared" ca="1" si="80"/>
        <v>1.5376615488378733E-2</v>
      </c>
    </row>
    <row r="4638" spans="6:7" x14ac:dyDescent="0.2">
      <c r="F4638" s="591">
        <v>4629</v>
      </c>
      <c r="G4638" s="420">
        <f t="shared" ca="1" si="80"/>
        <v>9.3845725075067554E-2</v>
      </c>
    </row>
    <row r="4639" spans="6:7" x14ac:dyDescent="0.2">
      <c r="F4639" s="591">
        <v>4630</v>
      </c>
      <c r="G4639" s="420">
        <f t="shared" ca="1" si="80"/>
        <v>-0.12585633359409493</v>
      </c>
    </row>
    <row r="4640" spans="6:7" x14ac:dyDescent="0.2">
      <c r="F4640" s="591">
        <v>4631</v>
      </c>
      <c r="G4640" s="420">
        <f t="shared" ca="1" si="80"/>
        <v>0.16680710229564283</v>
      </c>
    </row>
    <row r="4641" spans="6:7" x14ac:dyDescent="0.2">
      <c r="F4641" s="591">
        <v>4632</v>
      </c>
      <c r="G4641" s="420">
        <f t="shared" ca="1" si="80"/>
        <v>-0.15702331051403004</v>
      </c>
    </row>
    <row r="4642" spans="6:7" x14ac:dyDescent="0.2">
      <c r="F4642" s="591">
        <v>4633</v>
      </c>
      <c r="G4642" s="420">
        <f t="shared" ca="1" si="80"/>
        <v>-1.2862590332154211E-2</v>
      </c>
    </row>
    <row r="4643" spans="6:7" x14ac:dyDescent="0.2">
      <c r="F4643" s="591">
        <v>4634</v>
      </c>
      <c r="G4643" s="420">
        <f t="shared" ca="1" si="80"/>
        <v>-2.8622120276647529E-2</v>
      </c>
    </row>
    <row r="4644" spans="6:7" x14ac:dyDescent="0.2">
      <c r="F4644" s="591">
        <v>4635</v>
      </c>
      <c r="G4644" s="420">
        <f t="shared" ca="1" si="80"/>
        <v>-4.777948942704878E-2</v>
      </c>
    </row>
    <row r="4645" spans="6:7" x14ac:dyDescent="0.2">
      <c r="F4645" s="591">
        <v>4636</v>
      </c>
      <c r="G4645" s="420">
        <f t="shared" ca="1" si="80"/>
        <v>-0.12167247091846907</v>
      </c>
    </row>
    <row r="4646" spans="6:7" x14ac:dyDescent="0.2">
      <c r="F4646" s="591">
        <v>4637</v>
      </c>
      <c r="G4646" s="420">
        <f t="shared" ca="1" si="80"/>
        <v>4.8531601140434463E-2</v>
      </c>
    </row>
    <row r="4647" spans="6:7" x14ac:dyDescent="0.2">
      <c r="F4647" s="591">
        <v>4638</v>
      </c>
      <c r="G4647" s="420">
        <f t="shared" ca="1" si="80"/>
        <v>4.4295392755622678E-2</v>
      </c>
    </row>
    <row r="4648" spans="6:7" x14ac:dyDescent="0.2">
      <c r="F4648" s="591">
        <v>4639</v>
      </c>
      <c r="G4648" s="420">
        <f t="shared" ca="1" si="80"/>
        <v>-5.1180991561422834E-2</v>
      </c>
    </row>
    <row r="4649" spans="6:7" x14ac:dyDescent="0.2">
      <c r="F4649" s="591">
        <v>4640</v>
      </c>
      <c r="G4649" s="420">
        <f t="shared" ca="1" si="80"/>
        <v>-5.4664456386276386E-2</v>
      </c>
    </row>
    <row r="4650" spans="6:7" x14ac:dyDescent="0.2">
      <c r="F4650" s="591">
        <v>4641</v>
      </c>
      <c r="G4650" s="420">
        <f t="shared" ca="1" si="80"/>
        <v>4.799968523724378E-2</v>
      </c>
    </row>
    <row r="4651" spans="6:7" x14ac:dyDescent="0.2">
      <c r="F4651" s="591">
        <v>4642</v>
      </c>
      <c r="G4651" s="420">
        <f t="shared" ca="1" si="80"/>
        <v>-6.4110625996615878E-2</v>
      </c>
    </row>
    <row r="4652" spans="6:7" x14ac:dyDescent="0.2">
      <c r="F4652" s="591">
        <v>4643</v>
      </c>
      <c r="G4652" s="420">
        <f t="shared" ca="1" si="80"/>
        <v>9.3510975481500475E-2</v>
      </c>
    </row>
    <row r="4653" spans="6:7" x14ac:dyDescent="0.2">
      <c r="F4653" s="591">
        <v>4644</v>
      </c>
      <c r="G4653" s="420">
        <f t="shared" ca="1" si="80"/>
        <v>8.0048591764903351E-2</v>
      </c>
    </row>
    <row r="4654" spans="6:7" x14ac:dyDescent="0.2">
      <c r="F4654" s="591">
        <v>4645</v>
      </c>
      <c r="G4654" s="420">
        <f t="shared" ca="1" si="80"/>
        <v>-3.0504873361001366E-2</v>
      </c>
    </row>
    <row r="4655" spans="6:7" x14ac:dyDescent="0.2">
      <c r="F4655" s="591">
        <v>4646</v>
      </c>
      <c r="G4655" s="420">
        <f t="shared" ca="1" si="80"/>
        <v>-3.1657178354316917E-2</v>
      </c>
    </row>
    <row r="4656" spans="6:7" x14ac:dyDescent="0.2">
      <c r="F4656" s="591">
        <v>4647</v>
      </c>
      <c r="G4656" s="420">
        <f t="shared" ca="1" si="80"/>
        <v>-2.4203698643698073E-2</v>
      </c>
    </row>
    <row r="4657" spans="6:7" x14ac:dyDescent="0.2">
      <c r="F4657" s="591">
        <v>4648</v>
      </c>
      <c r="G4657" s="420">
        <f t="shared" ca="1" si="80"/>
        <v>-2.5251749428761554E-2</v>
      </c>
    </row>
    <row r="4658" spans="6:7" x14ac:dyDescent="0.2">
      <c r="F4658" s="591">
        <v>4649</v>
      </c>
      <c r="G4658" s="420">
        <f t="shared" ca="1" si="80"/>
        <v>3.011647325629703E-2</v>
      </c>
    </row>
    <row r="4659" spans="6:7" x14ac:dyDescent="0.2">
      <c r="F4659" s="591">
        <v>4650</v>
      </c>
      <c r="G4659" s="420">
        <f t="shared" ca="1" si="80"/>
        <v>1.9598464069677593E-2</v>
      </c>
    </row>
    <row r="4660" spans="6:7" x14ac:dyDescent="0.2">
      <c r="F4660" s="591">
        <v>4651</v>
      </c>
      <c r="G4660" s="420">
        <f t="shared" ca="1" si="80"/>
        <v>6.4584276451403189E-2</v>
      </c>
    </row>
    <row r="4661" spans="6:7" x14ac:dyDescent="0.2">
      <c r="F4661" s="591">
        <v>4652</v>
      </c>
      <c r="G4661" s="420">
        <f t="shared" ca="1" si="80"/>
        <v>9.6754882305212606E-2</v>
      </c>
    </row>
    <row r="4662" spans="6:7" x14ac:dyDescent="0.2">
      <c r="F4662" s="591">
        <v>4653</v>
      </c>
      <c r="G4662" s="420">
        <f t="shared" ca="1" si="80"/>
        <v>7.4348932292626124E-2</v>
      </c>
    </row>
    <row r="4663" spans="6:7" x14ac:dyDescent="0.2">
      <c r="F4663" s="591">
        <v>4654</v>
      </c>
      <c r="G4663" s="420">
        <f t="shared" ca="1" si="80"/>
        <v>4.8596578285511019E-2</v>
      </c>
    </row>
    <row r="4664" spans="6:7" x14ac:dyDescent="0.2">
      <c r="F4664" s="591">
        <v>4655</v>
      </c>
      <c r="G4664" s="420">
        <f t="shared" ca="1" si="80"/>
        <v>9.725424376328011E-2</v>
      </c>
    </row>
    <row r="4665" spans="6:7" x14ac:dyDescent="0.2">
      <c r="F4665" s="591">
        <v>4656</v>
      </c>
      <c r="G4665" s="420">
        <f t="shared" ca="1" si="80"/>
        <v>-3.4005325234271508E-2</v>
      </c>
    </row>
    <row r="4666" spans="6:7" x14ac:dyDescent="0.2">
      <c r="F4666" s="591">
        <v>4657</v>
      </c>
      <c r="G4666" s="420">
        <f t="shared" ca="1" si="80"/>
        <v>6.0318916669916026E-2</v>
      </c>
    </row>
    <row r="4667" spans="6:7" x14ac:dyDescent="0.2">
      <c r="F4667" s="591">
        <v>4658</v>
      </c>
      <c r="G4667" s="420">
        <f t="shared" ca="1" si="80"/>
        <v>-0.13564947350810863</v>
      </c>
    </row>
    <row r="4668" spans="6:7" x14ac:dyDescent="0.2">
      <c r="F4668" s="591">
        <v>4659</v>
      </c>
      <c r="G4668" s="420">
        <f t="shared" ca="1" si="80"/>
        <v>-5.0005817323317922E-2</v>
      </c>
    </row>
    <row r="4669" spans="6:7" x14ac:dyDescent="0.2">
      <c r="F4669" s="591">
        <v>4660</v>
      </c>
      <c r="G4669" s="420">
        <f t="shared" ca="1" si="80"/>
        <v>-4.8749014845805683E-2</v>
      </c>
    </row>
    <row r="4670" spans="6:7" x14ac:dyDescent="0.2">
      <c r="F4670" s="591">
        <v>4661</v>
      </c>
      <c r="G4670" s="420">
        <f t="shared" ca="1" si="80"/>
        <v>-7.0320894671218923E-2</v>
      </c>
    </row>
    <row r="4671" spans="6:7" x14ac:dyDescent="0.2">
      <c r="F4671" s="591">
        <v>4662</v>
      </c>
      <c r="G4671" s="420">
        <f t="shared" ca="1" si="80"/>
        <v>-8.1242074339600429E-2</v>
      </c>
    </row>
    <row r="4672" spans="6:7" x14ac:dyDescent="0.2">
      <c r="F4672" s="591">
        <v>4663</v>
      </c>
      <c r="G4672" s="420">
        <f t="shared" ca="1" si="80"/>
        <v>-1.3308013393498151E-2</v>
      </c>
    </row>
    <row r="4673" spans="6:7" x14ac:dyDescent="0.2">
      <c r="F4673" s="591">
        <v>4664</v>
      </c>
      <c r="G4673" s="420">
        <f t="shared" ca="1" si="80"/>
        <v>-8.25565031512061E-3</v>
      </c>
    </row>
    <row r="4674" spans="6:7" x14ac:dyDescent="0.2">
      <c r="F4674" s="591">
        <v>4665</v>
      </c>
      <c r="G4674" s="420">
        <f t="shared" ca="1" si="80"/>
        <v>-5.8920891440495921E-2</v>
      </c>
    </row>
    <row r="4675" spans="6:7" x14ac:dyDescent="0.2">
      <c r="F4675" s="591">
        <v>4666</v>
      </c>
      <c r="G4675" s="420">
        <f t="shared" ca="1" si="80"/>
        <v>-3.4353892216434367E-3</v>
      </c>
    </row>
    <row r="4676" spans="6:7" x14ac:dyDescent="0.2">
      <c r="F4676" s="591">
        <v>4667</v>
      </c>
      <c r="G4676" s="420">
        <f t="shared" ca="1" si="80"/>
        <v>5.2525819631547954E-2</v>
      </c>
    </row>
    <row r="4677" spans="6:7" x14ac:dyDescent="0.2">
      <c r="F4677" s="591">
        <v>4668</v>
      </c>
      <c r="G4677" s="420">
        <f t="shared" ca="1" si="80"/>
        <v>-6.0263914553878736E-2</v>
      </c>
    </row>
    <row r="4678" spans="6:7" x14ac:dyDescent="0.2">
      <c r="F4678" s="591">
        <v>4669</v>
      </c>
      <c r="G4678" s="420">
        <f t="shared" ca="1" si="80"/>
        <v>0.1165649290524903</v>
      </c>
    </row>
    <row r="4679" spans="6:7" x14ac:dyDescent="0.2">
      <c r="F4679" s="591">
        <v>4670</v>
      </c>
      <c r="G4679" s="420">
        <f t="shared" ca="1" si="80"/>
        <v>-9.021918820258365E-3</v>
      </c>
    </row>
    <row r="4680" spans="6:7" x14ac:dyDescent="0.2">
      <c r="F4680" s="591">
        <v>4671</v>
      </c>
      <c r="G4680" s="420">
        <f t="shared" ca="1" si="80"/>
        <v>4.6714060882095565E-2</v>
      </c>
    </row>
    <row r="4681" spans="6:7" x14ac:dyDescent="0.2">
      <c r="F4681" s="591">
        <v>4672</v>
      </c>
      <c r="G4681" s="420">
        <f t="shared" ca="1" si="80"/>
        <v>5.3814214797378843E-2</v>
      </c>
    </row>
    <row r="4682" spans="6:7" x14ac:dyDescent="0.2">
      <c r="F4682" s="591">
        <v>4673</v>
      </c>
      <c r="G4682" s="420">
        <f t="shared" ca="1" si="80"/>
        <v>0.21271902219261934</v>
      </c>
    </row>
    <row r="4683" spans="6:7" x14ac:dyDescent="0.2">
      <c r="F4683" s="591">
        <v>4674</v>
      </c>
      <c r="G4683" s="420">
        <f t="shared" ref="G4683:G4746" ca="1" si="81">_xlfn.NORM.INV(RAND(), $M$11,$M$12)</f>
        <v>0.12762032649901001</v>
      </c>
    </row>
    <row r="4684" spans="6:7" x14ac:dyDescent="0.2">
      <c r="F4684" s="591">
        <v>4675</v>
      </c>
      <c r="G4684" s="420">
        <f t="shared" ca="1" si="81"/>
        <v>-9.1824874834458434E-2</v>
      </c>
    </row>
    <row r="4685" spans="6:7" x14ac:dyDescent="0.2">
      <c r="F4685" s="591">
        <v>4676</v>
      </c>
      <c r="G4685" s="420">
        <f t="shared" ca="1" si="81"/>
        <v>-1.6784196022319679E-2</v>
      </c>
    </row>
    <row r="4686" spans="6:7" x14ac:dyDescent="0.2">
      <c r="F4686" s="591">
        <v>4677</v>
      </c>
      <c r="G4686" s="420">
        <f t="shared" ca="1" si="81"/>
        <v>-7.0490161406241966E-2</v>
      </c>
    </row>
    <row r="4687" spans="6:7" x14ac:dyDescent="0.2">
      <c r="F4687" s="591">
        <v>4678</v>
      </c>
      <c r="G4687" s="420">
        <f t="shared" ca="1" si="81"/>
        <v>9.2045553163785002E-2</v>
      </c>
    </row>
    <row r="4688" spans="6:7" x14ac:dyDescent="0.2">
      <c r="F4688" s="591">
        <v>4679</v>
      </c>
      <c r="G4688" s="420">
        <f t="shared" ca="1" si="81"/>
        <v>9.7899740655908202E-2</v>
      </c>
    </row>
    <row r="4689" spans="6:7" x14ac:dyDescent="0.2">
      <c r="F4689" s="591">
        <v>4680</v>
      </c>
      <c r="G4689" s="420">
        <f t="shared" ca="1" si="81"/>
        <v>-6.2622198226993386E-3</v>
      </c>
    </row>
    <row r="4690" spans="6:7" x14ac:dyDescent="0.2">
      <c r="F4690" s="591">
        <v>4681</v>
      </c>
      <c r="G4690" s="420">
        <f t="shared" ca="1" si="81"/>
        <v>9.932045546235219E-3</v>
      </c>
    </row>
    <row r="4691" spans="6:7" x14ac:dyDescent="0.2">
      <c r="F4691" s="591">
        <v>4682</v>
      </c>
      <c r="G4691" s="420">
        <f t="shared" ca="1" si="81"/>
        <v>4.6156127125676627E-6</v>
      </c>
    </row>
    <row r="4692" spans="6:7" x14ac:dyDescent="0.2">
      <c r="F4692" s="591">
        <v>4683</v>
      </c>
      <c r="G4692" s="420">
        <f t="shared" ca="1" si="81"/>
        <v>2.6112288207807491E-2</v>
      </c>
    </row>
    <row r="4693" spans="6:7" x14ac:dyDescent="0.2">
      <c r="F4693" s="591">
        <v>4684</v>
      </c>
      <c r="G4693" s="420">
        <f t="shared" ca="1" si="81"/>
        <v>-1.6263141778147944E-2</v>
      </c>
    </row>
    <row r="4694" spans="6:7" x14ac:dyDescent="0.2">
      <c r="F4694" s="591">
        <v>4685</v>
      </c>
      <c r="G4694" s="420">
        <f t="shared" ca="1" si="81"/>
        <v>-1.5443559025396469E-2</v>
      </c>
    </row>
    <row r="4695" spans="6:7" x14ac:dyDescent="0.2">
      <c r="F4695" s="591">
        <v>4686</v>
      </c>
      <c r="G4695" s="420">
        <f t="shared" ca="1" si="81"/>
        <v>6.1271999080865711E-2</v>
      </c>
    </row>
    <row r="4696" spans="6:7" x14ac:dyDescent="0.2">
      <c r="F4696" s="591">
        <v>4687</v>
      </c>
      <c r="G4696" s="420">
        <f t="shared" ca="1" si="81"/>
        <v>0.11321589159432763</v>
      </c>
    </row>
    <row r="4697" spans="6:7" x14ac:dyDescent="0.2">
      <c r="F4697" s="591">
        <v>4688</v>
      </c>
      <c r="G4697" s="420">
        <f t="shared" ca="1" si="81"/>
        <v>4.5866591162111225E-2</v>
      </c>
    </row>
    <row r="4698" spans="6:7" x14ac:dyDescent="0.2">
      <c r="F4698" s="591">
        <v>4689</v>
      </c>
      <c r="G4698" s="420">
        <f t="shared" ca="1" si="81"/>
        <v>0.1194355740869093</v>
      </c>
    </row>
    <row r="4699" spans="6:7" x14ac:dyDescent="0.2">
      <c r="F4699" s="591">
        <v>4690</v>
      </c>
      <c r="G4699" s="420">
        <f t="shared" ca="1" si="81"/>
        <v>1.9367347690213293E-2</v>
      </c>
    </row>
    <row r="4700" spans="6:7" x14ac:dyDescent="0.2">
      <c r="F4700" s="591">
        <v>4691</v>
      </c>
      <c r="G4700" s="420">
        <f t="shared" ca="1" si="81"/>
        <v>-3.9008573983510542E-3</v>
      </c>
    </row>
    <row r="4701" spans="6:7" x14ac:dyDescent="0.2">
      <c r="F4701" s="591">
        <v>4692</v>
      </c>
      <c r="G4701" s="420">
        <f t="shared" ca="1" si="81"/>
        <v>-4.2078232586564679E-2</v>
      </c>
    </row>
    <row r="4702" spans="6:7" x14ac:dyDescent="0.2">
      <c r="F4702" s="591">
        <v>4693</v>
      </c>
      <c r="G4702" s="420">
        <f t="shared" ca="1" si="81"/>
        <v>2.6180045722862123E-2</v>
      </c>
    </row>
    <row r="4703" spans="6:7" x14ac:dyDescent="0.2">
      <c r="F4703" s="591">
        <v>4694</v>
      </c>
      <c r="G4703" s="420">
        <f t="shared" ca="1" si="81"/>
        <v>-4.9517137971239106E-2</v>
      </c>
    </row>
    <row r="4704" spans="6:7" x14ac:dyDescent="0.2">
      <c r="F4704" s="591">
        <v>4695</v>
      </c>
      <c r="G4704" s="420">
        <f t="shared" ca="1" si="81"/>
        <v>7.8649496517134362E-2</v>
      </c>
    </row>
    <row r="4705" spans="6:7" x14ac:dyDescent="0.2">
      <c r="F4705" s="591">
        <v>4696</v>
      </c>
      <c r="G4705" s="420">
        <f t="shared" ca="1" si="81"/>
        <v>4.9876848463686452E-2</v>
      </c>
    </row>
    <row r="4706" spans="6:7" x14ac:dyDescent="0.2">
      <c r="F4706" s="591">
        <v>4697</v>
      </c>
      <c r="G4706" s="420">
        <f t="shared" ca="1" si="81"/>
        <v>-7.2945103383644377E-2</v>
      </c>
    </row>
    <row r="4707" spans="6:7" x14ac:dyDescent="0.2">
      <c r="F4707" s="591">
        <v>4698</v>
      </c>
      <c r="G4707" s="420">
        <f t="shared" ca="1" si="81"/>
        <v>0.10557993957161511</v>
      </c>
    </row>
    <row r="4708" spans="6:7" x14ac:dyDescent="0.2">
      <c r="F4708" s="591">
        <v>4699</v>
      </c>
      <c r="G4708" s="420">
        <f t="shared" ca="1" si="81"/>
        <v>-0.17187292631361739</v>
      </c>
    </row>
    <row r="4709" spans="6:7" x14ac:dyDescent="0.2">
      <c r="F4709" s="591">
        <v>4700</v>
      </c>
      <c r="G4709" s="420">
        <f t="shared" ca="1" si="81"/>
        <v>0.14874095875807361</v>
      </c>
    </row>
    <row r="4710" spans="6:7" x14ac:dyDescent="0.2">
      <c r="F4710" s="591">
        <v>4701</v>
      </c>
      <c r="G4710" s="420">
        <f t="shared" ca="1" si="81"/>
        <v>4.9057021892223565E-2</v>
      </c>
    </row>
    <row r="4711" spans="6:7" x14ac:dyDescent="0.2">
      <c r="F4711" s="591">
        <v>4702</v>
      </c>
      <c r="G4711" s="420">
        <f t="shared" ca="1" si="81"/>
        <v>9.9059443815511364E-2</v>
      </c>
    </row>
    <row r="4712" spans="6:7" x14ac:dyDescent="0.2">
      <c r="F4712" s="591">
        <v>4703</v>
      </c>
      <c r="G4712" s="420">
        <f t="shared" ca="1" si="81"/>
        <v>7.3308492241103571E-2</v>
      </c>
    </row>
    <row r="4713" spans="6:7" x14ac:dyDescent="0.2">
      <c r="F4713" s="591">
        <v>4704</v>
      </c>
      <c r="G4713" s="420">
        <f t="shared" ca="1" si="81"/>
        <v>-5.1145863760928043E-2</v>
      </c>
    </row>
    <row r="4714" spans="6:7" x14ac:dyDescent="0.2">
      <c r="F4714" s="591">
        <v>4705</v>
      </c>
      <c r="G4714" s="420">
        <f t="shared" ca="1" si="81"/>
        <v>3.3459565296507843E-2</v>
      </c>
    </row>
    <row r="4715" spans="6:7" x14ac:dyDescent="0.2">
      <c r="F4715" s="591">
        <v>4706</v>
      </c>
      <c r="G4715" s="420">
        <f t="shared" ca="1" si="81"/>
        <v>-8.6841399791289201E-2</v>
      </c>
    </row>
    <row r="4716" spans="6:7" x14ac:dyDescent="0.2">
      <c r="F4716" s="591">
        <v>4707</v>
      </c>
      <c r="G4716" s="420">
        <f t="shared" ca="1" si="81"/>
        <v>-4.7579533715728192E-2</v>
      </c>
    </row>
    <row r="4717" spans="6:7" x14ac:dyDescent="0.2">
      <c r="F4717" s="591">
        <v>4708</v>
      </c>
      <c r="G4717" s="420">
        <f t="shared" ca="1" si="81"/>
        <v>-4.5987821033547163E-2</v>
      </c>
    </row>
    <row r="4718" spans="6:7" x14ac:dyDescent="0.2">
      <c r="F4718" s="591">
        <v>4709</v>
      </c>
      <c r="G4718" s="420">
        <f t="shared" ca="1" si="81"/>
        <v>5.3881284524088024E-2</v>
      </c>
    </row>
    <row r="4719" spans="6:7" x14ac:dyDescent="0.2">
      <c r="F4719" s="591">
        <v>4710</v>
      </c>
      <c r="G4719" s="420">
        <f t="shared" ca="1" si="81"/>
        <v>-1.8391867400385422E-3</v>
      </c>
    </row>
    <row r="4720" spans="6:7" x14ac:dyDescent="0.2">
      <c r="F4720" s="591">
        <v>4711</v>
      </c>
      <c r="G4720" s="420">
        <f t="shared" ca="1" si="81"/>
        <v>3.5168857806829781E-2</v>
      </c>
    </row>
    <row r="4721" spans="6:7" x14ac:dyDescent="0.2">
      <c r="F4721" s="591">
        <v>4712</v>
      </c>
      <c r="G4721" s="420">
        <f t="shared" ca="1" si="81"/>
        <v>8.1834170077289256E-2</v>
      </c>
    </row>
    <row r="4722" spans="6:7" x14ac:dyDescent="0.2">
      <c r="F4722" s="591">
        <v>4713</v>
      </c>
      <c r="G4722" s="420">
        <f t="shared" ca="1" si="81"/>
        <v>2.0864309552214289E-2</v>
      </c>
    </row>
    <row r="4723" spans="6:7" x14ac:dyDescent="0.2">
      <c r="F4723" s="591">
        <v>4714</v>
      </c>
      <c r="G4723" s="420">
        <f t="shared" ca="1" si="81"/>
        <v>-1.2702284011742317E-2</v>
      </c>
    </row>
    <row r="4724" spans="6:7" x14ac:dyDescent="0.2">
      <c r="F4724" s="591">
        <v>4715</v>
      </c>
      <c r="G4724" s="420">
        <f t="shared" ca="1" si="81"/>
        <v>-3.1960646076790819E-2</v>
      </c>
    </row>
    <row r="4725" spans="6:7" x14ac:dyDescent="0.2">
      <c r="F4725" s="591">
        <v>4716</v>
      </c>
      <c r="G4725" s="420">
        <f t="shared" ca="1" si="81"/>
        <v>5.0018635485609947E-2</v>
      </c>
    </row>
    <row r="4726" spans="6:7" x14ac:dyDescent="0.2">
      <c r="F4726" s="591">
        <v>4717</v>
      </c>
      <c r="G4726" s="420">
        <f t="shared" ca="1" si="81"/>
        <v>2.0783185694800477E-2</v>
      </c>
    </row>
    <row r="4727" spans="6:7" x14ac:dyDescent="0.2">
      <c r="F4727" s="591">
        <v>4718</v>
      </c>
      <c r="G4727" s="420">
        <f t="shared" ca="1" si="81"/>
        <v>5.2786025095178768E-2</v>
      </c>
    </row>
    <row r="4728" spans="6:7" x14ac:dyDescent="0.2">
      <c r="F4728" s="591">
        <v>4719</v>
      </c>
      <c r="G4728" s="420">
        <f t="shared" ca="1" si="81"/>
        <v>2.1360904343172789E-2</v>
      </c>
    </row>
    <row r="4729" spans="6:7" x14ac:dyDescent="0.2">
      <c r="F4729" s="591">
        <v>4720</v>
      </c>
      <c r="G4729" s="420">
        <f t="shared" ca="1" si="81"/>
        <v>6.2534480747906102E-2</v>
      </c>
    </row>
    <row r="4730" spans="6:7" x14ac:dyDescent="0.2">
      <c r="F4730" s="591">
        <v>4721</v>
      </c>
      <c r="G4730" s="420">
        <f t="shared" ca="1" si="81"/>
        <v>-2.6151441552981238E-2</v>
      </c>
    </row>
    <row r="4731" spans="6:7" x14ac:dyDescent="0.2">
      <c r="F4731" s="591">
        <v>4722</v>
      </c>
      <c r="G4731" s="420">
        <f t="shared" ca="1" si="81"/>
        <v>9.2772641434789957E-2</v>
      </c>
    </row>
    <row r="4732" spans="6:7" x14ac:dyDescent="0.2">
      <c r="F4732" s="591">
        <v>4723</v>
      </c>
      <c r="G4732" s="420">
        <f t="shared" ca="1" si="81"/>
        <v>8.0562676943248576E-2</v>
      </c>
    </row>
    <row r="4733" spans="6:7" x14ac:dyDescent="0.2">
      <c r="F4733" s="591">
        <v>4724</v>
      </c>
      <c r="G4733" s="420">
        <f t="shared" ca="1" si="81"/>
        <v>3.7155042485422271E-2</v>
      </c>
    </row>
    <row r="4734" spans="6:7" x14ac:dyDescent="0.2">
      <c r="F4734" s="591">
        <v>4725</v>
      </c>
      <c r="G4734" s="420">
        <f t="shared" ca="1" si="81"/>
        <v>0.10729007825974617</v>
      </c>
    </row>
    <row r="4735" spans="6:7" x14ac:dyDescent="0.2">
      <c r="F4735" s="591">
        <v>4726</v>
      </c>
      <c r="G4735" s="420">
        <f t="shared" ca="1" si="81"/>
        <v>-4.8401398062914262E-3</v>
      </c>
    </row>
    <row r="4736" spans="6:7" x14ac:dyDescent="0.2">
      <c r="F4736" s="591">
        <v>4727</v>
      </c>
      <c r="G4736" s="420">
        <f t="shared" ca="1" si="81"/>
        <v>-0.12307130979038251</v>
      </c>
    </row>
    <row r="4737" spans="6:7" x14ac:dyDescent="0.2">
      <c r="F4737" s="591">
        <v>4728</v>
      </c>
      <c r="G4737" s="420">
        <f t="shared" ca="1" si="81"/>
        <v>0.11207719582342673</v>
      </c>
    </row>
    <row r="4738" spans="6:7" x14ac:dyDescent="0.2">
      <c r="F4738" s="591">
        <v>4729</v>
      </c>
      <c r="G4738" s="420">
        <f t="shared" ca="1" si="81"/>
        <v>1.8300425957103312E-2</v>
      </c>
    </row>
    <row r="4739" spans="6:7" x14ac:dyDescent="0.2">
      <c r="F4739" s="591">
        <v>4730</v>
      </c>
      <c r="G4739" s="420">
        <f t="shared" ca="1" si="81"/>
        <v>2.9491463584029147E-2</v>
      </c>
    </row>
    <row r="4740" spans="6:7" x14ac:dyDescent="0.2">
      <c r="F4740" s="591">
        <v>4731</v>
      </c>
      <c r="G4740" s="420">
        <f t="shared" ca="1" si="81"/>
        <v>6.7111112233998564E-4</v>
      </c>
    </row>
    <row r="4741" spans="6:7" x14ac:dyDescent="0.2">
      <c r="F4741" s="591">
        <v>4732</v>
      </c>
      <c r="G4741" s="420">
        <f t="shared" ca="1" si="81"/>
        <v>2.9961468891889449E-2</v>
      </c>
    </row>
    <row r="4742" spans="6:7" x14ac:dyDescent="0.2">
      <c r="F4742" s="591">
        <v>4733</v>
      </c>
      <c r="G4742" s="420">
        <f t="shared" ca="1" si="81"/>
        <v>2.2909076636188522E-2</v>
      </c>
    </row>
    <row r="4743" spans="6:7" x14ac:dyDescent="0.2">
      <c r="F4743" s="591">
        <v>4734</v>
      </c>
      <c r="G4743" s="420">
        <f t="shared" ca="1" si="81"/>
        <v>9.5094615413497882E-2</v>
      </c>
    </row>
    <row r="4744" spans="6:7" x14ac:dyDescent="0.2">
      <c r="F4744" s="591">
        <v>4735</v>
      </c>
      <c r="G4744" s="420">
        <f t="shared" ca="1" si="81"/>
        <v>2.2002893177874211E-2</v>
      </c>
    </row>
    <row r="4745" spans="6:7" x14ac:dyDescent="0.2">
      <c r="F4745" s="591">
        <v>4736</v>
      </c>
      <c r="G4745" s="420">
        <f t="shared" ca="1" si="81"/>
        <v>-0.11257405717658538</v>
      </c>
    </row>
    <row r="4746" spans="6:7" x14ac:dyDescent="0.2">
      <c r="F4746" s="591">
        <v>4737</v>
      </c>
      <c r="G4746" s="420">
        <f t="shared" ca="1" si="81"/>
        <v>0.12891648480283613</v>
      </c>
    </row>
    <row r="4747" spans="6:7" x14ac:dyDescent="0.2">
      <c r="F4747" s="591">
        <v>4738</v>
      </c>
      <c r="G4747" s="420">
        <f t="shared" ref="G4747:G4810" ca="1" si="82">_xlfn.NORM.INV(RAND(), $M$11,$M$12)</f>
        <v>5.6157645050868552E-2</v>
      </c>
    </row>
    <row r="4748" spans="6:7" x14ac:dyDescent="0.2">
      <c r="F4748" s="591">
        <v>4739</v>
      </c>
      <c r="G4748" s="420">
        <f t="shared" ca="1" si="82"/>
        <v>2.2431512803451816E-3</v>
      </c>
    </row>
    <row r="4749" spans="6:7" x14ac:dyDescent="0.2">
      <c r="F4749" s="591">
        <v>4740</v>
      </c>
      <c r="G4749" s="420">
        <f t="shared" ca="1" si="82"/>
        <v>-3.5284681127496303E-2</v>
      </c>
    </row>
    <row r="4750" spans="6:7" x14ac:dyDescent="0.2">
      <c r="F4750" s="591">
        <v>4741</v>
      </c>
      <c r="G4750" s="420">
        <f t="shared" ca="1" si="82"/>
        <v>3.8539669820883603E-2</v>
      </c>
    </row>
    <row r="4751" spans="6:7" x14ac:dyDescent="0.2">
      <c r="F4751" s="591">
        <v>4742</v>
      </c>
      <c r="G4751" s="420">
        <f t="shared" ca="1" si="82"/>
        <v>-5.9775853173456212E-2</v>
      </c>
    </row>
    <row r="4752" spans="6:7" x14ac:dyDescent="0.2">
      <c r="F4752" s="591">
        <v>4743</v>
      </c>
      <c r="G4752" s="420">
        <f t="shared" ca="1" si="82"/>
        <v>4.3393102843658866E-3</v>
      </c>
    </row>
    <row r="4753" spans="6:7" x14ac:dyDescent="0.2">
      <c r="F4753" s="591">
        <v>4744</v>
      </c>
      <c r="G4753" s="420">
        <f t="shared" ca="1" si="82"/>
        <v>-1.1072284879522633E-2</v>
      </c>
    </row>
    <row r="4754" spans="6:7" x14ac:dyDescent="0.2">
      <c r="F4754" s="591">
        <v>4745</v>
      </c>
      <c r="G4754" s="420">
        <f t="shared" ca="1" si="82"/>
        <v>-7.9546255261165141E-2</v>
      </c>
    </row>
    <row r="4755" spans="6:7" x14ac:dyDescent="0.2">
      <c r="F4755" s="591">
        <v>4746</v>
      </c>
      <c r="G4755" s="420">
        <f t="shared" ca="1" si="82"/>
        <v>-3.5217547124690496E-2</v>
      </c>
    </row>
    <row r="4756" spans="6:7" x14ac:dyDescent="0.2">
      <c r="F4756" s="591">
        <v>4747</v>
      </c>
      <c r="G4756" s="420">
        <f t="shared" ca="1" si="82"/>
        <v>-4.4348873775878109E-2</v>
      </c>
    </row>
    <row r="4757" spans="6:7" x14ac:dyDescent="0.2">
      <c r="F4757" s="591">
        <v>4748</v>
      </c>
      <c r="G4757" s="420">
        <f t="shared" ca="1" si="82"/>
        <v>1.5203745183059527E-2</v>
      </c>
    </row>
    <row r="4758" spans="6:7" x14ac:dyDescent="0.2">
      <c r="F4758" s="591">
        <v>4749</v>
      </c>
      <c r="G4758" s="420">
        <f t="shared" ca="1" si="82"/>
        <v>6.9789375052929795E-3</v>
      </c>
    </row>
    <row r="4759" spans="6:7" x14ac:dyDescent="0.2">
      <c r="F4759" s="591">
        <v>4750</v>
      </c>
      <c r="G4759" s="420">
        <f t="shared" ca="1" si="82"/>
        <v>-4.3697845026548124E-2</v>
      </c>
    </row>
    <row r="4760" spans="6:7" x14ac:dyDescent="0.2">
      <c r="F4760" s="591">
        <v>4751</v>
      </c>
      <c r="G4760" s="420">
        <f t="shared" ca="1" si="82"/>
        <v>0.1504569869434976</v>
      </c>
    </row>
    <row r="4761" spans="6:7" x14ac:dyDescent="0.2">
      <c r="F4761" s="591">
        <v>4752</v>
      </c>
      <c r="G4761" s="420">
        <f t="shared" ca="1" si="82"/>
        <v>4.0288782365413445E-2</v>
      </c>
    </row>
    <row r="4762" spans="6:7" x14ac:dyDescent="0.2">
      <c r="F4762" s="591">
        <v>4753</v>
      </c>
      <c r="G4762" s="420">
        <f t="shared" ca="1" si="82"/>
        <v>-0.11820554930872375</v>
      </c>
    </row>
    <row r="4763" spans="6:7" x14ac:dyDescent="0.2">
      <c r="F4763" s="591">
        <v>4754</v>
      </c>
      <c r="G4763" s="420">
        <f t="shared" ca="1" si="82"/>
        <v>-8.6485521956640291E-2</v>
      </c>
    </row>
    <row r="4764" spans="6:7" x14ac:dyDescent="0.2">
      <c r="F4764" s="591">
        <v>4755</v>
      </c>
      <c r="G4764" s="420">
        <f t="shared" ca="1" si="82"/>
        <v>4.5692912274025568E-2</v>
      </c>
    </row>
    <row r="4765" spans="6:7" x14ac:dyDescent="0.2">
      <c r="F4765" s="591">
        <v>4756</v>
      </c>
      <c r="G4765" s="420">
        <f t="shared" ca="1" si="82"/>
        <v>2.9560371782543154E-2</v>
      </c>
    </row>
    <row r="4766" spans="6:7" x14ac:dyDescent="0.2">
      <c r="F4766" s="591">
        <v>4757</v>
      </c>
      <c r="G4766" s="420">
        <f t="shared" ca="1" si="82"/>
        <v>-7.9367668336121758E-2</v>
      </c>
    </row>
    <row r="4767" spans="6:7" x14ac:dyDescent="0.2">
      <c r="F4767" s="591">
        <v>4758</v>
      </c>
      <c r="G4767" s="420">
        <f t="shared" ca="1" si="82"/>
        <v>-0.11097804626830042</v>
      </c>
    </row>
    <row r="4768" spans="6:7" x14ac:dyDescent="0.2">
      <c r="F4768" s="591">
        <v>4759</v>
      </c>
      <c r="G4768" s="420">
        <f t="shared" ca="1" si="82"/>
        <v>-3.3778070257612064E-2</v>
      </c>
    </row>
    <row r="4769" spans="6:7" x14ac:dyDescent="0.2">
      <c r="F4769" s="591">
        <v>4760</v>
      </c>
      <c r="G4769" s="420">
        <f t="shared" ca="1" si="82"/>
        <v>-4.4769706786774999E-3</v>
      </c>
    </row>
    <row r="4770" spans="6:7" x14ac:dyDescent="0.2">
      <c r="F4770" s="591">
        <v>4761</v>
      </c>
      <c r="G4770" s="420">
        <f t="shared" ca="1" si="82"/>
        <v>0.17167256530902522</v>
      </c>
    </row>
    <row r="4771" spans="6:7" x14ac:dyDescent="0.2">
      <c r="F4771" s="591">
        <v>4762</v>
      </c>
      <c r="G4771" s="420">
        <f t="shared" ca="1" si="82"/>
        <v>-0.14762348628969094</v>
      </c>
    </row>
    <row r="4772" spans="6:7" x14ac:dyDescent="0.2">
      <c r="F4772" s="591">
        <v>4763</v>
      </c>
      <c r="G4772" s="420">
        <f t="shared" ca="1" si="82"/>
        <v>-5.7926480346672568E-2</v>
      </c>
    </row>
    <row r="4773" spans="6:7" x14ac:dyDescent="0.2">
      <c r="F4773" s="591">
        <v>4764</v>
      </c>
      <c r="G4773" s="420">
        <f t="shared" ca="1" si="82"/>
        <v>-4.7547647205162719E-2</v>
      </c>
    </row>
    <row r="4774" spans="6:7" x14ac:dyDescent="0.2">
      <c r="F4774" s="591">
        <v>4765</v>
      </c>
      <c r="G4774" s="420">
        <f t="shared" ca="1" si="82"/>
        <v>-2.0540242024413891E-2</v>
      </c>
    </row>
    <row r="4775" spans="6:7" x14ac:dyDescent="0.2">
      <c r="F4775" s="591">
        <v>4766</v>
      </c>
      <c r="G4775" s="420">
        <f t="shared" ca="1" si="82"/>
        <v>1.6629939153983368E-2</v>
      </c>
    </row>
    <row r="4776" spans="6:7" x14ac:dyDescent="0.2">
      <c r="F4776" s="591">
        <v>4767</v>
      </c>
      <c r="G4776" s="420">
        <f t="shared" ca="1" si="82"/>
        <v>0.17160676870637534</v>
      </c>
    </row>
    <row r="4777" spans="6:7" x14ac:dyDescent="0.2">
      <c r="F4777" s="591">
        <v>4768</v>
      </c>
      <c r="G4777" s="420">
        <f t="shared" ca="1" si="82"/>
        <v>-5.1354012898259763E-2</v>
      </c>
    </row>
    <row r="4778" spans="6:7" x14ac:dyDescent="0.2">
      <c r="F4778" s="591">
        <v>4769</v>
      </c>
      <c r="G4778" s="420">
        <f t="shared" ca="1" si="82"/>
        <v>3.793908372533427E-2</v>
      </c>
    </row>
    <row r="4779" spans="6:7" x14ac:dyDescent="0.2">
      <c r="F4779" s="591">
        <v>4770</v>
      </c>
      <c r="G4779" s="420">
        <f t="shared" ca="1" si="82"/>
        <v>3.3545311418564622E-2</v>
      </c>
    </row>
    <row r="4780" spans="6:7" x14ac:dyDescent="0.2">
      <c r="F4780" s="591">
        <v>4771</v>
      </c>
      <c r="G4780" s="420">
        <f t="shared" ca="1" si="82"/>
        <v>2.1623807345229909E-2</v>
      </c>
    </row>
    <row r="4781" spans="6:7" x14ac:dyDescent="0.2">
      <c r="F4781" s="591">
        <v>4772</v>
      </c>
      <c r="G4781" s="420">
        <f t="shared" ca="1" si="82"/>
        <v>-2.6020095000287066E-2</v>
      </c>
    </row>
    <row r="4782" spans="6:7" x14ac:dyDescent="0.2">
      <c r="F4782" s="591">
        <v>4773</v>
      </c>
      <c r="G4782" s="420">
        <f t="shared" ca="1" si="82"/>
        <v>-3.1658351545145694E-2</v>
      </c>
    </row>
    <row r="4783" spans="6:7" x14ac:dyDescent="0.2">
      <c r="F4783" s="591">
        <v>4774</v>
      </c>
      <c r="G4783" s="420">
        <f t="shared" ca="1" si="82"/>
        <v>-7.9554809939689705E-3</v>
      </c>
    </row>
    <row r="4784" spans="6:7" x14ac:dyDescent="0.2">
      <c r="F4784" s="591">
        <v>4775</v>
      </c>
      <c r="G4784" s="420">
        <f t="shared" ca="1" si="82"/>
        <v>8.8108896324413707E-3</v>
      </c>
    </row>
    <row r="4785" spans="6:7" x14ac:dyDescent="0.2">
      <c r="F4785" s="591">
        <v>4776</v>
      </c>
      <c r="G4785" s="420">
        <f t="shared" ca="1" si="82"/>
        <v>-8.1172807629579E-2</v>
      </c>
    </row>
    <row r="4786" spans="6:7" x14ac:dyDescent="0.2">
      <c r="F4786" s="591">
        <v>4777</v>
      </c>
      <c r="G4786" s="420">
        <f t="shared" ca="1" si="82"/>
        <v>0.12088808454408463</v>
      </c>
    </row>
    <row r="4787" spans="6:7" x14ac:dyDescent="0.2">
      <c r="F4787" s="591">
        <v>4778</v>
      </c>
      <c r="G4787" s="420">
        <f t="shared" ca="1" si="82"/>
        <v>-3.9800036782138073E-2</v>
      </c>
    </row>
    <row r="4788" spans="6:7" x14ac:dyDescent="0.2">
      <c r="F4788" s="591">
        <v>4779</v>
      </c>
      <c r="G4788" s="420">
        <f t="shared" ca="1" si="82"/>
        <v>-2.4122031287013537E-2</v>
      </c>
    </row>
    <row r="4789" spans="6:7" x14ac:dyDescent="0.2">
      <c r="F4789" s="591">
        <v>4780</v>
      </c>
      <c r="G4789" s="420">
        <f t="shared" ca="1" si="82"/>
        <v>1.5907209112431386E-2</v>
      </c>
    </row>
    <row r="4790" spans="6:7" x14ac:dyDescent="0.2">
      <c r="F4790" s="591">
        <v>4781</v>
      </c>
      <c r="G4790" s="420">
        <f t="shared" ca="1" si="82"/>
        <v>-4.7623939198506882E-2</v>
      </c>
    </row>
    <row r="4791" spans="6:7" x14ac:dyDescent="0.2">
      <c r="F4791" s="591">
        <v>4782</v>
      </c>
      <c r="G4791" s="420">
        <f t="shared" ca="1" si="82"/>
        <v>4.3074560757816863E-2</v>
      </c>
    </row>
    <row r="4792" spans="6:7" x14ac:dyDescent="0.2">
      <c r="F4792" s="591">
        <v>4783</v>
      </c>
      <c r="G4792" s="420">
        <f t="shared" ca="1" si="82"/>
        <v>-7.6380607616489578E-3</v>
      </c>
    </row>
    <row r="4793" spans="6:7" x14ac:dyDescent="0.2">
      <c r="F4793" s="591">
        <v>4784</v>
      </c>
      <c r="G4793" s="420">
        <f t="shared" ca="1" si="82"/>
        <v>0.20759103537775683</v>
      </c>
    </row>
    <row r="4794" spans="6:7" x14ac:dyDescent="0.2">
      <c r="F4794" s="591">
        <v>4785</v>
      </c>
      <c r="G4794" s="420">
        <f t="shared" ca="1" si="82"/>
        <v>-7.6175452219389511E-2</v>
      </c>
    </row>
    <row r="4795" spans="6:7" x14ac:dyDescent="0.2">
      <c r="F4795" s="591">
        <v>4786</v>
      </c>
      <c r="G4795" s="420">
        <f t="shared" ca="1" si="82"/>
        <v>-0.13072716070338636</v>
      </c>
    </row>
    <row r="4796" spans="6:7" x14ac:dyDescent="0.2">
      <c r="F4796" s="591">
        <v>4787</v>
      </c>
      <c r="G4796" s="420">
        <f t="shared" ca="1" si="82"/>
        <v>3.6664511755769603E-2</v>
      </c>
    </row>
    <row r="4797" spans="6:7" x14ac:dyDescent="0.2">
      <c r="F4797" s="591">
        <v>4788</v>
      </c>
      <c r="G4797" s="420">
        <f t="shared" ca="1" si="82"/>
        <v>0.11522678066095801</v>
      </c>
    </row>
    <row r="4798" spans="6:7" x14ac:dyDescent="0.2">
      <c r="F4798" s="591">
        <v>4789</v>
      </c>
      <c r="G4798" s="420">
        <f t="shared" ca="1" si="82"/>
        <v>-3.5555704768657367E-2</v>
      </c>
    </row>
    <row r="4799" spans="6:7" x14ac:dyDescent="0.2">
      <c r="F4799" s="591">
        <v>4790</v>
      </c>
      <c r="G4799" s="420">
        <f t="shared" ca="1" si="82"/>
        <v>7.4733327779684347E-2</v>
      </c>
    </row>
    <row r="4800" spans="6:7" x14ac:dyDescent="0.2">
      <c r="F4800" s="591">
        <v>4791</v>
      </c>
      <c r="G4800" s="420">
        <f t="shared" ca="1" si="82"/>
        <v>-4.4415769798375263E-2</v>
      </c>
    </row>
    <row r="4801" spans="6:7" x14ac:dyDescent="0.2">
      <c r="F4801" s="591">
        <v>4792</v>
      </c>
      <c r="G4801" s="420">
        <f t="shared" ca="1" si="82"/>
        <v>7.7698437046650722E-3</v>
      </c>
    </row>
    <row r="4802" spans="6:7" x14ac:dyDescent="0.2">
      <c r="F4802" s="591">
        <v>4793</v>
      </c>
      <c r="G4802" s="420">
        <f t="shared" ca="1" si="82"/>
        <v>-0.11197691629650532</v>
      </c>
    </row>
    <row r="4803" spans="6:7" x14ac:dyDescent="0.2">
      <c r="F4803" s="591">
        <v>4794</v>
      </c>
      <c r="G4803" s="420">
        <f t="shared" ca="1" si="82"/>
        <v>-1.8181534471382824E-3</v>
      </c>
    </row>
    <row r="4804" spans="6:7" x14ac:dyDescent="0.2">
      <c r="F4804" s="591">
        <v>4795</v>
      </c>
      <c r="G4804" s="420">
        <f t="shared" ca="1" si="82"/>
        <v>4.354920334008372E-2</v>
      </c>
    </row>
    <row r="4805" spans="6:7" x14ac:dyDescent="0.2">
      <c r="F4805" s="591">
        <v>4796</v>
      </c>
      <c r="G4805" s="420">
        <f t="shared" ca="1" si="82"/>
        <v>-3.9082058861054328E-2</v>
      </c>
    </row>
    <row r="4806" spans="6:7" x14ac:dyDescent="0.2">
      <c r="F4806" s="591">
        <v>4797</v>
      </c>
      <c r="G4806" s="420">
        <f t="shared" ca="1" si="82"/>
        <v>-7.8704576095191117E-2</v>
      </c>
    </row>
    <row r="4807" spans="6:7" x14ac:dyDescent="0.2">
      <c r="F4807" s="591">
        <v>4798</v>
      </c>
      <c r="G4807" s="420">
        <f t="shared" ca="1" si="82"/>
        <v>-1.1921220937588718E-2</v>
      </c>
    </row>
    <row r="4808" spans="6:7" x14ac:dyDescent="0.2">
      <c r="F4808" s="591">
        <v>4799</v>
      </c>
      <c r="G4808" s="420">
        <f t="shared" ca="1" si="82"/>
        <v>-3.359395054382032E-2</v>
      </c>
    </row>
    <row r="4809" spans="6:7" x14ac:dyDescent="0.2">
      <c r="F4809" s="591">
        <v>4800</v>
      </c>
      <c r="G4809" s="420">
        <f t="shared" ca="1" si="82"/>
        <v>3.6105309627916596E-2</v>
      </c>
    </row>
    <row r="4810" spans="6:7" x14ac:dyDescent="0.2">
      <c r="F4810" s="591">
        <v>4801</v>
      </c>
      <c r="G4810" s="420">
        <f t="shared" ca="1" si="82"/>
        <v>-1.2680940903439859E-2</v>
      </c>
    </row>
    <row r="4811" spans="6:7" x14ac:dyDescent="0.2">
      <c r="F4811" s="591">
        <v>4802</v>
      </c>
      <c r="G4811" s="420">
        <f t="shared" ref="G4811:G4874" ca="1" si="83">_xlfn.NORM.INV(RAND(), $M$11,$M$12)</f>
        <v>9.2789948297197465E-3</v>
      </c>
    </row>
    <row r="4812" spans="6:7" x14ac:dyDescent="0.2">
      <c r="F4812" s="591">
        <v>4803</v>
      </c>
      <c r="G4812" s="420">
        <f t="shared" ca="1" si="83"/>
        <v>-7.4551858299214888E-2</v>
      </c>
    </row>
    <row r="4813" spans="6:7" x14ac:dyDescent="0.2">
      <c r="F4813" s="591">
        <v>4804</v>
      </c>
      <c r="G4813" s="420">
        <f t="shared" ca="1" si="83"/>
        <v>1.6409785424178223E-2</v>
      </c>
    </row>
    <row r="4814" spans="6:7" x14ac:dyDescent="0.2">
      <c r="F4814" s="591">
        <v>4805</v>
      </c>
      <c r="G4814" s="420">
        <f t="shared" ca="1" si="83"/>
        <v>0.17469522845390342</v>
      </c>
    </row>
    <row r="4815" spans="6:7" x14ac:dyDescent="0.2">
      <c r="F4815" s="591">
        <v>4806</v>
      </c>
      <c r="G4815" s="420">
        <f t="shared" ca="1" si="83"/>
        <v>-8.3755195684531422E-2</v>
      </c>
    </row>
    <row r="4816" spans="6:7" x14ac:dyDescent="0.2">
      <c r="F4816" s="591">
        <v>4807</v>
      </c>
      <c r="G4816" s="420">
        <f t="shared" ca="1" si="83"/>
        <v>7.5004534051191368E-2</v>
      </c>
    </row>
    <row r="4817" spans="6:7" x14ac:dyDescent="0.2">
      <c r="F4817" s="591">
        <v>4808</v>
      </c>
      <c r="G4817" s="420">
        <f t="shared" ca="1" si="83"/>
        <v>1.7176610059475367E-2</v>
      </c>
    </row>
    <row r="4818" spans="6:7" x14ac:dyDescent="0.2">
      <c r="F4818" s="591">
        <v>4809</v>
      </c>
      <c r="G4818" s="420">
        <f t="shared" ca="1" si="83"/>
        <v>-5.6810108340807144E-3</v>
      </c>
    </row>
    <row r="4819" spans="6:7" x14ac:dyDescent="0.2">
      <c r="F4819" s="591">
        <v>4810</v>
      </c>
      <c r="G4819" s="420">
        <f t="shared" ca="1" si="83"/>
        <v>3.0084064098913694E-2</v>
      </c>
    </row>
    <row r="4820" spans="6:7" x14ac:dyDescent="0.2">
      <c r="F4820" s="591">
        <v>4811</v>
      </c>
      <c r="G4820" s="420">
        <f t="shared" ca="1" si="83"/>
        <v>7.2758558241302583E-3</v>
      </c>
    </row>
    <row r="4821" spans="6:7" x14ac:dyDescent="0.2">
      <c r="F4821" s="591">
        <v>4812</v>
      </c>
      <c r="G4821" s="420">
        <f t="shared" ca="1" si="83"/>
        <v>-3.728327709871726E-2</v>
      </c>
    </row>
    <row r="4822" spans="6:7" x14ac:dyDescent="0.2">
      <c r="F4822" s="591">
        <v>4813</v>
      </c>
      <c r="G4822" s="420">
        <f t="shared" ca="1" si="83"/>
        <v>7.583535110129451E-2</v>
      </c>
    </row>
    <row r="4823" spans="6:7" x14ac:dyDescent="0.2">
      <c r="F4823" s="591">
        <v>4814</v>
      </c>
      <c r="G4823" s="420">
        <f t="shared" ca="1" si="83"/>
        <v>-1.1648800008004091E-2</v>
      </c>
    </row>
    <row r="4824" spans="6:7" x14ac:dyDescent="0.2">
      <c r="F4824" s="591">
        <v>4815</v>
      </c>
      <c r="G4824" s="420">
        <f t="shared" ca="1" si="83"/>
        <v>2.8628207827051663E-2</v>
      </c>
    </row>
    <row r="4825" spans="6:7" x14ac:dyDescent="0.2">
      <c r="F4825" s="591">
        <v>4816</v>
      </c>
      <c r="G4825" s="420">
        <f t="shared" ca="1" si="83"/>
        <v>-3.2445835807759102E-2</v>
      </c>
    </row>
    <row r="4826" spans="6:7" x14ac:dyDescent="0.2">
      <c r="F4826" s="591">
        <v>4817</v>
      </c>
      <c r="G4826" s="420">
        <f t="shared" ca="1" si="83"/>
        <v>-2.1734587524146535E-2</v>
      </c>
    </row>
    <row r="4827" spans="6:7" x14ac:dyDescent="0.2">
      <c r="F4827" s="591">
        <v>4818</v>
      </c>
      <c r="G4827" s="420">
        <f t="shared" ca="1" si="83"/>
        <v>-6.3148254694723308E-2</v>
      </c>
    </row>
    <row r="4828" spans="6:7" x14ac:dyDescent="0.2">
      <c r="F4828" s="591">
        <v>4819</v>
      </c>
      <c r="G4828" s="420">
        <f t="shared" ca="1" si="83"/>
        <v>-3.3936260847230296E-2</v>
      </c>
    </row>
    <row r="4829" spans="6:7" x14ac:dyDescent="0.2">
      <c r="F4829" s="591">
        <v>4820</v>
      </c>
      <c r="G4829" s="420">
        <f t="shared" ca="1" si="83"/>
        <v>2.9615541127680844E-2</v>
      </c>
    </row>
    <row r="4830" spans="6:7" x14ac:dyDescent="0.2">
      <c r="F4830" s="591">
        <v>4821</v>
      </c>
      <c r="G4830" s="420">
        <f t="shared" ca="1" si="83"/>
        <v>2.3080650066546332E-2</v>
      </c>
    </row>
    <row r="4831" spans="6:7" x14ac:dyDescent="0.2">
      <c r="F4831" s="591">
        <v>4822</v>
      </c>
      <c r="G4831" s="420">
        <f t="shared" ca="1" si="83"/>
        <v>-1.4790420410977011E-2</v>
      </c>
    </row>
    <row r="4832" spans="6:7" x14ac:dyDescent="0.2">
      <c r="F4832" s="591">
        <v>4823</v>
      </c>
      <c r="G4832" s="420">
        <f t="shared" ca="1" si="83"/>
        <v>8.2734387917941896E-2</v>
      </c>
    </row>
    <row r="4833" spans="6:7" x14ac:dyDescent="0.2">
      <c r="F4833" s="591">
        <v>4824</v>
      </c>
      <c r="G4833" s="420">
        <f t="shared" ca="1" si="83"/>
        <v>-9.7758694340705457E-2</v>
      </c>
    </row>
    <row r="4834" spans="6:7" x14ac:dyDescent="0.2">
      <c r="F4834" s="591">
        <v>4825</v>
      </c>
      <c r="G4834" s="420">
        <f t="shared" ca="1" si="83"/>
        <v>3.2581767030921811E-2</v>
      </c>
    </row>
    <row r="4835" spans="6:7" x14ac:dyDescent="0.2">
      <c r="F4835" s="591">
        <v>4826</v>
      </c>
      <c r="G4835" s="420">
        <f t="shared" ca="1" si="83"/>
        <v>-4.1327521534156419E-2</v>
      </c>
    </row>
    <row r="4836" spans="6:7" x14ac:dyDescent="0.2">
      <c r="F4836" s="591">
        <v>4827</v>
      </c>
      <c r="G4836" s="420">
        <f t="shared" ca="1" si="83"/>
        <v>-1.9474711514000091E-2</v>
      </c>
    </row>
    <row r="4837" spans="6:7" x14ac:dyDescent="0.2">
      <c r="F4837" s="591">
        <v>4828</v>
      </c>
      <c r="G4837" s="420">
        <f t="shared" ca="1" si="83"/>
        <v>5.1434130376074569E-2</v>
      </c>
    </row>
    <row r="4838" spans="6:7" x14ac:dyDescent="0.2">
      <c r="F4838" s="591">
        <v>4829</v>
      </c>
      <c r="G4838" s="420">
        <f t="shared" ca="1" si="83"/>
        <v>-8.8065849821090114E-2</v>
      </c>
    </row>
    <row r="4839" spans="6:7" x14ac:dyDescent="0.2">
      <c r="F4839" s="591">
        <v>4830</v>
      </c>
      <c r="G4839" s="420">
        <f t="shared" ca="1" si="83"/>
        <v>-0.11650484083727559</v>
      </c>
    </row>
    <row r="4840" spans="6:7" x14ac:dyDescent="0.2">
      <c r="F4840" s="591">
        <v>4831</v>
      </c>
      <c r="G4840" s="420">
        <f t="shared" ca="1" si="83"/>
        <v>5.332692286055438E-3</v>
      </c>
    </row>
    <row r="4841" spans="6:7" x14ac:dyDescent="0.2">
      <c r="F4841" s="591">
        <v>4832</v>
      </c>
      <c r="G4841" s="420">
        <f t="shared" ca="1" si="83"/>
        <v>-7.2481533216137539E-2</v>
      </c>
    </row>
    <row r="4842" spans="6:7" x14ac:dyDescent="0.2">
      <c r="F4842" s="591">
        <v>4833</v>
      </c>
      <c r="G4842" s="420">
        <f t="shared" ca="1" si="83"/>
        <v>9.188250643101796E-2</v>
      </c>
    </row>
    <row r="4843" spans="6:7" x14ac:dyDescent="0.2">
      <c r="F4843" s="591">
        <v>4834</v>
      </c>
      <c r="G4843" s="420">
        <f t="shared" ca="1" si="83"/>
        <v>1.2199573197413847E-2</v>
      </c>
    </row>
    <row r="4844" spans="6:7" x14ac:dyDescent="0.2">
      <c r="F4844" s="591">
        <v>4835</v>
      </c>
      <c r="G4844" s="420">
        <f t="shared" ca="1" si="83"/>
        <v>9.3282803390103183E-2</v>
      </c>
    </row>
    <row r="4845" spans="6:7" x14ac:dyDescent="0.2">
      <c r="F4845" s="591">
        <v>4836</v>
      </c>
      <c r="G4845" s="420">
        <f t="shared" ca="1" si="83"/>
        <v>-8.6231502551240777E-3</v>
      </c>
    </row>
    <row r="4846" spans="6:7" x14ac:dyDescent="0.2">
      <c r="F4846" s="591">
        <v>4837</v>
      </c>
      <c r="G4846" s="420">
        <f t="shared" ca="1" si="83"/>
        <v>0.1410774377939904</v>
      </c>
    </row>
    <row r="4847" spans="6:7" x14ac:dyDescent="0.2">
      <c r="F4847" s="591">
        <v>4838</v>
      </c>
      <c r="G4847" s="420">
        <f t="shared" ca="1" si="83"/>
        <v>0.10823176371731884</v>
      </c>
    </row>
    <row r="4848" spans="6:7" x14ac:dyDescent="0.2">
      <c r="F4848" s="591">
        <v>4839</v>
      </c>
      <c r="G4848" s="420">
        <f t="shared" ca="1" si="83"/>
        <v>-1.3084776746291202E-2</v>
      </c>
    </row>
    <row r="4849" spans="6:7" x14ac:dyDescent="0.2">
      <c r="F4849" s="591">
        <v>4840</v>
      </c>
      <c r="G4849" s="420">
        <f t="shared" ca="1" si="83"/>
        <v>5.860907621988877E-2</v>
      </c>
    </row>
    <row r="4850" spans="6:7" x14ac:dyDescent="0.2">
      <c r="F4850" s="591">
        <v>4841</v>
      </c>
      <c r="G4850" s="420">
        <f t="shared" ca="1" si="83"/>
        <v>-8.7293009533765085E-3</v>
      </c>
    </row>
    <row r="4851" spans="6:7" x14ac:dyDescent="0.2">
      <c r="F4851" s="591">
        <v>4842</v>
      </c>
      <c r="G4851" s="420">
        <f t="shared" ca="1" si="83"/>
        <v>-4.0911873936450807E-2</v>
      </c>
    </row>
    <row r="4852" spans="6:7" x14ac:dyDescent="0.2">
      <c r="F4852" s="591">
        <v>4843</v>
      </c>
      <c r="G4852" s="420">
        <f t="shared" ca="1" si="83"/>
        <v>-3.4112322895555755E-2</v>
      </c>
    </row>
    <row r="4853" spans="6:7" x14ac:dyDescent="0.2">
      <c r="F4853" s="591">
        <v>4844</v>
      </c>
      <c r="G4853" s="420">
        <f t="shared" ca="1" si="83"/>
        <v>3.3707636712186212E-2</v>
      </c>
    </row>
    <row r="4854" spans="6:7" x14ac:dyDescent="0.2">
      <c r="F4854" s="591">
        <v>4845</v>
      </c>
      <c r="G4854" s="420">
        <f t="shared" ca="1" si="83"/>
        <v>-4.9227519423857655E-2</v>
      </c>
    </row>
    <row r="4855" spans="6:7" x14ac:dyDescent="0.2">
      <c r="F4855" s="591">
        <v>4846</v>
      </c>
      <c r="G4855" s="420">
        <f t="shared" ca="1" si="83"/>
        <v>2.0061798842416843E-2</v>
      </c>
    </row>
    <row r="4856" spans="6:7" x14ac:dyDescent="0.2">
      <c r="F4856" s="591">
        <v>4847</v>
      </c>
      <c r="G4856" s="420">
        <f t="shared" ca="1" si="83"/>
        <v>2.9934054156119091E-2</v>
      </c>
    </row>
    <row r="4857" spans="6:7" x14ac:dyDescent="0.2">
      <c r="F4857" s="591">
        <v>4848</v>
      </c>
      <c r="G4857" s="420">
        <f t="shared" ca="1" si="83"/>
        <v>5.4520780764078416E-2</v>
      </c>
    </row>
    <row r="4858" spans="6:7" x14ac:dyDescent="0.2">
      <c r="F4858" s="591">
        <v>4849</v>
      </c>
      <c r="G4858" s="420">
        <f t="shared" ca="1" si="83"/>
        <v>2.8167671357839926E-2</v>
      </c>
    </row>
    <row r="4859" spans="6:7" x14ac:dyDescent="0.2">
      <c r="F4859" s="591">
        <v>4850</v>
      </c>
      <c r="G4859" s="420">
        <f t="shared" ca="1" si="83"/>
        <v>0.11547693843464962</v>
      </c>
    </row>
    <row r="4860" spans="6:7" x14ac:dyDescent="0.2">
      <c r="F4860" s="591">
        <v>4851</v>
      </c>
      <c r="G4860" s="420">
        <f t="shared" ca="1" si="83"/>
        <v>2.4582074892867668E-2</v>
      </c>
    </row>
    <row r="4861" spans="6:7" x14ac:dyDescent="0.2">
      <c r="F4861" s="591">
        <v>4852</v>
      </c>
      <c r="G4861" s="420">
        <f t="shared" ca="1" si="83"/>
        <v>3.8654537770684172E-2</v>
      </c>
    </row>
    <row r="4862" spans="6:7" x14ac:dyDescent="0.2">
      <c r="F4862" s="591">
        <v>4853</v>
      </c>
      <c r="G4862" s="420">
        <f t="shared" ca="1" si="83"/>
        <v>-3.474811211869909E-2</v>
      </c>
    </row>
    <row r="4863" spans="6:7" x14ac:dyDescent="0.2">
      <c r="F4863" s="591">
        <v>4854</v>
      </c>
      <c r="G4863" s="420">
        <f t="shared" ca="1" si="83"/>
        <v>-7.1207197419243834E-2</v>
      </c>
    </row>
    <row r="4864" spans="6:7" x14ac:dyDescent="0.2">
      <c r="F4864" s="591">
        <v>4855</v>
      </c>
      <c r="G4864" s="420">
        <f t="shared" ca="1" si="83"/>
        <v>6.3695340690456709E-2</v>
      </c>
    </row>
    <row r="4865" spans="6:7" x14ac:dyDescent="0.2">
      <c r="F4865" s="591">
        <v>4856</v>
      </c>
      <c r="G4865" s="420">
        <f t="shared" ca="1" si="83"/>
        <v>2.3297710656126121E-3</v>
      </c>
    </row>
    <row r="4866" spans="6:7" x14ac:dyDescent="0.2">
      <c r="F4866" s="591">
        <v>4857</v>
      </c>
      <c r="G4866" s="420">
        <f t="shared" ca="1" si="83"/>
        <v>2.0253109075760757E-2</v>
      </c>
    </row>
    <row r="4867" spans="6:7" x14ac:dyDescent="0.2">
      <c r="F4867" s="591">
        <v>4858</v>
      </c>
      <c r="G4867" s="420">
        <f t="shared" ca="1" si="83"/>
        <v>-7.0165734568135338E-2</v>
      </c>
    </row>
    <row r="4868" spans="6:7" x14ac:dyDescent="0.2">
      <c r="F4868" s="591">
        <v>4859</v>
      </c>
      <c r="G4868" s="420">
        <f t="shared" ca="1" si="83"/>
        <v>-2.0318451234836287E-3</v>
      </c>
    </row>
    <row r="4869" spans="6:7" x14ac:dyDescent="0.2">
      <c r="F4869" s="591">
        <v>4860</v>
      </c>
      <c r="G4869" s="420">
        <f t="shared" ca="1" si="83"/>
        <v>-7.0955524584472768E-2</v>
      </c>
    </row>
    <row r="4870" spans="6:7" x14ac:dyDescent="0.2">
      <c r="F4870" s="591">
        <v>4861</v>
      </c>
      <c r="G4870" s="420">
        <f t="shared" ca="1" si="83"/>
        <v>-5.1898305780544648E-3</v>
      </c>
    </row>
    <row r="4871" spans="6:7" x14ac:dyDescent="0.2">
      <c r="F4871" s="591">
        <v>4862</v>
      </c>
      <c r="G4871" s="420">
        <f t="shared" ca="1" si="83"/>
        <v>7.1003247048378113E-2</v>
      </c>
    </row>
    <row r="4872" spans="6:7" x14ac:dyDescent="0.2">
      <c r="F4872" s="591">
        <v>4863</v>
      </c>
      <c r="G4872" s="420">
        <f t="shared" ca="1" si="83"/>
        <v>0.11386508896160312</v>
      </c>
    </row>
    <row r="4873" spans="6:7" x14ac:dyDescent="0.2">
      <c r="F4873" s="591">
        <v>4864</v>
      </c>
      <c r="G4873" s="420">
        <f t="shared" ca="1" si="83"/>
        <v>-1.5420614393611635E-2</v>
      </c>
    </row>
    <row r="4874" spans="6:7" x14ac:dyDescent="0.2">
      <c r="F4874" s="591">
        <v>4865</v>
      </c>
      <c r="G4874" s="420">
        <f t="shared" ca="1" si="83"/>
        <v>3.7143660957159527E-2</v>
      </c>
    </row>
    <row r="4875" spans="6:7" x14ac:dyDescent="0.2">
      <c r="F4875" s="591">
        <v>4866</v>
      </c>
      <c r="G4875" s="420">
        <f t="shared" ref="G4875:G4938" ca="1" si="84">_xlfn.NORM.INV(RAND(), $M$11,$M$12)</f>
        <v>-6.8964058496960315E-2</v>
      </c>
    </row>
    <row r="4876" spans="6:7" x14ac:dyDescent="0.2">
      <c r="F4876" s="591">
        <v>4867</v>
      </c>
      <c r="G4876" s="420">
        <f t="shared" ca="1" si="84"/>
        <v>-8.5987709585044467E-2</v>
      </c>
    </row>
    <row r="4877" spans="6:7" x14ac:dyDescent="0.2">
      <c r="F4877" s="591">
        <v>4868</v>
      </c>
      <c r="G4877" s="420">
        <f t="shared" ca="1" si="84"/>
        <v>0.1331674120117981</v>
      </c>
    </row>
    <row r="4878" spans="6:7" x14ac:dyDescent="0.2">
      <c r="F4878" s="591">
        <v>4869</v>
      </c>
      <c r="G4878" s="420">
        <f t="shared" ca="1" si="84"/>
        <v>3.0086170934975648E-2</v>
      </c>
    </row>
    <row r="4879" spans="6:7" x14ac:dyDescent="0.2">
      <c r="F4879" s="591">
        <v>4870</v>
      </c>
      <c r="G4879" s="420">
        <f t="shared" ca="1" si="84"/>
        <v>4.7442052151779324E-2</v>
      </c>
    </row>
    <row r="4880" spans="6:7" x14ac:dyDescent="0.2">
      <c r="F4880" s="591">
        <v>4871</v>
      </c>
      <c r="G4880" s="420">
        <f t="shared" ca="1" si="84"/>
        <v>-0.10155783677785331</v>
      </c>
    </row>
    <row r="4881" spans="6:7" x14ac:dyDescent="0.2">
      <c r="F4881" s="591">
        <v>4872</v>
      </c>
      <c r="G4881" s="420">
        <f t="shared" ca="1" si="84"/>
        <v>7.8910274933917293E-2</v>
      </c>
    </row>
    <row r="4882" spans="6:7" x14ac:dyDescent="0.2">
      <c r="F4882" s="591">
        <v>4873</v>
      </c>
      <c r="G4882" s="420">
        <f t="shared" ca="1" si="84"/>
        <v>5.5667882593005577E-2</v>
      </c>
    </row>
    <row r="4883" spans="6:7" x14ac:dyDescent="0.2">
      <c r="F4883" s="591">
        <v>4874</v>
      </c>
      <c r="G4883" s="420">
        <f t="shared" ca="1" si="84"/>
        <v>6.9539288001913965E-3</v>
      </c>
    </row>
    <row r="4884" spans="6:7" x14ac:dyDescent="0.2">
      <c r="F4884" s="591">
        <v>4875</v>
      </c>
      <c r="G4884" s="420">
        <f t="shared" ca="1" si="84"/>
        <v>-2.0260327777627162E-2</v>
      </c>
    </row>
    <row r="4885" spans="6:7" x14ac:dyDescent="0.2">
      <c r="F4885" s="591">
        <v>4876</v>
      </c>
      <c r="G4885" s="420">
        <f t="shared" ca="1" si="84"/>
        <v>-4.8584537578338374E-2</v>
      </c>
    </row>
    <row r="4886" spans="6:7" x14ac:dyDescent="0.2">
      <c r="F4886" s="591">
        <v>4877</v>
      </c>
      <c r="G4886" s="420">
        <f t="shared" ca="1" si="84"/>
        <v>-7.3533675912098861E-3</v>
      </c>
    </row>
    <row r="4887" spans="6:7" x14ac:dyDescent="0.2">
      <c r="F4887" s="591">
        <v>4878</v>
      </c>
      <c r="G4887" s="420">
        <f t="shared" ca="1" si="84"/>
        <v>8.6500833389699355E-2</v>
      </c>
    </row>
    <row r="4888" spans="6:7" x14ac:dyDescent="0.2">
      <c r="F4888" s="591">
        <v>4879</v>
      </c>
      <c r="G4888" s="420">
        <f t="shared" ca="1" si="84"/>
        <v>-1.4212045197368618E-2</v>
      </c>
    </row>
    <row r="4889" spans="6:7" x14ac:dyDescent="0.2">
      <c r="F4889" s="591">
        <v>4880</v>
      </c>
      <c r="G4889" s="420">
        <f t="shared" ca="1" si="84"/>
        <v>-4.6025849757981227E-2</v>
      </c>
    </row>
    <row r="4890" spans="6:7" x14ac:dyDescent="0.2">
      <c r="F4890" s="591">
        <v>4881</v>
      </c>
      <c r="G4890" s="420">
        <f t="shared" ca="1" si="84"/>
        <v>-4.7852076824562481E-2</v>
      </c>
    </row>
    <row r="4891" spans="6:7" x14ac:dyDescent="0.2">
      <c r="F4891" s="591">
        <v>4882</v>
      </c>
      <c r="G4891" s="420">
        <f t="shared" ca="1" si="84"/>
        <v>2.2560362073852605E-2</v>
      </c>
    </row>
    <row r="4892" spans="6:7" x14ac:dyDescent="0.2">
      <c r="F4892" s="591">
        <v>4883</v>
      </c>
      <c r="G4892" s="420">
        <f t="shared" ca="1" si="84"/>
        <v>7.4743208865838736E-3</v>
      </c>
    </row>
    <row r="4893" spans="6:7" x14ac:dyDescent="0.2">
      <c r="F4893" s="591">
        <v>4884</v>
      </c>
      <c r="G4893" s="420">
        <f t="shared" ca="1" si="84"/>
        <v>-7.3391114522816048E-2</v>
      </c>
    </row>
    <row r="4894" spans="6:7" x14ac:dyDescent="0.2">
      <c r="F4894" s="591">
        <v>4885</v>
      </c>
      <c r="G4894" s="420">
        <f t="shared" ca="1" si="84"/>
        <v>3.9276766654308536E-2</v>
      </c>
    </row>
    <row r="4895" spans="6:7" x14ac:dyDescent="0.2">
      <c r="F4895" s="591">
        <v>4886</v>
      </c>
      <c r="G4895" s="420">
        <f t="shared" ca="1" si="84"/>
        <v>-2.7934645699627909E-2</v>
      </c>
    </row>
    <row r="4896" spans="6:7" x14ac:dyDescent="0.2">
      <c r="F4896" s="591">
        <v>4887</v>
      </c>
      <c r="G4896" s="420">
        <f t="shared" ca="1" si="84"/>
        <v>-1.4804138449845954E-2</v>
      </c>
    </row>
    <row r="4897" spans="6:7" x14ac:dyDescent="0.2">
      <c r="F4897" s="591">
        <v>4888</v>
      </c>
      <c r="G4897" s="420">
        <f t="shared" ca="1" si="84"/>
        <v>1.4313139897331364E-2</v>
      </c>
    </row>
    <row r="4898" spans="6:7" x14ac:dyDescent="0.2">
      <c r="F4898" s="591">
        <v>4889</v>
      </c>
      <c r="G4898" s="420">
        <f t="shared" ca="1" si="84"/>
        <v>3.9957132415920991E-2</v>
      </c>
    </row>
    <row r="4899" spans="6:7" x14ac:dyDescent="0.2">
      <c r="F4899" s="591">
        <v>4890</v>
      </c>
      <c r="G4899" s="420">
        <f t="shared" ca="1" si="84"/>
        <v>-2.7046669720675872E-2</v>
      </c>
    </row>
    <row r="4900" spans="6:7" x14ac:dyDescent="0.2">
      <c r="F4900" s="591">
        <v>4891</v>
      </c>
      <c r="G4900" s="420">
        <f t="shared" ca="1" si="84"/>
        <v>8.5724933213131016E-2</v>
      </c>
    </row>
    <row r="4901" spans="6:7" x14ac:dyDescent="0.2">
      <c r="F4901" s="591">
        <v>4892</v>
      </c>
      <c r="G4901" s="420">
        <f t="shared" ca="1" si="84"/>
        <v>4.2732942021224282E-2</v>
      </c>
    </row>
    <row r="4902" spans="6:7" x14ac:dyDescent="0.2">
      <c r="F4902" s="591">
        <v>4893</v>
      </c>
      <c r="G4902" s="420">
        <f t="shared" ca="1" si="84"/>
        <v>1.2752061642981115E-2</v>
      </c>
    </row>
    <row r="4903" spans="6:7" x14ac:dyDescent="0.2">
      <c r="F4903" s="591">
        <v>4894</v>
      </c>
      <c r="G4903" s="420">
        <f t="shared" ca="1" si="84"/>
        <v>0.16157529552503214</v>
      </c>
    </row>
    <row r="4904" spans="6:7" x14ac:dyDescent="0.2">
      <c r="F4904" s="591">
        <v>4895</v>
      </c>
      <c r="G4904" s="420">
        <f t="shared" ca="1" si="84"/>
        <v>0.19361625004919289</v>
      </c>
    </row>
    <row r="4905" spans="6:7" x14ac:dyDescent="0.2">
      <c r="F4905" s="591">
        <v>4896</v>
      </c>
      <c r="G4905" s="420">
        <f t="shared" ca="1" si="84"/>
        <v>-6.4108573744002015E-2</v>
      </c>
    </row>
    <row r="4906" spans="6:7" x14ac:dyDescent="0.2">
      <c r="F4906" s="591">
        <v>4897</v>
      </c>
      <c r="G4906" s="420">
        <f t="shared" ca="1" si="84"/>
        <v>3.1664814975333661E-2</v>
      </c>
    </row>
    <row r="4907" spans="6:7" x14ac:dyDescent="0.2">
      <c r="F4907" s="591">
        <v>4898</v>
      </c>
      <c r="G4907" s="420">
        <f t="shared" ca="1" si="84"/>
        <v>4.2424986942294705E-2</v>
      </c>
    </row>
    <row r="4908" spans="6:7" x14ac:dyDescent="0.2">
      <c r="F4908" s="591">
        <v>4899</v>
      </c>
      <c r="G4908" s="420">
        <f t="shared" ca="1" si="84"/>
        <v>-2.0693225875801084E-2</v>
      </c>
    </row>
    <row r="4909" spans="6:7" x14ac:dyDescent="0.2">
      <c r="F4909" s="591">
        <v>4900</v>
      </c>
      <c r="G4909" s="420">
        <f t="shared" ca="1" si="84"/>
        <v>-6.0088979732260114E-2</v>
      </c>
    </row>
    <row r="4910" spans="6:7" x14ac:dyDescent="0.2">
      <c r="F4910" s="591">
        <v>4901</v>
      </c>
      <c r="G4910" s="420">
        <f t="shared" ca="1" si="84"/>
        <v>1.821808164427683E-2</v>
      </c>
    </row>
    <row r="4911" spans="6:7" x14ac:dyDescent="0.2">
      <c r="F4911" s="591">
        <v>4902</v>
      </c>
      <c r="G4911" s="420">
        <f t="shared" ca="1" si="84"/>
        <v>-4.1132727845344066E-2</v>
      </c>
    </row>
    <row r="4912" spans="6:7" x14ac:dyDescent="0.2">
      <c r="F4912" s="591">
        <v>4903</v>
      </c>
      <c r="G4912" s="420">
        <f t="shared" ca="1" si="84"/>
        <v>8.0151823137879045E-3</v>
      </c>
    </row>
    <row r="4913" spans="6:7" x14ac:dyDescent="0.2">
      <c r="F4913" s="591">
        <v>4904</v>
      </c>
      <c r="G4913" s="420">
        <f t="shared" ca="1" si="84"/>
        <v>-3.2906385093767643E-2</v>
      </c>
    </row>
    <row r="4914" spans="6:7" x14ac:dyDescent="0.2">
      <c r="F4914" s="591">
        <v>4905</v>
      </c>
      <c r="G4914" s="420">
        <f t="shared" ca="1" si="84"/>
        <v>-0.14964189301717978</v>
      </c>
    </row>
    <row r="4915" spans="6:7" x14ac:dyDescent="0.2">
      <c r="F4915" s="591">
        <v>4906</v>
      </c>
      <c r="G4915" s="420">
        <f t="shared" ca="1" si="84"/>
        <v>-6.4682622141038773E-2</v>
      </c>
    </row>
    <row r="4916" spans="6:7" x14ac:dyDescent="0.2">
      <c r="F4916" s="591">
        <v>4907</v>
      </c>
      <c r="G4916" s="420">
        <f t="shared" ca="1" si="84"/>
        <v>-5.7603711250393097E-2</v>
      </c>
    </row>
    <row r="4917" spans="6:7" x14ac:dyDescent="0.2">
      <c r="F4917" s="591">
        <v>4908</v>
      </c>
      <c r="G4917" s="420">
        <f t="shared" ca="1" si="84"/>
        <v>-5.6310929494649914E-2</v>
      </c>
    </row>
    <row r="4918" spans="6:7" x14ac:dyDescent="0.2">
      <c r="F4918" s="591">
        <v>4909</v>
      </c>
      <c r="G4918" s="420">
        <f t="shared" ca="1" si="84"/>
        <v>6.2612395089012826E-2</v>
      </c>
    </row>
    <row r="4919" spans="6:7" x14ac:dyDescent="0.2">
      <c r="F4919" s="591">
        <v>4910</v>
      </c>
      <c r="G4919" s="420">
        <f t="shared" ca="1" si="84"/>
        <v>4.8452025986657793E-2</v>
      </c>
    </row>
    <row r="4920" spans="6:7" x14ac:dyDescent="0.2">
      <c r="F4920" s="591">
        <v>4911</v>
      </c>
      <c r="G4920" s="420">
        <f t="shared" ca="1" si="84"/>
        <v>7.8150971941978523E-2</v>
      </c>
    </row>
    <row r="4921" spans="6:7" x14ac:dyDescent="0.2">
      <c r="F4921" s="591">
        <v>4912</v>
      </c>
      <c r="G4921" s="420">
        <f t="shared" ca="1" si="84"/>
        <v>8.0550257159955979E-2</v>
      </c>
    </row>
    <row r="4922" spans="6:7" x14ac:dyDescent="0.2">
      <c r="F4922" s="591">
        <v>4913</v>
      </c>
      <c r="G4922" s="420">
        <f t="shared" ca="1" si="84"/>
        <v>-0.13937851474030119</v>
      </c>
    </row>
    <row r="4923" spans="6:7" x14ac:dyDescent="0.2">
      <c r="F4923" s="591">
        <v>4914</v>
      </c>
      <c r="G4923" s="420">
        <f t="shared" ca="1" si="84"/>
        <v>-0.12838089478883405</v>
      </c>
    </row>
    <row r="4924" spans="6:7" x14ac:dyDescent="0.2">
      <c r="F4924" s="591">
        <v>4915</v>
      </c>
      <c r="G4924" s="420">
        <f t="shared" ca="1" si="84"/>
        <v>-1.9425413523020189E-2</v>
      </c>
    </row>
    <row r="4925" spans="6:7" x14ac:dyDescent="0.2">
      <c r="F4925" s="591">
        <v>4916</v>
      </c>
      <c r="G4925" s="420">
        <f t="shared" ca="1" si="84"/>
        <v>-6.0553988693268126E-2</v>
      </c>
    </row>
    <row r="4926" spans="6:7" x14ac:dyDescent="0.2">
      <c r="F4926" s="591">
        <v>4917</v>
      </c>
      <c r="G4926" s="420">
        <f t="shared" ca="1" si="84"/>
        <v>-5.1920777277573313E-2</v>
      </c>
    </row>
    <row r="4927" spans="6:7" x14ac:dyDescent="0.2">
      <c r="F4927" s="591">
        <v>4918</v>
      </c>
      <c r="G4927" s="420">
        <f t="shared" ca="1" si="84"/>
        <v>3.8480870926677832E-2</v>
      </c>
    </row>
    <row r="4928" spans="6:7" x14ac:dyDescent="0.2">
      <c r="F4928" s="591">
        <v>4919</v>
      </c>
      <c r="G4928" s="420">
        <f t="shared" ca="1" si="84"/>
        <v>5.0350362462638673E-2</v>
      </c>
    </row>
    <row r="4929" spans="6:7" x14ac:dyDescent="0.2">
      <c r="F4929" s="591">
        <v>4920</v>
      </c>
      <c r="G4929" s="420">
        <f t="shared" ca="1" si="84"/>
        <v>-4.2546520458391066E-2</v>
      </c>
    </row>
    <row r="4930" spans="6:7" x14ac:dyDescent="0.2">
      <c r="F4930" s="591">
        <v>4921</v>
      </c>
      <c r="G4930" s="420">
        <f t="shared" ca="1" si="84"/>
        <v>4.0426682647203852E-2</v>
      </c>
    </row>
    <row r="4931" spans="6:7" x14ac:dyDescent="0.2">
      <c r="F4931" s="591">
        <v>4922</v>
      </c>
      <c r="G4931" s="420">
        <f t="shared" ca="1" si="84"/>
        <v>7.8085779940585187E-2</v>
      </c>
    </row>
    <row r="4932" spans="6:7" x14ac:dyDescent="0.2">
      <c r="F4932" s="591">
        <v>4923</v>
      </c>
      <c r="G4932" s="420">
        <f t="shared" ca="1" si="84"/>
        <v>-5.6810647649508578E-2</v>
      </c>
    </row>
    <row r="4933" spans="6:7" x14ac:dyDescent="0.2">
      <c r="F4933" s="591">
        <v>4924</v>
      </c>
      <c r="G4933" s="420">
        <f t="shared" ca="1" si="84"/>
        <v>2.4403930914649624E-2</v>
      </c>
    </row>
    <row r="4934" spans="6:7" x14ac:dyDescent="0.2">
      <c r="F4934" s="591">
        <v>4925</v>
      </c>
      <c r="G4934" s="420">
        <f t="shared" ca="1" si="84"/>
        <v>0.1014059023268805</v>
      </c>
    </row>
    <row r="4935" spans="6:7" x14ac:dyDescent="0.2">
      <c r="F4935" s="591">
        <v>4926</v>
      </c>
      <c r="G4935" s="420">
        <f t="shared" ca="1" si="84"/>
        <v>5.6725723207410629E-4</v>
      </c>
    </row>
    <row r="4936" spans="6:7" x14ac:dyDescent="0.2">
      <c r="F4936" s="591">
        <v>4927</v>
      </c>
      <c r="G4936" s="420">
        <f t="shared" ca="1" si="84"/>
        <v>-7.9765479952128127E-2</v>
      </c>
    </row>
    <row r="4937" spans="6:7" x14ac:dyDescent="0.2">
      <c r="F4937" s="591">
        <v>4928</v>
      </c>
      <c r="G4937" s="420">
        <f t="shared" ca="1" si="84"/>
        <v>4.3069177548673884E-2</v>
      </c>
    </row>
    <row r="4938" spans="6:7" x14ac:dyDescent="0.2">
      <c r="F4938" s="591">
        <v>4929</v>
      </c>
      <c r="G4938" s="420">
        <f t="shared" ca="1" si="84"/>
        <v>-8.9096199085849058E-3</v>
      </c>
    </row>
    <row r="4939" spans="6:7" x14ac:dyDescent="0.2">
      <c r="F4939" s="591">
        <v>4930</v>
      </c>
      <c r="G4939" s="420">
        <f t="shared" ref="G4939:G5002" ca="1" si="85">_xlfn.NORM.INV(RAND(), $M$11,$M$12)</f>
        <v>-3.7284884841556593E-2</v>
      </c>
    </row>
    <row r="4940" spans="6:7" x14ac:dyDescent="0.2">
      <c r="F4940" s="591">
        <v>4931</v>
      </c>
      <c r="G4940" s="420">
        <f t="shared" ca="1" si="85"/>
        <v>9.0784161514412237E-2</v>
      </c>
    </row>
    <row r="4941" spans="6:7" x14ac:dyDescent="0.2">
      <c r="F4941" s="591">
        <v>4932</v>
      </c>
      <c r="G4941" s="420">
        <f t="shared" ca="1" si="85"/>
        <v>-5.9186681589747006E-2</v>
      </c>
    </row>
    <row r="4942" spans="6:7" x14ac:dyDescent="0.2">
      <c r="F4942" s="591">
        <v>4933</v>
      </c>
      <c r="G4942" s="420">
        <f t="shared" ca="1" si="85"/>
        <v>5.3444271694998602E-2</v>
      </c>
    </row>
    <row r="4943" spans="6:7" x14ac:dyDescent="0.2">
      <c r="F4943" s="591">
        <v>4934</v>
      </c>
      <c r="G4943" s="420">
        <f t="shared" ca="1" si="85"/>
        <v>5.1404560719007758E-2</v>
      </c>
    </row>
    <row r="4944" spans="6:7" x14ac:dyDescent="0.2">
      <c r="F4944" s="591">
        <v>4935</v>
      </c>
      <c r="G4944" s="420">
        <f t="shared" ca="1" si="85"/>
        <v>6.3099936106074759E-3</v>
      </c>
    </row>
    <row r="4945" spans="6:7" x14ac:dyDescent="0.2">
      <c r="F4945" s="591">
        <v>4936</v>
      </c>
      <c r="G4945" s="420">
        <f t="shared" ca="1" si="85"/>
        <v>-1.8186192704969784E-2</v>
      </c>
    </row>
    <row r="4946" spans="6:7" x14ac:dyDescent="0.2">
      <c r="F4946" s="591">
        <v>4937</v>
      </c>
      <c r="G4946" s="420">
        <f t="shared" ca="1" si="85"/>
        <v>4.163434138415064E-2</v>
      </c>
    </row>
    <row r="4947" spans="6:7" x14ac:dyDescent="0.2">
      <c r="F4947" s="591">
        <v>4938</v>
      </c>
      <c r="G4947" s="420">
        <f t="shared" ca="1" si="85"/>
        <v>9.3435442702851645E-2</v>
      </c>
    </row>
    <row r="4948" spans="6:7" x14ac:dyDescent="0.2">
      <c r="F4948" s="591">
        <v>4939</v>
      </c>
      <c r="G4948" s="420">
        <f t="shared" ca="1" si="85"/>
        <v>6.3499145900658027E-2</v>
      </c>
    </row>
    <row r="4949" spans="6:7" x14ac:dyDescent="0.2">
      <c r="F4949" s="591">
        <v>4940</v>
      </c>
      <c r="G4949" s="420">
        <f t="shared" ca="1" si="85"/>
        <v>7.1924648084038006E-2</v>
      </c>
    </row>
    <row r="4950" spans="6:7" x14ac:dyDescent="0.2">
      <c r="F4950" s="591">
        <v>4941</v>
      </c>
      <c r="G4950" s="420">
        <f t="shared" ca="1" si="85"/>
        <v>0.10884773020946625</v>
      </c>
    </row>
    <row r="4951" spans="6:7" x14ac:dyDescent="0.2">
      <c r="F4951" s="591">
        <v>4942</v>
      </c>
      <c r="G4951" s="420">
        <f t="shared" ca="1" si="85"/>
        <v>-6.7485687577927E-2</v>
      </c>
    </row>
    <row r="4952" spans="6:7" x14ac:dyDescent="0.2">
      <c r="F4952" s="591">
        <v>4943</v>
      </c>
      <c r="G4952" s="420">
        <f t="shared" ca="1" si="85"/>
        <v>2.0281869113774616E-2</v>
      </c>
    </row>
    <row r="4953" spans="6:7" x14ac:dyDescent="0.2">
      <c r="F4953" s="591">
        <v>4944</v>
      </c>
      <c r="G4953" s="420">
        <f t="shared" ca="1" si="85"/>
        <v>-6.0566189785711155E-2</v>
      </c>
    </row>
    <row r="4954" spans="6:7" x14ac:dyDescent="0.2">
      <c r="F4954" s="591">
        <v>4945</v>
      </c>
      <c r="G4954" s="420">
        <f t="shared" ca="1" si="85"/>
        <v>7.7565589114154149E-2</v>
      </c>
    </row>
    <row r="4955" spans="6:7" x14ac:dyDescent="0.2">
      <c r="F4955" s="591">
        <v>4946</v>
      </c>
      <c r="G4955" s="420">
        <f t="shared" ca="1" si="85"/>
        <v>3.3447313965444606E-5</v>
      </c>
    </row>
    <row r="4956" spans="6:7" x14ac:dyDescent="0.2">
      <c r="F4956" s="591">
        <v>4947</v>
      </c>
      <c r="G4956" s="420">
        <f t="shared" ca="1" si="85"/>
        <v>0.10612873248302107</v>
      </c>
    </row>
    <row r="4957" spans="6:7" x14ac:dyDescent="0.2">
      <c r="F4957" s="591">
        <v>4948</v>
      </c>
      <c r="G4957" s="420">
        <f t="shared" ca="1" si="85"/>
        <v>4.2983042756962369E-3</v>
      </c>
    </row>
    <row r="4958" spans="6:7" x14ac:dyDescent="0.2">
      <c r="F4958" s="591">
        <v>4949</v>
      </c>
      <c r="G4958" s="420">
        <f t="shared" ca="1" si="85"/>
        <v>-9.4837415314495618E-2</v>
      </c>
    </row>
    <row r="4959" spans="6:7" x14ac:dyDescent="0.2">
      <c r="F4959" s="591">
        <v>4950</v>
      </c>
      <c r="G4959" s="420">
        <f t="shared" ca="1" si="85"/>
        <v>-1.0227338537985388E-2</v>
      </c>
    </row>
    <row r="4960" spans="6:7" x14ac:dyDescent="0.2">
      <c r="F4960" s="591">
        <v>4951</v>
      </c>
      <c r="G4960" s="420">
        <f t="shared" ca="1" si="85"/>
        <v>-4.0039558855722079E-2</v>
      </c>
    </row>
    <row r="4961" spans="6:7" x14ac:dyDescent="0.2">
      <c r="F4961" s="591">
        <v>4952</v>
      </c>
      <c r="G4961" s="420">
        <f t="shared" ca="1" si="85"/>
        <v>-3.2370098815270532E-2</v>
      </c>
    </row>
    <row r="4962" spans="6:7" x14ac:dyDescent="0.2">
      <c r="F4962" s="591">
        <v>4953</v>
      </c>
      <c r="G4962" s="420">
        <f t="shared" ca="1" si="85"/>
        <v>1.4499846084028685E-2</v>
      </c>
    </row>
    <row r="4963" spans="6:7" x14ac:dyDescent="0.2">
      <c r="F4963" s="591">
        <v>4954</v>
      </c>
      <c r="G4963" s="420">
        <f t="shared" ca="1" si="85"/>
        <v>1.392311976802673E-2</v>
      </c>
    </row>
    <row r="4964" spans="6:7" x14ac:dyDescent="0.2">
      <c r="F4964" s="591">
        <v>4955</v>
      </c>
      <c r="G4964" s="420">
        <f t="shared" ca="1" si="85"/>
        <v>4.4564492088518509E-2</v>
      </c>
    </row>
    <row r="4965" spans="6:7" x14ac:dyDescent="0.2">
      <c r="F4965" s="591">
        <v>4956</v>
      </c>
      <c r="G4965" s="420">
        <f t="shared" ca="1" si="85"/>
        <v>-1.3277797726779311E-2</v>
      </c>
    </row>
    <row r="4966" spans="6:7" x14ac:dyDescent="0.2">
      <c r="F4966" s="591">
        <v>4957</v>
      </c>
      <c r="G4966" s="420">
        <f t="shared" ca="1" si="85"/>
        <v>-4.5068517762398272E-2</v>
      </c>
    </row>
    <row r="4967" spans="6:7" x14ac:dyDescent="0.2">
      <c r="F4967" s="591">
        <v>4958</v>
      </c>
      <c r="G4967" s="420">
        <f t="shared" ca="1" si="85"/>
        <v>-0.108068536459154</v>
      </c>
    </row>
    <row r="4968" spans="6:7" x14ac:dyDescent="0.2">
      <c r="F4968" s="591">
        <v>4959</v>
      </c>
      <c r="G4968" s="420">
        <f t="shared" ca="1" si="85"/>
        <v>5.0850503468879349E-3</v>
      </c>
    </row>
    <row r="4969" spans="6:7" x14ac:dyDescent="0.2">
      <c r="F4969" s="591">
        <v>4960</v>
      </c>
      <c r="G4969" s="420">
        <f t="shared" ca="1" si="85"/>
        <v>-0.14142772837331494</v>
      </c>
    </row>
    <row r="4970" spans="6:7" x14ac:dyDescent="0.2">
      <c r="F4970" s="591">
        <v>4961</v>
      </c>
      <c r="G4970" s="420">
        <f t="shared" ca="1" si="85"/>
        <v>0.12533844997484553</v>
      </c>
    </row>
    <row r="4971" spans="6:7" x14ac:dyDescent="0.2">
      <c r="F4971" s="591">
        <v>4962</v>
      </c>
      <c r="G4971" s="420">
        <f t="shared" ca="1" si="85"/>
        <v>1.9108894382309165E-2</v>
      </c>
    </row>
    <row r="4972" spans="6:7" x14ac:dyDescent="0.2">
      <c r="F4972" s="591">
        <v>4963</v>
      </c>
      <c r="G4972" s="420">
        <f t="shared" ca="1" si="85"/>
        <v>7.1369295125242524E-2</v>
      </c>
    </row>
    <row r="4973" spans="6:7" x14ac:dyDescent="0.2">
      <c r="F4973" s="591">
        <v>4964</v>
      </c>
      <c r="G4973" s="420">
        <f t="shared" ca="1" si="85"/>
        <v>2.4670132440695429E-3</v>
      </c>
    </row>
    <row r="4974" spans="6:7" x14ac:dyDescent="0.2">
      <c r="F4974" s="591">
        <v>4965</v>
      </c>
      <c r="G4974" s="420">
        <f t="shared" ca="1" si="85"/>
        <v>-0.17262756040035046</v>
      </c>
    </row>
    <row r="4975" spans="6:7" x14ac:dyDescent="0.2">
      <c r="F4975" s="591">
        <v>4966</v>
      </c>
      <c r="G4975" s="420">
        <f t="shared" ca="1" si="85"/>
        <v>9.8073813942117977E-2</v>
      </c>
    </row>
    <row r="4976" spans="6:7" x14ac:dyDescent="0.2">
      <c r="F4976" s="591">
        <v>4967</v>
      </c>
      <c r="G4976" s="420">
        <f t="shared" ca="1" si="85"/>
        <v>1.7481373064119506E-2</v>
      </c>
    </row>
    <row r="4977" spans="6:7" x14ac:dyDescent="0.2">
      <c r="F4977" s="591">
        <v>4968</v>
      </c>
      <c r="G4977" s="420">
        <f t="shared" ca="1" si="85"/>
        <v>6.8496657298571961E-2</v>
      </c>
    </row>
    <row r="4978" spans="6:7" x14ac:dyDescent="0.2">
      <c r="F4978" s="591">
        <v>4969</v>
      </c>
      <c r="G4978" s="420">
        <f t="shared" ca="1" si="85"/>
        <v>6.9273758669340893E-2</v>
      </c>
    </row>
    <row r="4979" spans="6:7" x14ac:dyDescent="0.2">
      <c r="F4979" s="591">
        <v>4970</v>
      </c>
      <c r="G4979" s="420">
        <f t="shared" ca="1" si="85"/>
        <v>3.3136378901505698E-2</v>
      </c>
    </row>
    <row r="4980" spans="6:7" x14ac:dyDescent="0.2">
      <c r="F4980" s="591">
        <v>4971</v>
      </c>
      <c r="G4980" s="420">
        <f t="shared" ca="1" si="85"/>
        <v>2.2424965121168164E-2</v>
      </c>
    </row>
    <row r="4981" spans="6:7" x14ac:dyDescent="0.2">
      <c r="F4981" s="591">
        <v>4972</v>
      </c>
      <c r="G4981" s="420">
        <f t="shared" ca="1" si="85"/>
        <v>3.035121063554122E-3</v>
      </c>
    </row>
    <row r="4982" spans="6:7" x14ac:dyDescent="0.2">
      <c r="F4982" s="591">
        <v>4973</v>
      </c>
      <c r="G4982" s="420">
        <f t="shared" ca="1" si="85"/>
        <v>-4.4999274390545532E-2</v>
      </c>
    </row>
    <row r="4983" spans="6:7" x14ac:dyDescent="0.2">
      <c r="F4983" s="591">
        <v>4974</v>
      </c>
      <c r="G4983" s="420">
        <f t="shared" ca="1" si="85"/>
        <v>8.6957441495818341E-2</v>
      </c>
    </row>
    <row r="4984" spans="6:7" x14ac:dyDescent="0.2">
      <c r="F4984" s="591">
        <v>4975</v>
      </c>
      <c r="G4984" s="420">
        <f t="shared" ca="1" si="85"/>
        <v>-1.7093207245127907E-2</v>
      </c>
    </row>
    <row r="4985" spans="6:7" x14ac:dyDescent="0.2">
      <c r="F4985" s="591">
        <v>4976</v>
      </c>
      <c r="G4985" s="420">
        <f t="shared" ca="1" si="85"/>
        <v>4.2592055625117295E-2</v>
      </c>
    </row>
    <row r="4986" spans="6:7" x14ac:dyDescent="0.2">
      <c r="F4986" s="591">
        <v>4977</v>
      </c>
      <c r="G4986" s="420">
        <f t="shared" ca="1" si="85"/>
        <v>-2.9026872738876008E-2</v>
      </c>
    </row>
    <row r="4987" spans="6:7" x14ac:dyDescent="0.2">
      <c r="F4987" s="591">
        <v>4978</v>
      </c>
      <c r="G4987" s="420">
        <f t="shared" ca="1" si="85"/>
        <v>7.3272070910903583E-2</v>
      </c>
    </row>
    <row r="4988" spans="6:7" x14ac:dyDescent="0.2">
      <c r="F4988" s="591">
        <v>4979</v>
      </c>
      <c r="G4988" s="420">
        <f t="shared" ca="1" si="85"/>
        <v>-3.0686178020772604E-2</v>
      </c>
    </row>
    <row r="4989" spans="6:7" x14ac:dyDescent="0.2">
      <c r="F4989" s="591">
        <v>4980</v>
      </c>
      <c r="G4989" s="420">
        <f t="shared" ca="1" si="85"/>
        <v>5.870659428480017E-2</v>
      </c>
    </row>
    <row r="4990" spans="6:7" x14ac:dyDescent="0.2">
      <c r="F4990" s="591">
        <v>4981</v>
      </c>
      <c r="G4990" s="420">
        <f t="shared" ca="1" si="85"/>
        <v>-6.5312242293543904E-2</v>
      </c>
    </row>
    <row r="4991" spans="6:7" x14ac:dyDescent="0.2">
      <c r="F4991" s="591">
        <v>4982</v>
      </c>
      <c r="G4991" s="420">
        <f t="shared" ca="1" si="85"/>
        <v>-4.1562037206283056E-2</v>
      </c>
    </row>
    <row r="4992" spans="6:7" x14ac:dyDescent="0.2">
      <c r="F4992" s="591">
        <v>4983</v>
      </c>
      <c r="G4992" s="420">
        <f t="shared" ca="1" si="85"/>
        <v>7.1407894730877108E-2</v>
      </c>
    </row>
    <row r="4993" spans="6:7" x14ac:dyDescent="0.2">
      <c r="F4993" s="591">
        <v>4984</v>
      </c>
      <c r="G4993" s="420">
        <f t="shared" ca="1" si="85"/>
        <v>3.4464839098680509E-3</v>
      </c>
    </row>
    <row r="4994" spans="6:7" x14ac:dyDescent="0.2">
      <c r="F4994" s="591">
        <v>4985</v>
      </c>
      <c r="G4994" s="420">
        <f t="shared" ca="1" si="85"/>
        <v>-4.8037763508831113E-2</v>
      </c>
    </row>
    <row r="4995" spans="6:7" x14ac:dyDescent="0.2">
      <c r="F4995" s="591">
        <v>4986</v>
      </c>
      <c r="G4995" s="420">
        <f t="shared" ca="1" si="85"/>
        <v>-6.0035525543317592E-2</v>
      </c>
    </row>
    <row r="4996" spans="6:7" x14ac:dyDescent="0.2">
      <c r="F4996" s="591">
        <v>4987</v>
      </c>
      <c r="G4996" s="420">
        <f t="shared" ca="1" si="85"/>
        <v>-3.1411320874781087E-2</v>
      </c>
    </row>
    <row r="4997" spans="6:7" x14ac:dyDescent="0.2">
      <c r="F4997" s="591">
        <v>4988</v>
      </c>
      <c r="G4997" s="420">
        <f t="shared" ca="1" si="85"/>
        <v>-1.7738502462472702E-2</v>
      </c>
    </row>
    <row r="4998" spans="6:7" x14ac:dyDescent="0.2">
      <c r="F4998" s="591">
        <v>4989</v>
      </c>
      <c r="G4998" s="420">
        <f t="shared" ca="1" si="85"/>
        <v>7.3719610148373985E-2</v>
      </c>
    </row>
    <row r="4999" spans="6:7" x14ac:dyDescent="0.2">
      <c r="F4999" s="591">
        <v>4990</v>
      </c>
      <c r="G4999" s="420">
        <f t="shared" ca="1" si="85"/>
        <v>-3.0293744096103827E-2</v>
      </c>
    </row>
    <row r="5000" spans="6:7" x14ac:dyDescent="0.2">
      <c r="F5000" s="591">
        <v>4991</v>
      </c>
      <c r="G5000" s="420">
        <f t="shared" ca="1" si="85"/>
        <v>6.7101145864508147E-2</v>
      </c>
    </row>
    <row r="5001" spans="6:7" x14ac:dyDescent="0.2">
      <c r="F5001" s="591">
        <v>4992</v>
      </c>
      <c r="G5001" s="420">
        <f t="shared" ca="1" si="85"/>
        <v>0.17269237233042864</v>
      </c>
    </row>
    <row r="5002" spans="6:7" x14ac:dyDescent="0.2">
      <c r="F5002" s="591">
        <v>4993</v>
      </c>
      <c r="G5002" s="420">
        <f t="shared" ca="1" si="85"/>
        <v>3.0656387174783924E-2</v>
      </c>
    </row>
    <row r="5003" spans="6:7" x14ac:dyDescent="0.2">
      <c r="F5003" s="591">
        <v>4994</v>
      </c>
      <c r="G5003" s="420">
        <f t="shared" ref="G5003:G5066" ca="1" si="86">_xlfn.NORM.INV(RAND(), $M$11,$M$12)</f>
        <v>4.7204013936156114E-3</v>
      </c>
    </row>
    <row r="5004" spans="6:7" x14ac:dyDescent="0.2">
      <c r="F5004" s="591">
        <v>4995</v>
      </c>
      <c r="G5004" s="420">
        <f t="shared" ca="1" si="86"/>
        <v>0.10211841075176396</v>
      </c>
    </row>
    <row r="5005" spans="6:7" x14ac:dyDescent="0.2">
      <c r="F5005" s="591">
        <v>4996</v>
      </c>
      <c r="G5005" s="420">
        <f t="shared" ca="1" si="86"/>
        <v>-4.9144770029682316E-2</v>
      </c>
    </row>
    <row r="5006" spans="6:7" x14ac:dyDescent="0.2">
      <c r="F5006" s="591">
        <v>4997</v>
      </c>
      <c r="G5006" s="420">
        <f t="shared" ca="1" si="86"/>
        <v>3.2792555804976781E-2</v>
      </c>
    </row>
    <row r="5007" spans="6:7" x14ac:dyDescent="0.2">
      <c r="F5007" s="591">
        <v>4998</v>
      </c>
      <c r="G5007" s="420">
        <f t="shared" ca="1" si="86"/>
        <v>0.13585005148279153</v>
      </c>
    </row>
    <row r="5008" spans="6:7" x14ac:dyDescent="0.2">
      <c r="F5008" s="591">
        <v>4999</v>
      </c>
      <c r="G5008" s="420">
        <f t="shared" ca="1" si="86"/>
        <v>6.8567923346919857E-2</v>
      </c>
    </row>
    <row r="5009" spans="6:7" x14ac:dyDescent="0.2">
      <c r="F5009" s="591">
        <v>5000</v>
      </c>
      <c r="G5009" s="420">
        <f t="shared" ca="1" si="86"/>
        <v>0.10627084295663926</v>
      </c>
    </row>
    <row r="5010" spans="6:7" x14ac:dyDescent="0.2">
      <c r="F5010" s="591">
        <v>5001</v>
      </c>
      <c r="G5010" s="420">
        <f t="shared" ca="1" si="86"/>
        <v>-4.3593529815218676E-2</v>
      </c>
    </row>
    <row r="5011" spans="6:7" x14ac:dyDescent="0.2">
      <c r="F5011" s="591">
        <v>5002</v>
      </c>
      <c r="G5011" s="420">
        <f t="shared" ca="1" si="86"/>
        <v>8.9573862274416965E-2</v>
      </c>
    </row>
    <row r="5012" spans="6:7" x14ac:dyDescent="0.2">
      <c r="F5012" s="591">
        <v>5003</v>
      </c>
      <c r="G5012" s="420">
        <f t="shared" ca="1" si="86"/>
        <v>8.3467634082128123E-2</v>
      </c>
    </row>
    <row r="5013" spans="6:7" x14ac:dyDescent="0.2">
      <c r="F5013" s="591">
        <v>5004</v>
      </c>
      <c r="G5013" s="420">
        <f t="shared" ca="1" si="86"/>
        <v>1.5963141087439313E-2</v>
      </c>
    </row>
    <row r="5014" spans="6:7" x14ac:dyDescent="0.2">
      <c r="F5014" s="591">
        <v>5005</v>
      </c>
      <c r="G5014" s="420">
        <f t="shared" ca="1" si="86"/>
        <v>2.9952443580809736E-2</v>
      </c>
    </row>
    <row r="5015" spans="6:7" x14ac:dyDescent="0.2">
      <c r="F5015" s="591">
        <v>5006</v>
      </c>
      <c r="G5015" s="420">
        <f t="shared" ca="1" si="86"/>
        <v>0.11136475205990796</v>
      </c>
    </row>
    <row r="5016" spans="6:7" x14ac:dyDescent="0.2">
      <c r="F5016" s="591">
        <v>5007</v>
      </c>
      <c r="G5016" s="420">
        <f t="shared" ca="1" si="86"/>
        <v>-0.10404805988979876</v>
      </c>
    </row>
    <row r="5017" spans="6:7" x14ac:dyDescent="0.2">
      <c r="F5017" s="591">
        <v>5008</v>
      </c>
      <c r="G5017" s="420">
        <f t="shared" ca="1" si="86"/>
        <v>-8.9329999553573423E-3</v>
      </c>
    </row>
    <row r="5018" spans="6:7" x14ac:dyDescent="0.2">
      <c r="F5018" s="591">
        <v>5009</v>
      </c>
      <c r="G5018" s="420">
        <f t="shared" ca="1" si="86"/>
        <v>-3.6808641402944625E-2</v>
      </c>
    </row>
    <row r="5019" spans="6:7" x14ac:dyDescent="0.2">
      <c r="F5019" s="591">
        <v>5010</v>
      </c>
      <c r="G5019" s="420">
        <f t="shared" ca="1" si="86"/>
        <v>8.6450840712879416E-4</v>
      </c>
    </row>
    <row r="5020" spans="6:7" x14ac:dyDescent="0.2">
      <c r="F5020" s="591">
        <v>5011</v>
      </c>
      <c r="G5020" s="420">
        <f t="shared" ca="1" si="86"/>
        <v>4.4059983474519351E-2</v>
      </c>
    </row>
    <row r="5021" spans="6:7" x14ac:dyDescent="0.2">
      <c r="F5021" s="591">
        <v>5012</v>
      </c>
      <c r="G5021" s="420">
        <f t="shared" ca="1" si="86"/>
        <v>2.0187378486306289E-2</v>
      </c>
    </row>
    <row r="5022" spans="6:7" x14ac:dyDescent="0.2">
      <c r="F5022" s="591">
        <v>5013</v>
      </c>
      <c r="G5022" s="420">
        <f t="shared" ca="1" si="86"/>
        <v>4.7827801384784763E-2</v>
      </c>
    </row>
    <row r="5023" spans="6:7" x14ac:dyDescent="0.2">
      <c r="F5023" s="591">
        <v>5014</v>
      </c>
      <c r="G5023" s="420">
        <f t="shared" ca="1" si="86"/>
        <v>0.1110459457439074</v>
      </c>
    </row>
    <row r="5024" spans="6:7" x14ac:dyDescent="0.2">
      <c r="F5024" s="591">
        <v>5015</v>
      </c>
      <c r="G5024" s="420">
        <f t="shared" ca="1" si="86"/>
        <v>-3.9349048593765312E-2</v>
      </c>
    </row>
    <row r="5025" spans="6:7" x14ac:dyDescent="0.2">
      <c r="F5025" s="591">
        <v>5016</v>
      </c>
      <c r="G5025" s="420">
        <f t="shared" ca="1" si="86"/>
        <v>2.6874681091472445E-2</v>
      </c>
    </row>
    <row r="5026" spans="6:7" x14ac:dyDescent="0.2">
      <c r="F5026" s="591">
        <v>5017</v>
      </c>
      <c r="G5026" s="420">
        <f t="shared" ca="1" si="86"/>
        <v>1.694353706373853E-2</v>
      </c>
    </row>
    <row r="5027" spans="6:7" x14ac:dyDescent="0.2">
      <c r="F5027" s="591">
        <v>5018</v>
      </c>
      <c r="G5027" s="420">
        <f t="shared" ca="1" si="86"/>
        <v>9.6187804166020935E-3</v>
      </c>
    </row>
    <row r="5028" spans="6:7" x14ac:dyDescent="0.2">
      <c r="F5028" s="591">
        <v>5019</v>
      </c>
      <c r="G5028" s="420">
        <f t="shared" ca="1" si="86"/>
        <v>5.0235750881383504E-2</v>
      </c>
    </row>
    <row r="5029" spans="6:7" x14ac:dyDescent="0.2">
      <c r="F5029" s="591">
        <v>5020</v>
      </c>
      <c r="G5029" s="420">
        <f t="shared" ca="1" si="86"/>
        <v>-3.8054962751759014E-3</v>
      </c>
    </row>
    <row r="5030" spans="6:7" x14ac:dyDescent="0.2">
      <c r="F5030" s="591">
        <v>5021</v>
      </c>
      <c r="G5030" s="420">
        <f t="shared" ca="1" si="86"/>
        <v>-6.032404487936889E-2</v>
      </c>
    </row>
    <row r="5031" spans="6:7" x14ac:dyDescent="0.2">
      <c r="F5031" s="591">
        <v>5022</v>
      </c>
      <c r="G5031" s="420">
        <f t="shared" ca="1" si="86"/>
        <v>4.9784278146449104E-2</v>
      </c>
    </row>
    <row r="5032" spans="6:7" x14ac:dyDescent="0.2">
      <c r="F5032" s="591">
        <v>5023</v>
      </c>
      <c r="G5032" s="420">
        <f t="shared" ca="1" si="86"/>
        <v>7.2194278393264089E-2</v>
      </c>
    </row>
    <row r="5033" spans="6:7" x14ac:dyDescent="0.2">
      <c r="F5033" s="591">
        <v>5024</v>
      </c>
      <c r="G5033" s="420">
        <f t="shared" ca="1" si="86"/>
        <v>0.10551186458909666</v>
      </c>
    </row>
    <row r="5034" spans="6:7" x14ac:dyDescent="0.2">
      <c r="F5034" s="591">
        <v>5025</v>
      </c>
      <c r="G5034" s="420">
        <f t="shared" ca="1" si="86"/>
        <v>0.15618238387759867</v>
      </c>
    </row>
    <row r="5035" spans="6:7" x14ac:dyDescent="0.2">
      <c r="F5035" s="591">
        <v>5026</v>
      </c>
      <c r="G5035" s="420">
        <f t="shared" ca="1" si="86"/>
        <v>2.2532337041747581E-2</v>
      </c>
    </row>
    <row r="5036" spans="6:7" x14ac:dyDescent="0.2">
      <c r="F5036" s="591">
        <v>5027</v>
      </c>
      <c r="G5036" s="420">
        <f t="shared" ca="1" si="86"/>
        <v>0.14839728092873256</v>
      </c>
    </row>
    <row r="5037" spans="6:7" x14ac:dyDescent="0.2">
      <c r="F5037" s="591">
        <v>5028</v>
      </c>
      <c r="G5037" s="420">
        <f t="shared" ca="1" si="86"/>
        <v>4.9485231129213179E-3</v>
      </c>
    </row>
    <row r="5038" spans="6:7" x14ac:dyDescent="0.2">
      <c r="F5038" s="591">
        <v>5029</v>
      </c>
      <c r="G5038" s="420">
        <f t="shared" ca="1" si="86"/>
        <v>-1.5166241916650593E-2</v>
      </c>
    </row>
    <row r="5039" spans="6:7" x14ac:dyDescent="0.2">
      <c r="F5039" s="591">
        <v>5030</v>
      </c>
      <c r="G5039" s="420">
        <f t="shared" ca="1" si="86"/>
        <v>8.3758659696323724E-3</v>
      </c>
    </row>
    <row r="5040" spans="6:7" x14ac:dyDescent="0.2">
      <c r="F5040" s="591">
        <v>5031</v>
      </c>
      <c r="G5040" s="420">
        <f t="shared" ca="1" si="86"/>
        <v>-1.6401156324846226E-2</v>
      </c>
    </row>
    <row r="5041" spans="6:7" x14ac:dyDescent="0.2">
      <c r="F5041" s="591">
        <v>5032</v>
      </c>
      <c r="G5041" s="420">
        <f t="shared" ca="1" si="86"/>
        <v>3.7855532090072044E-3</v>
      </c>
    </row>
    <row r="5042" spans="6:7" x14ac:dyDescent="0.2">
      <c r="F5042" s="591">
        <v>5033</v>
      </c>
      <c r="G5042" s="420">
        <f t="shared" ca="1" si="86"/>
        <v>-5.8991815231644075E-4</v>
      </c>
    </row>
    <row r="5043" spans="6:7" x14ac:dyDescent="0.2">
      <c r="F5043" s="591">
        <v>5034</v>
      </c>
      <c r="G5043" s="420">
        <f t="shared" ca="1" si="86"/>
        <v>-2.9480659368951584E-3</v>
      </c>
    </row>
    <row r="5044" spans="6:7" x14ac:dyDescent="0.2">
      <c r="F5044" s="591">
        <v>5035</v>
      </c>
      <c r="G5044" s="420">
        <f t="shared" ca="1" si="86"/>
        <v>-5.7188337557748561E-2</v>
      </c>
    </row>
    <row r="5045" spans="6:7" x14ac:dyDescent="0.2">
      <c r="F5045" s="591">
        <v>5036</v>
      </c>
      <c r="G5045" s="420">
        <f t="shared" ca="1" si="86"/>
        <v>-5.099505986173207E-2</v>
      </c>
    </row>
    <row r="5046" spans="6:7" x14ac:dyDescent="0.2">
      <c r="F5046" s="591">
        <v>5037</v>
      </c>
      <c r="G5046" s="420">
        <f t="shared" ca="1" si="86"/>
        <v>-6.0917272883058114E-3</v>
      </c>
    </row>
    <row r="5047" spans="6:7" x14ac:dyDescent="0.2">
      <c r="F5047" s="591">
        <v>5038</v>
      </c>
      <c r="G5047" s="420">
        <f t="shared" ca="1" si="86"/>
        <v>-1.7317843550068504E-3</v>
      </c>
    </row>
    <row r="5048" spans="6:7" x14ac:dyDescent="0.2">
      <c r="F5048" s="591">
        <v>5039</v>
      </c>
      <c r="G5048" s="420">
        <f t="shared" ca="1" si="86"/>
        <v>7.4992002600120899E-2</v>
      </c>
    </row>
    <row r="5049" spans="6:7" x14ac:dyDescent="0.2">
      <c r="F5049" s="591">
        <v>5040</v>
      </c>
      <c r="G5049" s="420">
        <f t="shared" ca="1" si="86"/>
        <v>-6.2294056790276622E-2</v>
      </c>
    </row>
    <row r="5050" spans="6:7" x14ac:dyDescent="0.2">
      <c r="F5050" s="591">
        <v>5041</v>
      </c>
      <c r="G5050" s="420">
        <f t="shared" ca="1" si="86"/>
        <v>-5.259252106327942E-4</v>
      </c>
    </row>
    <row r="5051" spans="6:7" x14ac:dyDescent="0.2">
      <c r="F5051" s="591">
        <v>5042</v>
      </c>
      <c r="G5051" s="420">
        <f t="shared" ca="1" si="86"/>
        <v>1.5122312089880465E-2</v>
      </c>
    </row>
    <row r="5052" spans="6:7" x14ac:dyDescent="0.2">
      <c r="F5052" s="591">
        <v>5043</v>
      </c>
      <c r="G5052" s="420">
        <f t="shared" ca="1" si="86"/>
        <v>-4.024570879860212E-2</v>
      </c>
    </row>
    <row r="5053" spans="6:7" x14ac:dyDescent="0.2">
      <c r="F5053" s="591">
        <v>5044</v>
      </c>
      <c r="G5053" s="420">
        <f t="shared" ca="1" si="86"/>
        <v>-0.12384140376017848</v>
      </c>
    </row>
    <row r="5054" spans="6:7" x14ac:dyDescent="0.2">
      <c r="F5054" s="591">
        <v>5045</v>
      </c>
      <c r="G5054" s="420">
        <f t="shared" ca="1" si="86"/>
        <v>3.9239574449150662E-3</v>
      </c>
    </row>
    <row r="5055" spans="6:7" x14ac:dyDescent="0.2">
      <c r="F5055" s="591">
        <v>5046</v>
      </c>
      <c r="G5055" s="420">
        <f t="shared" ca="1" si="86"/>
        <v>6.2552414775722251E-2</v>
      </c>
    </row>
    <row r="5056" spans="6:7" x14ac:dyDescent="0.2">
      <c r="F5056" s="591">
        <v>5047</v>
      </c>
      <c r="G5056" s="420">
        <f t="shared" ca="1" si="86"/>
        <v>-3.8745211789333392E-2</v>
      </c>
    </row>
    <row r="5057" spans="6:7" x14ac:dyDescent="0.2">
      <c r="F5057" s="591">
        <v>5048</v>
      </c>
      <c r="G5057" s="420">
        <f t="shared" ca="1" si="86"/>
        <v>-3.7409731043525934E-2</v>
      </c>
    </row>
    <row r="5058" spans="6:7" x14ac:dyDescent="0.2">
      <c r="F5058" s="591">
        <v>5049</v>
      </c>
      <c r="G5058" s="420">
        <f t="shared" ca="1" si="86"/>
        <v>-5.195812134977626E-2</v>
      </c>
    </row>
    <row r="5059" spans="6:7" x14ac:dyDescent="0.2">
      <c r="F5059" s="591">
        <v>5050</v>
      </c>
      <c r="G5059" s="420">
        <f t="shared" ca="1" si="86"/>
        <v>-2.3743418704051628E-2</v>
      </c>
    </row>
    <row r="5060" spans="6:7" x14ac:dyDescent="0.2">
      <c r="F5060" s="591">
        <v>5051</v>
      </c>
      <c r="G5060" s="420">
        <f t="shared" ca="1" si="86"/>
        <v>4.6638534836768386E-2</v>
      </c>
    </row>
    <row r="5061" spans="6:7" x14ac:dyDescent="0.2">
      <c r="F5061" s="591">
        <v>5052</v>
      </c>
      <c r="G5061" s="420">
        <f t="shared" ca="1" si="86"/>
        <v>-6.2651066645239534E-2</v>
      </c>
    </row>
    <row r="5062" spans="6:7" x14ac:dyDescent="0.2">
      <c r="F5062" s="591">
        <v>5053</v>
      </c>
      <c r="G5062" s="420">
        <f t="shared" ca="1" si="86"/>
        <v>1.4659231809775386E-2</v>
      </c>
    </row>
    <row r="5063" spans="6:7" x14ac:dyDescent="0.2">
      <c r="F5063" s="591">
        <v>5054</v>
      </c>
      <c r="G5063" s="420">
        <f t="shared" ca="1" si="86"/>
        <v>3.2778116633351215E-2</v>
      </c>
    </row>
    <row r="5064" spans="6:7" x14ac:dyDescent="0.2">
      <c r="F5064" s="591">
        <v>5055</v>
      </c>
      <c r="G5064" s="420">
        <f t="shared" ca="1" si="86"/>
        <v>2.5715536847304717E-2</v>
      </c>
    </row>
    <row r="5065" spans="6:7" x14ac:dyDescent="0.2">
      <c r="F5065" s="591">
        <v>5056</v>
      </c>
      <c r="G5065" s="420">
        <f t="shared" ca="1" si="86"/>
        <v>6.2331014472002677E-3</v>
      </c>
    </row>
    <row r="5066" spans="6:7" x14ac:dyDescent="0.2">
      <c r="F5066" s="591">
        <v>5057</v>
      </c>
      <c r="G5066" s="420">
        <f t="shared" ca="1" si="86"/>
        <v>9.3648359396054551E-2</v>
      </c>
    </row>
    <row r="5067" spans="6:7" x14ac:dyDescent="0.2">
      <c r="F5067" s="591">
        <v>5058</v>
      </c>
      <c r="G5067" s="420">
        <f t="shared" ref="G5067:G5130" ca="1" si="87">_xlfn.NORM.INV(RAND(), $M$11,$M$12)</f>
        <v>7.1956402148157364E-2</v>
      </c>
    </row>
    <row r="5068" spans="6:7" x14ac:dyDescent="0.2">
      <c r="F5068" s="591">
        <v>5059</v>
      </c>
      <c r="G5068" s="420">
        <f t="shared" ca="1" si="87"/>
        <v>1.066390665881636E-2</v>
      </c>
    </row>
    <row r="5069" spans="6:7" x14ac:dyDescent="0.2">
      <c r="F5069" s="591">
        <v>5060</v>
      </c>
      <c r="G5069" s="420">
        <f t="shared" ca="1" si="87"/>
        <v>6.2595996651413383E-2</v>
      </c>
    </row>
    <row r="5070" spans="6:7" x14ac:dyDescent="0.2">
      <c r="F5070" s="591">
        <v>5061</v>
      </c>
      <c r="G5070" s="420">
        <f t="shared" ca="1" si="87"/>
        <v>0.10939714931573249</v>
      </c>
    </row>
    <row r="5071" spans="6:7" x14ac:dyDescent="0.2">
      <c r="F5071" s="591">
        <v>5062</v>
      </c>
      <c r="G5071" s="420">
        <f t="shared" ca="1" si="87"/>
        <v>-3.9342239639355903E-2</v>
      </c>
    </row>
    <row r="5072" spans="6:7" x14ac:dyDescent="0.2">
      <c r="F5072" s="591">
        <v>5063</v>
      </c>
      <c r="G5072" s="420">
        <f t="shared" ca="1" si="87"/>
        <v>-0.11521744759363468</v>
      </c>
    </row>
    <row r="5073" spans="6:7" x14ac:dyDescent="0.2">
      <c r="F5073" s="591">
        <v>5064</v>
      </c>
      <c r="G5073" s="420">
        <f t="shared" ca="1" si="87"/>
        <v>4.1349055471962375E-3</v>
      </c>
    </row>
    <row r="5074" spans="6:7" x14ac:dyDescent="0.2">
      <c r="F5074" s="591">
        <v>5065</v>
      </c>
      <c r="G5074" s="420">
        <f t="shared" ca="1" si="87"/>
        <v>-9.9811306859605251E-2</v>
      </c>
    </row>
    <row r="5075" spans="6:7" x14ac:dyDescent="0.2">
      <c r="F5075" s="591">
        <v>5066</v>
      </c>
      <c r="G5075" s="420">
        <f t="shared" ca="1" si="87"/>
        <v>-9.0157918948548674E-2</v>
      </c>
    </row>
    <row r="5076" spans="6:7" x14ac:dyDescent="0.2">
      <c r="F5076" s="591">
        <v>5067</v>
      </c>
      <c r="G5076" s="420">
        <f t="shared" ca="1" si="87"/>
        <v>5.861906596993996E-2</v>
      </c>
    </row>
    <row r="5077" spans="6:7" x14ac:dyDescent="0.2">
      <c r="F5077" s="591">
        <v>5068</v>
      </c>
      <c r="G5077" s="420">
        <f t="shared" ca="1" si="87"/>
        <v>1.9139872198099102E-2</v>
      </c>
    </row>
    <row r="5078" spans="6:7" x14ac:dyDescent="0.2">
      <c r="F5078" s="591">
        <v>5069</v>
      </c>
      <c r="G5078" s="420">
        <f t="shared" ca="1" si="87"/>
        <v>0.10450147913079169</v>
      </c>
    </row>
    <row r="5079" spans="6:7" x14ac:dyDescent="0.2">
      <c r="F5079" s="591">
        <v>5070</v>
      </c>
      <c r="G5079" s="420">
        <f t="shared" ca="1" si="87"/>
        <v>0.1874520847212848</v>
      </c>
    </row>
    <row r="5080" spans="6:7" x14ac:dyDescent="0.2">
      <c r="F5080" s="591">
        <v>5071</v>
      </c>
      <c r="G5080" s="420">
        <f t="shared" ca="1" si="87"/>
        <v>-3.1673440467871419E-2</v>
      </c>
    </row>
    <row r="5081" spans="6:7" x14ac:dyDescent="0.2">
      <c r="F5081" s="591">
        <v>5072</v>
      </c>
      <c r="G5081" s="420">
        <f t="shared" ca="1" si="87"/>
        <v>6.1988149140544957E-2</v>
      </c>
    </row>
    <row r="5082" spans="6:7" x14ac:dyDescent="0.2">
      <c r="F5082" s="591">
        <v>5073</v>
      </c>
      <c r="G5082" s="420">
        <f t="shared" ca="1" si="87"/>
        <v>1.1638395355547851E-2</v>
      </c>
    </row>
    <row r="5083" spans="6:7" x14ac:dyDescent="0.2">
      <c r="F5083" s="591">
        <v>5074</v>
      </c>
      <c r="G5083" s="420">
        <f t="shared" ca="1" si="87"/>
        <v>-0.10807628627592214</v>
      </c>
    </row>
    <row r="5084" spans="6:7" x14ac:dyDescent="0.2">
      <c r="F5084" s="591">
        <v>5075</v>
      </c>
      <c r="G5084" s="420">
        <f t="shared" ca="1" si="87"/>
        <v>-2.2611811333241635E-2</v>
      </c>
    </row>
    <row r="5085" spans="6:7" x14ac:dyDescent="0.2">
      <c r="F5085" s="591">
        <v>5076</v>
      </c>
      <c r="G5085" s="420">
        <f t="shared" ca="1" si="87"/>
        <v>1.4694895002384748E-2</v>
      </c>
    </row>
    <row r="5086" spans="6:7" x14ac:dyDescent="0.2">
      <c r="F5086" s="591">
        <v>5077</v>
      </c>
      <c r="G5086" s="420">
        <f t="shared" ca="1" si="87"/>
        <v>0.1139546724534052</v>
      </c>
    </row>
    <row r="5087" spans="6:7" x14ac:dyDescent="0.2">
      <c r="F5087" s="591">
        <v>5078</v>
      </c>
      <c r="G5087" s="420">
        <f t="shared" ca="1" si="87"/>
        <v>2.157920939864983E-2</v>
      </c>
    </row>
    <row r="5088" spans="6:7" x14ac:dyDescent="0.2">
      <c r="F5088" s="591">
        <v>5079</v>
      </c>
      <c r="G5088" s="420">
        <f t="shared" ca="1" si="87"/>
        <v>5.7459051448452972E-3</v>
      </c>
    </row>
    <row r="5089" spans="6:7" x14ac:dyDescent="0.2">
      <c r="F5089" s="591">
        <v>5080</v>
      </c>
      <c r="G5089" s="420">
        <f t="shared" ca="1" si="87"/>
        <v>3.7201466065737085E-2</v>
      </c>
    </row>
    <row r="5090" spans="6:7" x14ac:dyDescent="0.2">
      <c r="F5090" s="591">
        <v>5081</v>
      </c>
      <c r="G5090" s="420">
        <f t="shared" ca="1" si="87"/>
        <v>0.11603231671417751</v>
      </c>
    </row>
    <row r="5091" spans="6:7" x14ac:dyDescent="0.2">
      <c r="F5091" s="591">
        <v>5082</v>
      </c>
      <c r="G5091" s="420">
        <f t="shared" ca="1" si="87"/>
        <v>8.9207230083884426E-2</v>
      </c>
    </row>
    <row r="5092" spans="6:7" x14ac:dyDescent="0.2">
      <c r="F5092" s="591">
        <v>5083</v>
      </c>
      <c r="G5092" s="420">
        <f t="shared" ca="1" si="87"/>
        <v>-1.8387046723368786E-2</v>
      </c>
    </row>
    <row r="5093" spans="6:7" x14ac:dyDescent="0.2">
      <c r="F5093" s="591">
        <v>5084</v>
      </c>
      <c r="G5093" s="420">
        <f t="shared" ca="1" si="87"/>
        <v>-8.6721045289950408E-2</v>
      </c>
    </row>
    <row r="5094" spans="6:7" x14ac:dyDescent="0.2">
      <c r="F5094" s="591">
        <v>5085</v>
      </c>
      <c r="G5094" s="420">
        <f t="shared" ca="1" si="87"/>
        <v>3.556375816719793E-2</v>
      </c>
    </row>
    <row r="5095" spans="6:7" x14ac:dyDescent="0.2">
      <c r="F5095" s="591">
        <v>5086</v>
      </c>
      <c r="G5095" s="420">
        <f t="shared" ca="1" si="87"/>
        <v>-4.2132876675100683E-2</v>
      </c>
    </row>
    <row r="5096" spans="6:7" x14ac:dyDescent="0.2">
      <c r="F5096" s="591">
        <v>5087</v>
      </c>
      <c r="G5096" s="420">
        <f t="shared" ca="1" si="87"/>
        <v>-4.5762897419887316E-3</v>
      </c>
    </row>
    <row r="5097" spans="6:7" x14ac:dyDescent="0.2">
      <c r="F5097" s="591">
        <v>5088</v>
      </c>
      <c r="G5097" s="420">
        <f t="shared" ca="1" si="87"/>
        <v>2.0813292618218411E-2</v>
      </c>
    </row>
    <row r="5098" spans="6:7" x14ac:dyDescent="0.2">
      <c r="F5098" s="591">
        <v>5089</v>
      </c>
      <c r="G5098" s="420">
        <f t="shared" ca="1" si="87"/>
        <v>3.8920495372702313E-2</v>
      </c>
    </row>
    <row r="5099" spans="6:7" x14ac:dyDescent="0.2">
      <c r="F5099" s="591">
        <v>5090</v>
      </c>
      <c r="G5099" s="420">
        <f t="shared" ca="1" si="87"/>
        <v>-1.5911344745707542E-2</v>
      </c>
    </row>
    <row r="5100" spans="6:7" x14ac:dyDescent="0.2">
      <c r="F5100" s="591">
        <v>5091</v>
      </c>
      <c r="G5100" s="420">
        <f t="shared" ca="1" si="87"/>
        <v>2.0345203168146538E-2</v>
      </c>
    </row>
    <row r="5101" spans="6:7" x14ac:dyDescent="0.2">
      <c r="F5101" s="591">
        <v>5092</v>
      </c>
      <c r="G5101" s="420">
        <f t="shared" ca="1" si="87"/>
        <v>7.8292847540773342E-3</v>
      </c>
    </row>
    <row r="5102" spans="6:7" x14ac:dyDescent="0.2">
      <c r="F5102" s="591">
        <v>5093</v>
      </c>
      <c r="G5102" s="420">
        <f t="shared" ca="1" si="87"/>
        <v>8.075758911965035E-2</v>
      </c>
    </row>
    <row r="5103" spans="6:7" x14ac:dyDescent="0.2">
      <c r="F5103" s="591">
        <v>5094</v>
      </c>
      <c r="G5103" s="420">
        <f t="shared" ca="1" si="87"/>
        <v>-1.1432451156573466E-2</v>
      </c>
    </row>
    <row r="5104" spans="6:7" x14ac:dyDescent="0.2">
      <c r="F5104" s="591">
        <v>5095</v>
      </c>
      <c r="G5104" s="420">
        <f t="shared" ca="1" si="87"/>
        <v>8.6887302532971805E-2</v>
      </c>
    </row>
    <row r="5105" spans="6:7" x14ac:dyDescent="0.2">
      <c r="F5105" s="591">
        <v>5096</v>
      </c>
      <c r="G5105" s="420">
        <f t="shared" ca="1" si="87"/>
        <v>-3.68351599878491E-2</v>
      </c>
    </row>
    <row r="5106" spans="6:7" x14ac:dyDescent="0.2">
      <c r="F5106" s="591">
        <v>5097</v>
      </c>
      <c r="G5106" s="420">
        <f t="shared" ca="1" si="87"/>
        <v>-2.7513053238700073E-2</v>
      </c>
    </row>
    <row r="5107" spans="6:7" x14ac:dyDescent="0.2">
      <c r="F5107" s="591">
        <v>5098</v>
      </c>
      <c r="G5107" s="420">
        <f t="shared" ca="1" si="87"/>
        <v>-1.6045311214065265E-2</v>
      </c>
    </row>
    <row r="5108" spans="6:7" x14ac:dyDescent="0.2">
      <c r="F5108" s="591">
        <v>5099</v>
      </c>
      <c r="G5108" s="420">
        <f t="shared" ca="1" si="87"/>
        <v>5.9533052572384101E-4</v>
      </c>
    </row>
    <row r="5109" spans="6:7" x14ac:dyDescent="0.2">
      <c r="F5109" s="591">
        <v>5100</v>
      </c>
      <c r="G5109" s="420">
        <f t="shared" ca="1" si="87"/>
        <v>5.4627855183345633E-2</v>
      </c>
    </row>
    <row r="5110" spans="6:7" x14ac:dyDescent="0.2">
      <c r="F5110" s="591">
        <v>5101</v>
      </c>
      <c r="G5110" s="420">
        <f t="shared" ca="1" si="87"/>
        <v>-9.2861403798079209E-2</v>
      </c>
    </row>
    <row r="5111" spans="6:7" x14ac:dyDescent="0.2">
      <c r="F5111" s="591">
        <v>5102</v>
      </c>
      <c r="G5111" s="420">
        <f t="shared" ca="1" si="87"/>
        <v>5.7280149583275347E-2</v>
      </c>
    </row>
    <row r="5112" spans="6:7" x14ac:dyDescent="0.2">
      <c r="F5112" s="591">
        <v>5103</v>
      </c>
      <c r="G5112" s="420">
        <f t="shared" ca="1" si="87"/>
        <v>-5.3077892828204236E-4</v>
      </c>
    </row>
    <row r="5113" spans="6:7" x14ac:dyDescent="0.2">
      <c r="F5113" s="591">
        <v>5104</v>
      </c>
      <c r="G5113" s="420">
        <f t="shared" ca="1" si="87"/>
        <v>-2.0009999982979264E-2</v>
      </c>
    </row>
    <row r="5114" spans="6:7" x14ac:dyDescent="0.2">
      <c r="F5114" s="591">
        <v>5105</v>
      </c>
      <c r="G5114" s="420">
        <f t="shared" ca="1" si="87"/>
        <v>-1.6880119142777934E-2</v>
      </c>
    </row>
    <row r="5115" spans="6:7" x14ac:dyDescent="0.2">
      <c r="F5115" s="591">
        <v>5106</v>
      </c>
      <c r="G5115" s="420">
        <f t="shared" ca="1" si="87"/>
        <v>-5.8286928233780462E-3</v>
      </c>
    </row>
    <row r="5116" spans="6:7" x14ac:dyDescent="0.2">
      <c r="F5116" s="591">
        <v>5107</v>
      </c>
      <c r="G5116" s="420">
        <f t="shared" ca="1" si="87"/>
        <v>-7.3741391142499529E-2</v>
      </c>
    </row>
    <row r="5117" spans="6:7" x14ac:dyDescent="0.2">
      <c r="F5117" s="591">
        <v>5108</v>
      </c>
      <c r="G5117" s="420">
        <f t="shared" ca="1" si="87"/>
        <v>3.5335854592081536E-2</v>
      </c>
    </row>
    <row r="5118" spans="6:7" x14ac:dyDescent="0.2">
      <c r="F5118" s="591">
        <v>5109</v>
      </c>
      <c r="G5118" s="420">
        <f t="shared" ca="1" si="87"/>
        <v>-2.9919026354906227E-2</v>
      </c>
    </row>
    <row r="5119" spans="6:7" x14ac:dyDescent="0.2">
      <c r="F5119" s="591">
        <v>5110</v>
      </c>
      <c r="G5119" s="420">
        <f t="shared" ca="1" si="87"/>
        <v>6.3648972696519576E-2</v>
      </c>
    </row>
    <row r="5120" spans="6:7" x14ac:dyDescent="0.2">
      <c r="F5120" s="591">
        <v>5111</v>
      </c>
      <c r="G5120" s="420">
        <f t="shared" ca="1" si="87"/>
        <v>-2.8734271375902353E-2</v>
      </c>
    </row>
    <row r="5121" spans="6:7" x14ac:dyDescent="0.2">
      <c r="F5121" s="591">
        <v>5112</v>
      </c>
      <c r="G5121" s="420">
        <f t="shared" ca="1" si="87"/>
        <v>4.2595479811763939E-2</v>
      </c>
    </row>
    <row r="5122" spans="6:7" x14ac:dyDescent="0.2">
      <c r="F5122" s="591">
        <v>5113</v>
      </c>
      <c r="G5122" s="420">
        <f t="shared" ca="1" si="87"/>
        <v>7.3597164798213752E-2</v>
      </c>
    </row>
    <row r="5123" spans="6:7" x14ac:dyDescent="0.2">
      <c r="F5123" s="591">
        <v>5114</v>
      </c>
      <c r="G5123" s="420">
        <f t="shared" ca="1" si="87"/>
        <v>-2.0021956757087653E-2</v>
      </c>
    </row>
    <row r="5124" spans="6:7" x14ac:dyDescent="0.2">
      <c r="F5124" s="591">
        <v>5115</v>
      </c>
      <c r="G5124" s="420">
        <f t="shared" ca="1" si="87"/>
        <v>1.5890095909606012E-2</v>
      </c>
    </row>
    <row r="5125" spans="6:7" x14ac:dyDescent="0.2">
      <c r="F5125" s="591">
        <v>5116</v>
      </c>
      <c r="G5125" s="420">
        <f t="shared" ca="1" si="87"/>
        <v>1.1018593263054093E-2</v>
      </c>
    </row>
    <row r="5126" spans="6:7" x14ac:dyDescent="0.2">
      <c r="F5126" s="591">
        <v>5117</v>
      </c>
      <c r="G5126" s="420">
        <f t="shared" ca="1" si="87"/>
        <v>2.4621835134715359E-2</v>
      </c>
    </row>
    <row r="5127" spans="6:7" x14ac:dyDescent="0.2">
      <c r="F5127" s="591">
        <v>5118</v>
      </c>
      <c r="G5127" s="420">
        <f t="shared" ca="1" si="87"/>
        <v>-1.778770331534665E-2</v>
      </c>
    </row>
    <row r="5128" spans="6:7" x14ac:dyDescent="0.2">
      <c r="F5128" s="591">
        <v>5119</v>
      </c>
      <c r="G5128" s="420">
        <f t="shared" ca="1" si="87"/>
        <v>-0.1865756323220879</v>
      </c>
    </row>
    <row r="5129" spans="6:7" x14ac:dyDescent="0.2">
      <c r="F5129" s="591">
        <v>5120</v>
      </c>
      <c r="G5129" s="420">
        <f t="shared" ca="1" si="87"/>
        <v>-8.2242510311201208E-2</v>
      </c>
    </row>
    <row r="5130" spans="6:7" x14ac:dyDescent="0.2">
      <c r="F5130" s="591">
        <v>5121</v>
      </c>
      <c r="G5130" s="420">
        <f t="shared" ca="1" si="87"/>
        <v>-1.9787909814766764E-2</v>
      </c>
    </row>
    <row r="5131" spans="6:7" x14ac:dyDescent="0.2">
      <c r="F5131" s="591">
        <v>5122</v>
      </c>
      <c r="G5131" s="420">
        <f t="shared" ref="G5131:G5194" ca="1" si="88">_xlfn.NORM.INV(RAND(), $M$11,$M$12)</f>
        <v>-1.3701298807526192E-2</v>
      </c>
    </row>
    <row r="5132" spans="6:7" x14ac:dyDescent="0.2">
      <c r="F5132" s="591">
        <v>5123</v>
      </c>
      <c r="G5132" s="420">
        <f t="shared" ca="1" si="88"/>
        <v>1.2689958550196709E-2</v>
      </c>
    </row>
    <row r="5133" spans="6:7" x14ac:dyDescent="0.2">
      <c r="F5133" s="591">
        <v>5124</v>
      </c>
      <c r="G5133" s="420">
        <f t="shared" ca="1" si="88"/>
        <v>4.9622906862384256E-2</v>
      </c>
    </row>
    <row r="5134" spans="6:7" x14ac:dyDescent="0.2">
      <c r="F5134" s="591">
        <v>5125</v>
      </c>
      <c r="G5134" s="420">
        <f t="shared" ca="1" si="88"/>
        <v>0.11023810206718983</v>
      </c>
    </row>
    <row r="5135" spans="6:7" x14ac:dyDescent="0.2">
      <c r="F5135" s="591">
        <v>5126</v>
      </c>
      <c r="G5135" s="420">
        <f t="shared" ca="1" si="88"/>
        <v>-3.2748297281720212E-2</v>
      </c>
    </row>
    <row r="5136" spans="6:7" x14ac:dyDescent="0.2">
      <c r="F5136" s="591">
        <v>5127</v>
      </c>
      <c r="G5136" s="420">
        <f t="shared" ca="1" si="88"/>
        <v>3.1854453021258014E-2</v>
      </c>
    </row>
    <row r="5137" spans="6:7" x14ac:dyDescent="0.2">
      <c r="F5137" s="591">
        <v>5128</v>
      </c>
      <c r="G5137" s="420">
        <f t="shared" ca="1" si="88"/>
        <v>-1.2441377981282323E-2</v>
      </c>
    </row>
    <row r="5138" spans="6:7" x14ac:dyDescent="0.2">
      <c r="F5138" s="591">
        <v>5129</v>
      </c>
      <c r="G5138" s="420">
        <f t="shared" ca="1" si="88"/>
        <v>-9.7177177393038106E-2</v>
      </c>
    </row>
    <row r="5139" spans="6:7" x14ac:dyDescent="0.2">
      <c r="F5139" s="591">
        <v>5130</v>
      </c>
      <c r="G5139" s="420">
        <f t="shared" ca="1" si="88"/>
        <v>2.1927587178745944E-2</v>
      </c>
    </row>
    <row r="5140" spans="6:7" x14ac:dyDescent="0.2">
      <c r="F5140" s="591">
        <v>5131</v>
      </c>
      <c r="G5140" s="420">
        <f t="shared" ca="1" si="88"/>
        <v>2.653223757564829E-2</v>
      </c>
    </row>
    <row r="5141" spans="6:7" x14ac:dyDescent="0.2">
      <c r="F5141" s="591">
        <v>5132</v>
      </c>
      <c r="G5141" s="420">
        <f t="shared" ca="1" si="88"/>
        <v>4.1520261867464076E-2</v>
      </c>
    </row>
    <row r="5142" spans="6:7" x14ac:dyDescent="0.2">
      <c r="F5142" s="591">
        <v>5133</v>
      </c>
      <c r="G5142" s="420">
        <f t="shared" ca="1" si="88"/>
        <v>0.10066483419970618</v>
      </c>
    </row>
    <row r="5143" spans="6:7" x14ac:dyDescent="0.2">
      <c r="F5143" s="591">
        <v>5134</v>
      </c>
      <c r="G5143" s="420">
        <f t="shared" ca="1" si="88"/>
        <v>-0.11902550658911441</v>
      </c>
    </row>
    <row r="5144" spans="6:7" x14ac:dyDescent="0.2">
      <c r="F5144" s="591">
        <v>5135</v>
      </c>
      <c r="G5144" s="420">
        <f t="shared" ca="1" si="88"/>
        <v>-2.4911310863323797E-2</v>
      </c>
    </row>
    <row r="5145" spans="6:7" x14ac:dyDescent="0.2">
      <c r="F5145" s="591">
        <v>5136</v>
      </c>
      <c r="G5145" s="420">
        <f t="shared" ca="1" si="88"/>
        <v>-2.6428305713994977E-2</v>
      </c>
    </row>
    <row r="5146" spans="6:7" x14ac:dyDescent="0.2">
      <c r="F5146" s="591">
        <v>5137</v>
      </c>
      <c r="G5146" s="420">
        <f t="shared" ca="1" si="88"/>
        <v>-5.5626864264189141E-2</v>
      </c>
    </row>
    <row r="5147" spans="6:7" x14ac:dyDescent="0.2">
      <c r="F5147" s="591">
        <v>5138</v>
      </c>
      <c r="G5147" s="420">
        <f t="shared" ca="1" si="88"/>
        <v>-8.4350094549228288E-2</v>
      </c>
    </row>
    <row r="5148" spans="6:7" x14ac:dyDescent="0.2">
      <c r="F5148" s="591">
        <v>5139</v>
      </c>
      <c r="G5148" s="420">
        <f t="shared" ca="1" si="88"/>
        <v>-4.2548182614342532E-3</v>
      </c>
    </row>
    <row r="5149" spans="6:7" x14ac:dyDescent="0.2">
      <c r="F5149" s="591">
        <v>5140</v>
      </c>
      <c r="G5149" s="420">
        <f t="shared" ca="1" si="88"/>
        <v>-4.3532769867124094E-2</v>
      </c>
    </row>
    <row r="5150" spans="6:7" x14ac:dyDescent="0.2">
      <c r="F5150" s="591">
        <v>5141</v>
      </c>
      <c r="G5150" s="420">
        <f t="shared" ca="1" si="88"/>
        <v>0.12329458112040798</v>
      </c>
    </row>
    <row r="5151" spans="6:7" x14ac:dyDescent="0.2">
      <c r="F5151" s="591">
        <v>5142</v>
      </c>
      <c r="G5151" s="420">
        <f t="shared" ca="1" si="88"/>
        <v>3.5608961138703106E-2</v>
      </c>
    </row>
    <row r="5152" spans="6:7" x14ac:dyDescent="0.2">
      <c r="F5152" s="591">
        <v>5143</v>
      </c>
      <c r="G5152" s="420">
        <f t="shared" ca="1" si="88"/>
        <v>3.6790815652506543E-3</v>
      </c>
    </row>
    <row r="5153" spans="6:7" x14ac:dyDescent="0.2">
      <c r="F5153" s="591">
        <v>5144</v>
      </c>
      <c r="G5153" s="420">
        <f t="shared" ca="1" si="88"/>
        <v>8.2405654229017952E-2</v>
      </c>
    </row>
    <row r="5154" spans="6:7" x14ac:dyDescent="0.2">
      <c r="F5154" s="591">
        <v>5145</v>
      </c>
      <c r="G5154" s="420">
        <f t="shared" ca="1" si="88"/>
        <v>3.6047504090416571E-2</v>
      </c>
    </row>
    <row r="5155" spans="6:7" x14ac:dyDescent="0.2">
      <c r="F5155" s="591">
        <v>5146</v>
      </c>
      <c r="G5155" s="420">
        <f t="shared" ca="1" si="88"/>
        <v>9.7263080161279949E-2</v>
      </c>
    </row>
    <row r="5156" spans="6:7" x14ac:dyDescent="0.2">
      <c r="F5156" s="591">
        <v>5147</v>
      </c>
      <c r="G5156" s="420">
        <f t="shared" ca="1" si="88"/>
        <v>4.8757008312964936E-2</v>
      </c>
    </row>
    <row r="5157" spans="6:7" x14ac:dyDescent="0.2">
      <c r="F5157" s="591">
        <v>5148</v>
      </c>
      <c r="G5157" s="420">
        <f t="shared" ca="1" si="88"/>
        <v>-3.7244723051110415E-2</v>
      </c>
    </row>
    <row r="5158" spans="6:7" x14ac:dyDescent="0.2">
      <c r="F5158" s="591">
        <v>5149</v>
      </c>
      <c r="G5158" s="420">
        <f t="shared" ca="1" si="88"/>
        <v>-1.9480409305625886E-3</v>
      </c>
    </row>
    <row r="5159" spans="6:7" x14ac:dyDescent="0.2">
      <c r="F5159" s="591">
        <v>5150</v>
      </c>
      <c r="G5159" s="420">
        <f t="shared" ca="1" si="88"/>
        <v>5.8629523842471803E-2</v>
      </c>
    </row>
    <row r="5160" spans="6:7" x14ac:dyDescent="0.2">
      <c r="F5160" s="591">
        <v>5151</v>
      </c>
      <c r="G5160" s="420">
        <f t="shared" ca="1" si="88"/>
        <v>5.7447172613965106E-2</v>
      </c>
    </row>
    <row r="5161" spans="6:7" x14ac:dyDescent="0.2">
      <c r="F5161" s="591">
        <v>5152</v>
      </c>
      <c r="G5161" s="420">
        <f t="shared" ca="1" si="88"/>
        <v>9.1919666996882629E-2</v>
      </c>
    </row>
    <row r="5162" spans="6:7" x14ac:dyDescent="0.2">
      <c r="F5162" s="591">
        <v>5153</v>
      </c>
      <c r="G5162" s="420">
        <f t="shared" ca="1" si="88"/>
        <v>-6.6202455927306877E-2</v>
      </c>
    </row>
    <row r="5163" spans="6:7" x14ac:dyDescent="0.2">
      <c r="F5163" s="591">
        <v>5154</v>
      </c>
      <c r="G5163" s="420">
        <f t="shared" ca="1" si="88"/>
        <v>0.10104673082078011</v>
      </c>
    </row>
    <row r="5164" spans="6:7" x14ac:dyDescent="0.2">
      <c r="F5164" s="591">
        <v>5155</v>
      </c>
      <c r="G5164" s="420">
        <f t="shared" ca="1" si="88"/>
        <v>0.1260297545113743</v>
      </c>
    </row>
    <row r="5165" spans="6:7" x14ac:dyDescent="0.2">
      <c r="F5165" s="591">
        <v>5156</v>
      </c>
      <c r="G5165" s="420">
        <f t="shared" ca="1" si="88"/>
        <v>0.12068114319520575</v>
      </c>
    </row>
    <row r="5166" spans="6:7" x14ac:dyDescent="0.2">
      <c r="F5166" s="591">
        <v>5157</v>
      </c>
      <c r="G5166" s="420">
        <f t="shared" ca="1" si="88"/>
        <v>7.8433799589194414E-3</v>
      </c>
    </row>
    <row r="5167" spans="6:7" x14ac:dyDescent="0.2">
      <c r="F5167" s="591">
        <v>5158</v>
      </c>
      <c r="G5167" s="420">
        <f t="shared" ca="1" si="88"/>
        <v>-8.900189669426127E-2</v>
      </c>
    </row>
    <row r="5168" spans="6:7" x14ac:dyDescent="0.2">
      <c r="F5168" s="591">
        <v>5159</v>
      </c>
      <c r="G5168" s="420">
        <f t="shared" ca="1" si="88"/>
        <v>-4.0896110707986197E-2</v>
      </c>
    </row>
    <row r="5169" spans="6:7" x14ac:dyDescent="0.2">
      <c r="F5169" s="591">
        <v>5160</v>
      </c>
      <c r="G5169" s="420">
        <f t="shared" ca="1" si="88"/>
        <v>2.7124002248374898E-2</v>
      </c>
    </row>
    <row r="5170" spans="6:7" x14ac:dyDescent="0.2">
      <c r="F5170" s="591">
        <v>5161</v>
      </c>
      <c r="G5170" s="420">
        <f t="shared" ca="1" si="88"/>
        <v>-5.152331775336487E-2</v>
      </c>
    </row>
    <row r="5171" spans="6:7" x14ac:dyDescent="0.2">
      <c r="F5171" s="591">
        <v>5162</v>
      </c>
      <c r="G5171" s="420">
        <f t="shared" ca="1" si="88"/>
        <v>1.4996275642789263E-2</v>
      </c>
    </row>
    <row r="5172" spans="6:7" x14ac:dyDescent="0.2">
      <c r="F5172" s="591">
        <v>5163</v>
      </c>
      <c r="G5172" s="420">
        <f t="shared" ca="1" si="88"/>
        <v>-7.6773727300486025E-2</v>
      </c>
    </row>
    <row r="5173" spans="6:7" x14ac:dyDescent="0.2">
      <c r="F5173" s="591">
        <v>5164</v>
      </c>
      <c r="G5173" s="420">
        <f t="shared" ca="1" si="88"/>
        <v>-2.1268449077765043E-3</v>
      </c>
    </row>
    <row r="5174" spans="6:7" x14ac:dyDescent="0.2">
      <c r="F5174" s="591">
        <v>5165</v>
      </c>
      <c r="G5174" s="420">
        <f t="shared" ca="1" si="88"/>
        <v>1.2099735117183125E-2</v>
      </c>
    </row>
    <row r="5175" spans="6:7" x14ac:dyDescent="0.2">
      <c r="F5175" s="591">
        <v>5166</v>
      </c>
      <c r="G5175" s="420">
        <f t="shared" ca="1" si="88"/>
        <v>9.79471123816536E-2</v>
      </c>
    </row>
    <row r="5176" spans="6:7" x14ac:dyDescent="0.2">
      <c r="F5176" s="591">
        <v>5167</v>
      </c>
      <c r="G5176" s="420">
        <f t="shared" ca="1" si="88"/>
        <v>3.9608724968040937E-2</v>
      </c>
    </row>
    <row r="5177" spans="6:7" x14ac:dyDescent="0.2">
      <c r="F5177" s="591">
        <v>5168</v>
      </c>
      <c r="G5177" s="420">
        <f t="shared" ca="1" si="88"/>
        <v>-2.9217376478861374E-2</v>
      </c>
    </row>
    <row r="5178" spans="6:7" x14ac:dyDescent="0.2">
      <c r="F5178" s="591">
        <v>5169</v>
      </c>
      <c r="G5178" s="420">
        <f t="shared" ca="1" si="88"/>
        <v>-2.2088360201278582E-2</v>
      </c>
    </row>
    <row r="5179" spans="6:7" x14ac:dyDescent="0.2">
      <c r="F5179" s="591">
        <v>5170</v>
      </c>
      <c r="G5179" s="420">
        <f t="shared" ca="1" si="88"/>
        <v>6.8463580115171271E-2</v>
      </c>
    </row>
    <row r="5180" spans="6:7" x14ac:dyDescent="0.2">
      <c r="F5180" s="591">
        <v>5171</v>
      </c>
      <c r="G5180" s="420">
        <f t="shared" ca="1" si="88"/>
        <v>3.433839162187291E-2</v>
      </c>
    </row>
    <row r="5181" spans="6:7" x14ac:dyDescent="0.2">
      <c r="F5181" s="591">
        <v>5172</v>
      </c>
      <c r="G5181" s="420">
        <f t="shared" ca="1" si="88"/>
        <v>4.5294703785583867E-2</v>
      </c>
    </row>
    <row r="5182" spans="6:7" x14ac:dyDescent="0.2">
      <c r="F5182" s="591">
        <v>5173</v>
      </c>
      <c r="G5182" s="420">
        <f t="shared" ca="1" si="88"/>
        <v>3.1180603829072402E-2</v>
      </c>
    </row>
    <row r="5183" spans="6:7" x14ac:dyDescent="0.2">
      <c r="F5183" s="591">
        <v>5174</v>
      </c>
      <c r="G5183" s="420">
        <f t="shared" ca="1" si="88"/>
        <v>5.6167969636797627E-2</v>
      </c>
    </row>
    <row r="5184" spans="6:7" x14ac:dyDescent="0.2">
      <c r="F5184" s="591">
        <v>5175</v>
      </c>
      <c r="G5184" s="420">
        <f t="shared" ca="1" si="88"/>
        <v>-5.2729047718874766E-2</v>
      </c>
    </row>
    <row r="5185" spans="6:7" x14ac:dyDescent="0.2">
      <c r="F5185" s="591">
        <v>5176</v>
      </c>
      <c r="G5185" s="420">
        <f t="shared" ca="1" si="88"/>
        <v>3.8953720173014447E-2</v>
      </c>
    </row>
    <row r="5186" spans="6:7" x14ac:dyDescent="0.2">
      <c r="F5186" s="591">
        <v>5177</v>
      </c>
      <c r="G5186" s="420">
        <f t="shared" ca="1" si="88"/>
        <v>4.1072498500142426E-2</v>
      </c>
    </row>
    <row r="5187" spans="6:7" x14ac:dyDescent="0.2">
      <c r="F5187" s="591">
        <v>5178</v>
      </c>
      <c r="G5187" s="420">
        <f t="shared" ca="1" si="88"/>
        <v>0.14735559094080197</v>
      </c>
    </row>
    <row r="5188" spans="6:7" x14ac:dyDescent="0.2">
      <c r="F5188" s="591">
        <v>5179</v>
      </c>
      <c r="G5188" s="420">
        <f t="shared" ca="1" si="88"/>
        <v>-0.10847124416845613</v>
      </c>
    </row>
    <row r="5189" spans="6:7" x14ac:dyDescent="0.2">
      <c r="F5189" s="591">
        <v>5180</v>
      </c>
      <c r="G5189" s="420">
        <f t="shared" ca="1" si="88"/>
        <v>-1.1416741254691599E-2</v>
      </c>
    </row>
    <row r="5190" spans="6:7" x14ac:dyDescent="0.2">
      <c r="F5190" s="591">
        <v>5181</v>
      </c>
      <c r="G5190" s="420">
        <f t="shared" ca="1" si="88"/>
        <v>1.2934669017349295E-2</v>
      </c>
    </row>
    <row r="5191" spans="6:7" x14ac:dyDescent="0.2">
      <c r="F5191" s="591">
        <v>5182</v>
      </c>
      <c r="G5191" s="420">
        <f t="shared" ca="1" si="88"/>
        <v>-9.8145308822550723E-2</v>
      </c>
    </row>
    <row r="5192" spans="6:7" x14ac:dyDescent="0.2">
      <c r="F5192" s="591">
        <v>5183</v>
      </c>
      <c r="G5192" s="420">
        <f t="shared" ca="1" si="88"/>
        <v>5.9563381517725431E-2</v>
      </c>
    </row>
    <row r="5193" spans="6:7" x14ac:dyDescent="0.2">
      <c r="F5193" s="591">
        <v>5184</v>
      </c>
      <c r="G5193" s="420">
        <f t="shared" ca="1" si="88"/>
        <v>4.8154940767635296E-2</v>
      </c>
    </row>
    <row r="5194" spans="6:7" x14ac:dyDescent="0.2">
      <c r="F5194" s="591">
        <v>5185</v>
      </c>
      <c r="G5194" s="420">
        <f t="shared" ca="1" si="88"/>
        <v>2.9761194786201345E-2</v>
      </c>
    </row>
    <row r="5195" spans="6:7" x14ac:dyDescent="0.2">
      <c r="F5195" s="591">
        <v>5186</v>
      </c>
      <c r="G5195" s="420">
        <f t="shared" ref="G5195:G5258" ca="1" si="89">_xlfn.NORM.INV(RAND(), $M$11,$M$12)</f>
        <v>7.344102972522934E-2</v>
      </c>
    </row>
    <row r="5196" spans="6:7" x14ac:dyDescent="0.2">
      <c r="F5196" s="591">
        <v>5187</v>
      </c>
      <c r="G5196" s="420">
        <f t="shared" ca="1" si="89"/>
        <v>3.8304298161429703E-2</v>
      </c>
    </row>
    <row r="5197" spans="6:7" x14ac:dyDescent="0.2">
      <c r="F5197" s="591">
        <v>5188</v>
      </c>
      <c r="G5197" s="420">
        <f t="shared" ca="1" si="89"/>
        <v>2.0670777369738685E-2</v>
      </c>
    </row>
    <row r="5198" spans="6:7" x14ac:dyDescent="0.2">
      <c r="F5198" s="591">
        <v>5189</v>
      </c>
      <c r="G5198" s="420">
        <f t="shared" ca="1" si="89"/>
        <v>2.755748570424537E-2</v>
      </c>
    </row>
    <row r="5199" spans="6:7" x14ac:dyDescent="0.2">
      <c r="F5199" s="591">
        <v>5190</v>
      </c>
      <c r="G5199" s="420">
        <f t="shared" ca="1" si="89"/>
        <v>9.1131014889092171E-2</v>
      </c>
    </row>
    <row r="5200" spans="6:7" x14ac:dyDescent="0.2">
      <c r="F5200" s="591">
        <v>5191</v>
      </c>
      <c r="G5200" s="420">
        <f t="shared" ca="1" si="89"/>
        <v>-6.9001311491834541E-2</v>
      </c>
    </row>
    <row r="5201" spans="6:7" x14ac:dyDescent="0.2">
      <c r="F5201" s="591">
        <v>5192</v>
      </c>
      <c r="G5201" s="420">
        <f t="shared" ca="1" si="89"/>
        <v>-1.6351370114068033E-2</v>
      </c>
    </row>
    <row r="5202" spans="6:7" x14ac:dyDescent="0.2">
      <c r="F5202" s="591">
        <v>5193</v>
      </c>
      <c r="G5202" s="420">
        <f t="shared" ca="1" si="89"/>
        <v>4.6297438291797513E-2</v>
      </c>
    </row>
    <row r="5203" spans="6:7" x14ac:dyDescent="0.2">
      <c r="F5203" s="591">
        <v>5194</v>
      </c>
      <c r="G5203" s="420">
        <f t="shared" ca="1" si="89"/>
        <v>3.4147332006051634E-2</v>
      </c>
    </row>
    <row r="5204" spans="6:7" x14ac:dyDescent="0.2">
      <c r="F5204" s="591">
        <v>5195</v>
      </c>
      <c r="G5204" s="420">
        <f t="shared" ca="1" si="89"/>
        <v>2.8066841878186151E-2</v>
      </c>
    </row>
    <row r="5205" spans="6:7" x14ac:dyDescent="0.2">
      <c r="F5205" s="591">
        <v>5196</v>
      </c>
      <c r="G5205" s="420">
        <f t="shared" ca="1" si="89"/>
        <v>1.9302646858860042E-2</v>
      </c>
    </row>
    <row r="5206" spans="6:7" x14ac:dyDescent="0.2">
      <c r="F5206" s="591">
        <v>5197</v>
      </c>
      <c r="G5206" s="420">
        <f t="shared" ca="1" si="89"/>
        <v>0.13194314915395153</v>
      </c>
    </row>
    <row r="5207" spans="6:7" x14ac:dyDescent="0.2">
      <c r="F5207" s="591">
        <v>5198</v>
      </c>
      <c r="G5207" s="420">
        <f t="shared" ca="1" si="89"/>
        <v>-1.2304440631970417E-2</v>
      </c>
    </row>
    <row r="5208" spans="6:7" x14ac:dyDescent="0.2">
      <c r="F5208" s="591">
        <v>5199</v>
      </c>
      <c r="G5208" s="420">
        <f t="shared" ca="1" si="89"/>
        <v>0.16691605659687381</v>
      </c>
    </row>
    <row r="5209" spans="6:7" x14ac:dyDescent="0.2">
      <c r="F5209" s="591">
        <v>5200</v>
      </c>
      <c r="G5209" s="420">
        <f t="shared" ca="1" si="89"/>
        <v>-6.8597170299505676E-3</v>
      </c>
    </row>
    <row r="5210" spans="6:7" x14ac:dyDescent="0.2">
      <c r="F5210" s="591">
        <v>5201</v>
      </c>
      <c r="G5210" s="420">
        <f t="shared" ca="1" si="89"/>
        <v>-3.9351350880840602E-2</v>
      </c>
    </row>
    <row r="5211" spans="6:7" x14ac:dyDescent="0.2">
      <c r="F5211" s="591">
        <v>5202</v>
      </c>
      <c r="G5211" s="420">
        <f t="shared" ca="1" si="89"/>
        <v>4.3552087463710323E-2</v>
      </c>
    </row>
    <row r="5212" spans="6:7" x14ac:dyDescent="0.2">
      <c r="F5212" s="591">
        <v>5203</v>
      </c>
      <c r="G5212" s="420">
        <f t="shared" ca="1" si="89"/>
        <v>-2.6738939354821228E-2</v>
      </c>
    </row>
    <row r="5213" spans="6:7" x14ac:dyDescent="0.2">
      <c r="F5213" s="591">
        <v>5204</v>
      </c>
      <c r="G5213" s="420">
        <f t="shared" ca="1" si="89"/>
        <v>3.1432475756037567E-2</v>
      </c>
    </row>
    <row r="5214" spans="6:7" x14ac:dyDescent="0.2">
      <c r="F5214" s="591">
        <v>5205</v>
      </c>
      <c r="G5214" s="420">
        <f t="shared" ca="1" si="89"/>
        <v>-3.7872877606450361E-2</v>
      </c>
    </row>
    <row r="5215" spans="6:7" x14ac:dyDescent="0.2">
      <c r="F5215" s="591">
        <v>5206</v>
      </c>
      <c r="G5215" s="420">
        <f t="shared" ca="1" si="89"/>
        <v>-3.5993455403895522E-2</v>
      </c>
    </row>
    <row r="5216" spans="6:7" x14ac:dyDescent="0.2">
      <c r="F5216" s="591">
        <v>5207</v>
      </c>
      <c r="G5216" s="420">
        <f t="shared" ca="1" si="89"/>
        <v>-5.2049576459635205E-2</v>
      </c>
    </row>
    <row r="5217" spans="6:7" x14ac:dyDescent="0.2">
      <c r="F5217" s="591">
        <v>5208</v>
      </c>
      <c r="G5217" s="420">
        <f t="shared" ca="1" si="89"/>
        <v>5.3788554214623113E-2</v>
      </c>
    </row>
    <row r="5218" spans="6:7" x14ac:dyDescent="0.2">
      <c r="F5218" s="591">
        <v>5209</v>
      </c>
      <c r="G5218" s="420">
        <f t="shared" ca="1" si="89"/>
        <v>3.0281373841325832E-2</v>
      </c>
    </row>
    <row r="5219" spans="6:7" x14ac:dyDescent="0.2">
      <c r="F5219" s="591">
        <v>5210</v>
      </c>
      <c r="G5219" s="420">
        <f t="shared" ca="1" si="89"/>
        <v>0.13573080560447381</v>
      </c>
    </row>
    <row r="5220" spans="6:7" x14ac:dyDescent="0.2">
      <c r="F5220" s="591">
        <v>5211</v>
      </c>
      <c r="G5220" s="420">
        <f t="shared" ca="1" si="89"/>
        <v>1.6361285067795411E-2</v>
      </c>
    </row>
    <row r="5221" spans="6:7" x14ac:dyDescent="0.2">
      <c r="F5221" s="591">
        <v>5212</v>
      </c>
      <c r="G5221" s="420">
        <f t="shared" ca="1" si="89"/>
        <v>-1.2991255897193788E-2</v>
      </c>
    </row>
    <row r="5222" spans="6:7" x14ac:dyDescent="0.2">
      <c r="F5222" s="591">
        <v>5213</v>
      </c>
      <c r="G5222" s="420">
        <f t="shared" ca="1" si="89"/>
        <v>0.2108800632693143</v>
      </c>
    </row>
    <row r="5223" spans="6:7" x14ac:dyDescent="0.2">
      <c r="F5223" s="591">
        <v>5214</v>
      </c>
      <c r="G5223" s="420">
        <f t="shared" ca="1" si="89"/>
        <v>-8.2259465463525194E-2</v>
      </c>
    </row>
    <row r="5224" spans="6:7" x14ac:dyDescent="0.2">
      <c r="F5224" s="591">
        <v>5215</v>
      </c>
      <c r="G5224" s="420">
        <f t="shared" ca="1" si="89"/>
        <v>-9.1266172421836343E-3</v>
      </c>
    </row>
    <row r="5225" spans="6:7" x14ac:dyDescent="0.2">
      <c r="F5225" s="591">
        <v>5216</v>
      </c>
      <c r="G5225" s="420">
        <f t="shared" ca="1" si="89"/>
        <v>-5.6586638111697091E-2</v>
      </c>
    </row>
    <row r="5226" spans="6:7" x14ac:dyDescent="0.2">
      <c r="F5226" s="591">
        <v>5217</v>
      </c>
      <c r="G5226" s="420">
        <f t="shared" ca="1" si="89"/>
        <v>2.2354002324653333E-2</v>
      </c>
    </row>
    <row r="5227" spans="6:7" x14ac:dyDescent="0.2">
      <c r="F5227" s="591">
        <v>5218</v>
      </c>
      <c r="G5227" s="420">
        <f t="shared" ca="1" si="89"/>
        <v>-3.0143862119121099E-2</v>
      </c>
    </row>
    <row r="5228" spans="6:7" x14ac:dyDescent="0.2">
      <c r="F5228" s="591">
        <v>5219</v>
      </c>
      <c r="G5228" s="420">
        <f t="shared" ca="1" si="89"/>
        <v>-7.9275153990324879E-2</v>
      </c>
    </row>
    <row r="5229" spans="6:7" x14ac:dyDescent="0.2">
      <c r="F5229" s="591">
        <v>5220</v>
      </c>
      <c r="G5229" s="420">
        <f t="shared" ca="1" si="89"/>
        <v>-3.974322184829944E-2</v>
      </c>
    </row>
    <row r="5230" spans="6:7" x14ac:dyDescent="0.2">
      <c r="F5230" s="591">
        <v>5221</v>
      </c>
      <c r="G5230" s="420">
        <f t="shared" ca="1" si="89"/>
        <v>-7.3968873977285549E-2</v>
      </c>
    </row>
    <row r="5231" spans="6:7" x14ac:dyDescent="0.2">
      <c r="F5231" s="591">
        <v>5222</v>
      </c>
      <c r="G5231" s="420">
        <f t="shared" ca="1" si="89"/>
        <v>8.2990418407673849E-2</v>
      </c>
    </row>
    <row r="5232" spans="6:7" x14ac:dyDescent="0.2">
      <c r="F5232" s="591">
        <v>5223</v>
      </c>
      <c r="G5232" s="420">
        <f t="shared" ca="1" si="89"/>
        <v>-1.1560482365619712E-2</v>
      </c>
    </row>
    <row r="5233" spans="6:7" x14ac:dyDescent="0.2">
      <c r="F5233" s="591">
        <v>5224</v>
      </c>
      <c r="G5233" s="420">
        <f t="shared" ca="1" si="89"/>
        <v>5.8152557481596021E-2</v>
      </c>
    </row>
    <row r="5234" spans="6:7" x14ac:dyDescent="0.2">
      <c r="F5234" s="591">
        <v>5225</v>
      </c>
      <c r="G5234" s="420">
        <f t="shared" ca="1" si="89"/>
        <v>6.99120170953616E-2</v>
      </c>
    </row>
    <row r="5235" spans="6:7" x14ac:dyDescent="0.2">
      <c r="F5235" s="591">
        <v>5226</v>
      </c>
      <c r="G5235" s="420">
        <f t="shared" ca="1" si="89"/>
        <v>-0.14767463010413498</v>
      </c>
    </row>
    <row r="5236" spans="6:7" x14ac:dyDescent="0.2">
      <c r="F5236" s="591">
        <v>5227</v>
      </c>
      <c r="G5236" s="420">
        <f t="shared" ca="1" si="89"/>
        <v>2.5174358103274772E-2</v>
      </c>
    </row>
    <row r="5237" spans="6:7" x14ac:dyDescent="0.2">
      <c r="F5237" s="591">
        <v>5228</v>
      </c>
      <c r="G5237" s="420">
        <f t="shared" ca="1" si="89"/>
        <v>-0.12815116592338099</v>
      </c>
    </row>
    <row r="5238" spans="6:7" x14ac:dyDescent="0.2">
      <c r="F5238" s="591">
        <v>5229</v>
      </c>
      <c r="G5238" s="420">
        <f t="shared" ca="1" si="89"/>
        <v>1.3147288725027332E-2</v>
      </c>
    </row>
    <row r="5239" spans="6:7" x14ac:dyDescent="0.2">
      <c r="F5239" s="591">
        <v>5230</v>
      </c>
      <c r="G5239" s="420">
        <f t="shared" ca="1" si="89"/>
        <v>-9.354481592335212E-2</v>
      </c>
    </row>
    <row r="5240" spans="6:7" x14ac:dyDescent="0.2">
      <c r="F5240" s="591">
        <v>5231</v>
      </c>
      <c r="G5240" s="420">
        <f t="shared" ca="1" si="89"/>
        <v>-2.636803162366794E-2</v>
      </c>
    </row>
    <row r="5241" spans="6:7" x14ac:dyDescent="0.2">
      <c r="F5241" s="591">
        <v>5232</v>
      </c>
      <c r="G5241" s="420">
        <f t="shared" ca="1" si="89"/>
        <v>5.3809598447525711E-2</v>
      </c>
    </row>
    <row r="5242" spans="6:7" x14ac:dyDescent="0.2">
      <c r="F5242" s="591">
        <v>5233</v>
      </c>
      <c r="G5242" s="420">
        <f t="shared" ca="1" si="89"/>
        <v>5.9961273825971592E-2</v>
      </c>
    </row>
    <row r="5243" spans="6:7" x14ac:dyDescent="0.2">
      <c r="F5243" s="591">
        <v>5234</v>
      </c>
      <c r="G5243" s="420">
        <f t="shared" ca="1" si="89"/>
        <v>2.7092507195063165E-2</v>
      </c>
    </row>
    <row r="5244" spans="6:7" x14ac:dyDescent="0.2">
      <c r="F5244" s="591">
        <v>5235</v>
      </c>
      <c r="G5244" s="420">
        <f t="shared" ca="1" si="89"/>
        <v>-4.9389334699481258E-2</v>
      </c>
    </row>
    <row r="5245" spans="6:7" x14ac:dyDescent="0.2">
      <c r="F5245" s="591">
        <v>5236</v>
      </c>
      <c r="G5245" s="420">
        <f t="shared" ca="1" si="89"/>
        <v>-4.9575228433441462E-2</v>
      </c>
    </row>
    <row r="5246" spans="6:7" x14ac:dyDescent="0.2">
      <c r="F5246" s="591">
        <v>5237</v>
      </c>
      <c r="G5246" s="420">
        <f t="shared" ca="1" si="89"/>
        <v>-0.11876189224780938</v>
      </c>
    </row>
    <row r="5247" spans="6:7" x14ac:dyDescent="0.2">
      <c r="F5247" s="591">
        <v>5238</v>
      </c>
      <c r="G5247" s="420">
        <f t="shared" ca="1" si="89"/>
        <v>9.7387306942017832E-2</v>
      </c>
    </row>
    <row r="5248" spans="6:7" x14ac:dyDescent="0.2">
      <c r="F5248" s="591">
        <v>5239</v>
      </c>
      <c r="G5248" s="420">
        <f t="shared" ca="1" si="89"/>
        <v>-9.3610258725820419E-2</v>
      </c>
    </row>
    <row r="5249" spans="6:7" x14ac:dyDescent="0.2">
      <c r="F5249" s="591">
        <v>5240</v>
      </c>
      <c r="G5249" s="420">
        <f t="shared" ca="1" si="89"/>
        <v>2.5048612537329831E-2</v>
      </c>
    </row>
    <row r="5250" spans="6:7" x14ac:dyDescent="0.2">
      <c r="F5250" s="591">
        <v>5241</v>
      </c>
      <c r="G5250" s="420">
        <f t="shared" ca="1" si="89"/>
        <v>-6.5956786870730422E-2</v>
      </c>
    </row>
    <row r="5251" spans="6:7" x14ac:dyDescent="0.2">
      <c r="F5251" s="591">
        <v>5242</v>
      </c>
      <c r="G5251" s="420">
        <f t="shared" ca="1" si="89"/>
        <v>0.20621404706334856</v>
      </c>
    </row>
    <row r="5252" spans="6:7" x14ac:dyDescent="0.2">
      <c r="F5252" s="591">
        <v>5243</v>
      </c>
      <c r="G5252" s="420">
        <f t="shared" ca="1" si="89"/>
        <v>5.1931027915261038E-2</v>
      </c>
    </row>
    <row r="5253" spans="6:7" x14ac:dyDescent="0.2">
      <c r="F5253" s="591">
        <v>5244</v>
      </c>
      <c r="G5253" s="420">
        <f t="shared" ca="1" si="89"/>
        <v>7.3670608018567119E-2</v>
      </c>
    </row>
    <row r="5254" spans="6:7" x14ac:dyDescent="0.2">
      <c r="F5254" s="591">
        <v>5245</v>
      </c>
      <c r="G5254" s="420">
        <f t="shared" ca="1" si="89"/>
        <v>-1.6575379396805784E-2</v>
      </c>
    </row>
    <row r="5255" spans="6:7" x14ac:dyDescent="0.2">
      <c r="F5255" s="591">
        <v>5246</v>
      </c>
      <c r="G5255" s="420">
        <f t="shared" ca="1" si="89"/>
        <v>8.5420668852319234E-2</v>
      </c>
    </row>
    <row r="5256" spans="6:7" x14ac:dyDescent="0.2">
      <c r="F5256" s="591">
        <v>5247</v>
      </c>
      <c r="G5256" s="420">
        <f t="shared" ca="1" si="89"/>
        <v>-4.7891038273533346E-2</v>
      </c>
    </row>
    <row r="5257" spans="6:7" x14ac:dyDescent="0.2">
      <c r="F5257" s="591">
        <v>5248</v>
      </c>
      <c r="G5257" s="420">
        <f t="shared" ca="1" si="89"/>
        <v>7.1353331099497088E-3</v>
      </c>
    </row>
    <row r="5258" spans="6:7" x14ac:dyDescent="0.2">
      <c r="F5258" s="591">
        <v>5249</v>
      </c>
      <c r="G5258" s="420">
        <f t="shared" ca="1" si="89"/>
        <v>3.2811135553790546E-2</v>
      </c>
    </row>
    <row r="5259" spans="6:7" x14ac:dyDescent="0.2">
      <c r="F5259" s="591">
        <v>5250</v>
      </c>
      <c r="G5259" s="420">
        <f t="shared" ref="G5259:G5322" ca="1" si="90">_xlfn.NORM.INV(RAND(), $M$11,$M$12)</f>
        <v>-4.2702635948584519E-2</v>
      </c>
    </row>
    <row r="5260" spans="6:7" x14ac:dyDescent="0.2">
      <c r="F5260" s="591">
        <v>5251</v>
      </c>
      <c r="G5260" s="420">
        <f t="shared" ca="1" si="90"/>
        <v>-8.0145327093968474E-2</v>
      </c>
    </row>
    <row r="5261" spans="6:7" x14ac:dyDescent="0.2">
      <c r="F5261" s="591">
        <v>5252</v>
      </c>
      <c r="G5261" s="420">
        <f t="shared" ca="1" si="90"/>
        <v>-8.3796884735142477E-2</v>
      </c>
    </row>
    <row r="5262" spans="6:7" x14ac:dyDescent="0.2">
      <c r="F5262" s="591">
        <v>5253</v>
      </c>
      <c r="G5262" s="420">
        <f t="shared" ca="1" si="90"/>
        <v>0.12025681375413197</v>
      </c>
    </row>
    <row r="5263" spans="6:7" x14ac:dyDescent="0.2">
      <c r="F5263" s="591">
        <v>5254</v>
      </c>
      <c r="G5263" s="420">
        <f t="shared" ca="1" si="90"/>
        <v>4.9505866705113671E-2</v>
      </c>
    </row>
    <row r="5264" spans="6:7" x14ac:dyDescent="0.2">
      <c r="F5264" s="591">
        <v>5255</v>
      </c>
      <c r="G5264" s="420">
        <f t="shared" ca="1" si="90"/>
        <v>-2.9754810795701924E-2</v>
      </c>
    </row>
    <row r="5265" spans="6:7" x14ac:dyDescent="0.2">
      <c r="F5265" s="591">
        <v>5256</v>
      </c>
      <c r="G5265" s="420">
        <f t="shared" ca="1" si="90"/>
        <v>-5.9763638689426246E-3</v>
      </c>
    </row>
    <row r="5266" spans="6:7" x14ac:dyDescent="0.2">
      <c r="F5266" s="591">
        <v>5257</v>
      </c>
      <c r="G5266" s="420">
        <f t="shared" ca="1" si="90"/>
        <v>-0.12442950546173724</v>
      </c>
    </row>
    <row r="5267" spans="6:7" x14ac:dyDescent="0.2">
      <c r="F5267" s="591">
        <v>5258</v>
      </c>
      <c r="G5267" s="420">
        <f t="shared" ca="1" si="90"/>
        <v>6.740122608367248E-2</v>
      </c>
    </row>
    <row r="5268" spans="6:7" x14ac:dyDescent="0.2">
      <c r="F5268" s="591">
        <v>5259</v>
      </c>
      <c r="G5268" s="420">
        <f t="shared" ca="1" si="90"/>
        <v>7.2167433988378202E-2</v>
      </c>
    </row>
    <row r="5269" spans="6:7" x14ac:dyDescent="0.2">
      <c r="F5269" s="591">
        <v>5260</v>
      </c>
      <c r="G5269" s="420">
        <f t="shared" ca="1" si="90"/>
        <v>-1.1570531946396269E-2</v>
      </c>
    </row>
    <row r="5270" spans="6:7" x14ac:dyDescent="0.2">
      <c r="F5270" s="591">
        <v>5261</v>
      </c>
      <c r="G5270" s="420">
        <f t="shared" ca="1" si="90"/>
        <v>9.2617906599823982E-2</v>
      </c>
    </row>
    <row r="5271" spans="6:7" x14ac:dyDescent="0.2">
      <c r="F5271" s="591">
        <v>5262</v>
      </c>
      <c r="G5271" s="420">
        <f t="shared" ca="1" si="90"/>
        <v>0.11110117552969544</v>
      </c>
    </row>
    <row r="5272" spans="6:7" x14ac:dyDescent="0.2">
      <c r="F5272" s="591">
        <v>5263</v>
      </c>
      <c r="G5272" s="420">
        <f t="shared" ca="1" si="90"/>
        <v>0.11375571444417167</v>
      </c>
    </row>
    <row r="5273" spans="6:7" x14ac:dyDescent="0.2">
      <c r="F5273" s="591">
        <v>5264</v>
      </c>
      <c r="G5273" s="420">
        <f t="shared" ca="1" si="90"/>
        <v>5.231579603424634E-2</v>
      </c>
    </row>
    <row r="5274" spans="6:7" x14ac:dyDescent="0.2">
      <c r="F5274" s="591">
        <v>5265</v>
      </c>
      <c r="G5274" s="420">
        <f t="shared" ca="1" si="90"/>
        <v>1.6564841440355502E-2</v>
      </c>
    </row>
    <row r="5275" spans="6:7" x14ac:dyDescent="0.2">
      <c r="F5275" s="591">
        <v>5266</v>
      </c>
      <c r="G5275" s="420">
        <f t="shared" ca="1" si="90"/>
        <v>8.5463370189003643E-2</v>
      </c>
    </row>
    <row r="5276" spans="6:7" x14ac:dyDescent="0.2">
      <c r="F5276" s="591">
        <v>5267</v>
      </c>
      <c r="G5276" s="420">
        <f t="shared" ca="1" si="90"/>
        <v>0.14782955786095991</v>
      </c>
    </row>
    <row r="5277" spans="6:7" x14ac:dyDescent="0.2">
      <c r="F5277" s="591">
        <v>5268</v>
      </c>
      <c r="G5277" s="420">
        <f t="shared" ca="1" si="90"/>
        <v>3.1378149691108664E-2</v>
      </c>
    </row>
    <row r="5278" spans="6:7" x14ac:dyDescent="0.2">
      <c r="F5278" s="591">
        <v>5269</v>
      </c>
      <c r="G5278" s="420">
        <f t="shared" ca="1" si="90"/>
        <v>-2.008035725055567E-2</v>
      </c>
    </row>
    <row r="5279" spans="6:7" x14ac:dyDescent="0.2">
      <c r="F5279" s="591">
        <v>5270</v>
      </c>
      <c r="G5279" s="420">
        <f t="shared" ca="1" si="90"/>
        <v>2.2792787923549579E-2</v>
      </c>
    </row>
    <row r="5280" spans="6:7" x14ac:dyDescent="0.2">
      <c r="F5280" s="591">
        <v>5271</v>
      </c>
      <c r="G5280" s="420">
        <f t="shared" ca="1" si="90"/>
        <v>9.1191926019383071E-2</v>
      </c>
    </row>
    <row r="5281" spans="6:7" x14ac:dyDescent="0.2">
      <c r="F5281" s="591">
        <v>5272</v>
      </c>
      <c r="G5281" s="420">
        <f t="shared" ca="1" si="90"/>
        <v>-4.0792585818762994E-2</v>
      </c>
    </row>
    <row r="5282" spans="6:7" x14ac:dyDescent="0.2">
      <c r="F5282" s="591">
        <v>5273</v>
      </c>
      <c r="G5282" s="420">
        <f t="shared" ca="1" si="90"/>
        <v>2.1496601429608908E-2</v>
      </c>
    </row>
    <row r="5283" spans="6:7" x14ac:dyDescent="0.2">
      <c r="F5283" s="591">
        <v>5274</v>
      </c>
      <c r="G5283" s="420">
        <f t="shared" ca="1" si="90"/>
        <v>4.55222630914182E-2</v>
      </c>
    </row>
    <row r="5284" spans="6:7" x14ac:dyDescent="0.2">
      <c r="F5284" s="591">
        <v>5275</v>
      </c>
      <c r="G5284" s="420">
        <f t="shared" ca="1" si="90"/>
        <v>-3.0386232744772718E-2</v>
      </c>
    </row>
    <row r="5285" spans="6:7" x14ac:dyDescent="0.2">
      <c r="F5285" s="591">
        <v>5276</v>
      </c>
      <c r="G5285" s="420">
        <f t="shared" ca="1" si="90"/>
        <v>8.2242348574564861E-2</v>
      </c>
    </row>
    <row r="5286" spans="6:7" x14ac:dyDescent="0.2">
      <c r="F5286" s="591">
        <v>5277</v>
      </c>
      <c r="G5286" s="420">
        <f t="shared" ca="1" si="90"/>
        <v>1.8729799379868229E-2</v>
      </c>
    </row>
    <row r="5287" spans="6:7" x14ac:dyDescent="0.2">
      <c r="F5287" s="591">
        <v>5278</v>
      </c>
      <c r="G5287" s="420">
        <f t="shared" ca="1" si="90"/>
        <v>8.0945832584176786E-2</v>
      </c>
    </row>
    <row r="5288" spans="6:7" x14ac:dyDescent="0.2">
      <c r="F5288" s="591">
        <v>5279</v>
      </c>
      <c r="G5288" s="420">
        <f t="shared" ca="1" si="90"/>
        <v>-7.8984392559313207E-2</v>
      </c>
    </row>
    <row r="5289" spans="6:7" x14ac:dyDescent="0.2">
      <c r="F5289" s="591">
        <v>5280</v>
      </c>
      <c r="G5289" s="420">
        <f t="shared" ca="1" si="90"/>
        <v>-5.3971194612026499E-2</v>
      </c>
    </row>
    <row r="5290" spans="6:7" x14ac:dyDescent="0.2">
      <c r="F5290" s="591">
        <v>5281</v>
      </c>
      <c r="G5290" s="420">
        <f t="shared" ca="1" si="90"/>
        <v>-5.3877372559892986E-2</v>
      </c>
    </row>
    <row r="5291" spans="6:7" x14ac:dyDescent="0.2">
      <c r="F5291" s="591">
        <v>5282</v>
      </c>
      <c r="G5291" s="420">
        <f t="shared" ca="1" si="90"/>
        <v>-0.10097431009240991</v>
      </c>
    </row>
    <row r="5292" spans="6:7" x14ac:dyDescent="0.2">
      <c r="F5292" s="591">
        <v>5283</v>
      </c>
      <c r="G5292" s="420">
        <f t="shared" ca="1" si="90"/>
        <v>0.13261824208520379</v>
      </c>
    </row>
    <row r="5293" spans="6:7" x14ac:dyDescent="0.2">
      <c r="F5293" s="591">
        <v>5284</v>
      </c>
      <c r="G5293" s="420">
        <f t="shared" ca="1" si="90"/>
        <v>4.2509042019720895E-2</v>
      </c>
    </row>
    <row r="5294" spans="6:7" x14ac:dyDescent="0.2">
      <c r="F5294" s="591">
        <v>5285</v>
      </c>
      <c r="G5294" s="420">
        <f t="shared" ca="1" si="90"/>
        <v>6.6425805914619121E-2</v>
      </c>
    </row>
    <row r="5295" spans="6:7" x14ac:dyDescent="0.2">
      <c r="F5295" s="591">
        <v>5286</v>
      </c>
      <c r="G5295" s="420">
        <f t="shared" ca="1" si="90"/>
        <v>-4.262204018724286E-2</v>
      </c>
    </row>
    <row r="5296" spans="6:7" x14ac:dyDescent="0.2">
      <c r="F5296" s="591">
        <v>5287</v>
      </c>
      <c r="G5296" s="420">
        <f t="shared" ca="1" si="90"/>
        <v>5.3822468304898299E-2</v>
      </c>
    </row>
    <row r="5297" spans="6:7" x14ac:dyDescent="0.2">
      <c r="F5297" s="591">
        <v>5288</v>
      </c>
      <c r="G5297" s="420">
        <f t="shared" ca="1" si="90"/>
        <v>0.18609139134843422</v>
      </c>
    </row>
    <row r="5298" spans="6:7" x14ac:dyDescent="0.2">
      <c r="F5298" s="591">
        <v>5289</v>
      </c>
      <c r="G5298" s="420">
        <f t="shared" ca="1" si="90"/>
        <v>2.2357086170978632E-2</v>
      </c>
    </row>
    <row r="5299" spans="6:7" x14ac:dyDescent="0.2">
      <c r="F5299" s="591">
        <v>5290</v>
      </c>
      <c r="G5299" s="420">
        <f t="shared" ca="1" si="90"/>
        <v>6.1780793177442436E-2</v>
      </c>
    </row>
    <row r="5300" spans="6:7" x14ac:dyDescent="0.2">
      <c r="F5300" s="591">
        <v>5291</v>
      </c>
      <c r="G5300" s="420">
        <f t="shared" ca="1" si="90"/>
        <v>0.16514957179248971</v>
      </c>
    </row>
    <row r="5301" spans="6:7" x14ac:dyDescent="0.2">
      <c r="F5301" s="591">
        <v>5292</v>
      </c>
      <c r="G5301" s="420">
        <f t="shared" ca="1" si="90"/>
        <v>-3.7873098398856164E-2</v>
      </c>
    </row>
    <row r="5302" spans="6:7" x14ac:dyDescent="0.2">
      <c r="F5302" s="591">
        <v>5293</v>
      </c>
      <c r="G5302" s="420">
        <f t="shared" ca="1" si="90"/>
        <v>-8.2556322877851612E-2</v>
      </c>
    </row>
    <row r="5303" spans="6:7" x14ac:dyDescent="0.2">
      <c r="F5303" s="591">
        <v>5294</v>
      </c>
      <c r="G5303" s="420">
        <f t="shared" ca="1" si="90"/>
        <v>-1.1655691180470752E-2</v>
      </c>
    </row>
    <row r="5304" spans="6:7" x14ac:dyDescent="0.2">
      <c r="F5304" s="591">
        <v>5295</v>
      </c>
      <c r="G5304" s="420">
        <f t="shared" ca="1" si="90"/>
        <v>-9.7404826852659013E-3</v>
      </c>
    </row>
    <row r="5305" spans="6:7" x14ac:dyDescent="0.2">
      <c r="F5305" s="591">
        <v>5296</v>
      </c>
      <c r="G5305" s="420">
        <f t="shared" ca="1" si="90"/>
        <v>-2.7375244563404389E-2</v>
      </c>
    </row>
    <row r="5306" spans="6:7" x14ac:dyDescent="0.2">
      <c r="F5306" s="591">
        <v>5297</v>
      </c>
      <c r="G5306" s="420">
        <f t="shared" ca="1" si="90"/>
        <v>-5.8629075135776129E-2</v>
      </c>
    </row>
    <row r="5307" spans="6:7" x14ac:dyDescent="0.2">
      <c r="F5307" s="591">
        <v>5298</v>
      </c>
      <c r="G5307" s="420">
        <f t="shared" ca="1" si="90"/>
        <v>7.5108763983611007E-2</v>
      </c>
    </row>
    <row r="5308" spans="6:7" x14ac:dyDescent="0.2">
      <c r="F5308" s="591">
        <v>5299</v>
      </c>
      <c r="G5308" s="420">
        <f t="shared" ca="1" si="90"/>
        <v>-9.6117723355742091E-2</v>
      </c>
    </row>
    <row r="5309" spans="6:7" x14ac:dyDescent="0.2">
      <c r="F5309" s="591">
        <v>5300</v>
      </c>
      <c r="G5309" s="420">
        <f t="shared" ca="1" si="90"/>
        <v>-5.445166427624161E-2</v>
      </c>
    </row>
    <row r="5310" spans="6:7" x14ac:dyDescent="0.2">
      <c r="F5310" s="591">
        <v>5301</v>
      </c>
      <c r="G5310" s="420">
        <f t="shared" ca="1" si="90"/>
        <v>3.2072297759423024E-2</v>
      </c>
    </row>
    <row r="5311" spans="6:7" x14ac:dyDescent="0.2">
      <c r="F5311" s="591">
        <v>5302</v>
      </c>
      <c r="G5311" s="420">
        <f t="shared" ca="1" si="90"/>
        <v>2.6162642487494572E-2</v>
      </c>
    </row>
    <row r="5312" spans="6:7" x14ac:dyDescent="0.2">
      <c r="F5312" s="591">
        <v>5303</v>
      </c>
      <c r="G5312" s="420">
        <f t="shared" ca="1" si="90"/>
        <v>3.1692121641983886E-2</v>
      </c>
    </row>
    <row r="5313" spans="6:7" x14ac:dyDescent="0.2">
      <c r="F5313" s="591">
        <v>5304</v>
      </c>
      <c r="G5313" s="420">
        <f t="shared" ca="1" si="90"/>
        <v>-5.3753177615972064E-3</v>
      </c>
    </row>
    <row r="5314" spans="6:7" x14ac:dyDescent="0.2">
      <c r="F5314" s="591">
        <v>5305</v>
      </c>
      <c r="G5314" s="420">
        <f t="shared" ca="1" si="90"/>
        <v>-4.2306049873973045E-2</v>
      </c>
    </row>
    <row r="5315" spans="6:7" x14ac:dyDescent="0.2">
      <c r="F5315" s="591">
        <v>5306</v>
      </c>
      <c r="G5315" s="420">
        <f t="shared" ca="1" si="90"/>
        <v>-7.6794199635640478E-2</v>
      </c>
    </row>
    <row r="5316" spans="6:7" x14ac:dyDescent="0.2">
      <c r="F5316" s="591">
        <v>5307</v>
      </c>
      <c r="G5316" s="420">
        <f t="shared" ca="1" si="90"/>
        <v>-3.2214004205567928E-2</v>
      </c>
    </row>
    <row r="5317" spans="6:7" x14ac:dyDescent="0.2">
      <c r="F5317" s="591">
        <v>5308</v>
      </c>
      <c r="G5317" s="420">
        <f t="shared" ca="1" si="90"/>
        <v>0.11019779058008008</v>
      </c>
    </row>
    <row r="5318" spans="6:7" x14ac:dyDescent="0.2">
      <c r="F5318" s="591">
        <v>5309</v>
      </c>
      <c r="G5318" s="420">
        <f t="shared" ca="1" si="90"/>
        <v>-5.6467481431353245E-2</v>
      </c>
    </row>
    <row r="5319" spans="6:7" x14ac:dyDescent="0.2">
      <c r="F5319" s="591">
        <v>5310</v>
      </c>
      <c r="G5319" s="420">
        <f t="shared" ca="1" si="90"/>
        <v>1.5131739377907561E-3</v>
      </c>
    </row>
    <row r="5320" spans="6:7" x14ac:dyDescent="0.2">
      <c r="F5320" s="591">
        <v>5311</v>
      </c>
      <c r="G5320" s="420">
        <f t="shared" ca="1" si="90"/>
        <v>9.5848309767120558E-3</v>
      </c>
    </row>
    <row r="5321" spans="6:7" x14ac:dyDescent="0.2">
      <c r="F5321" s="591">
        <v>5312</v>
      </c>
      <c r="G5321" s="420">
        <f t="shared" ca="1" si="90"/>
        <v>0.12361467773814155</v>
      </c>
    </row>
    <row r="5322" spans="6:7" x14ac:dyDescent="0.2">
      <c r="F5322" s="591">
        <v>5313</v>
      </c>
      <c r="G5322" s="420">
        <f t="shared" ca="1" si="90"/>
        <v>-4.344097697735573E-2</v>
      </c>
    </row>
    <row r="5323" spans="6:7" x14ac:dyDescent="0.2">
      <c r="F5323" s="591">
        <v>5314</v>
      </c>
      <c r="G5323" s="420">
        <f t="shared" ref="G5323:G5386" ca="1" si="91">_xlfn.NORM.INV(RAND(), $M$11,$M$12)</f>
        <v>1.5587985898661762E-2</v>
      </c>
    </row>
    <row r="5324" spans="6:7" x14ac:dyDescent="0.2">
      <c r="F5324" s="591">
        <v>5315</v>
      </c>
      <c r="G5324" s="420">
        <f t="shared" ca="1" si="91"/>
        <v>3.3081831566518005E-2</v>
      </c>
    </row>
    <row r="5325" spans="6:7" x14ac:dyDescent="0.2">
      <c r="F5325" s="591">
        <v>5316</v>
      </c>
      <c r="G5325" s="420">
        <f t="shared" ca="1" si="91"/>
        <v>-1.6150371452163435E-2</v>
      </c>
    </row>
    <row r="5326" spans="6:7" x14ac:dyDescent="0.2">
      <c r="F5326" s="591">
        <v>5317</v>
      </c>
      <c r="G5326" s="420">
        <f t="shared" ca="1" si="91"/>
        <v>-7.3716250175767953E-2</v>
      </c>
    </row>
    <row r="5327" spans="6:7" x14ac:dyDescent="0.2">
      <c r="F5327" s="591">
        <v>5318</v>
      </c>
      <c r="G5327" s="420">
        <f t="shared" ca="1" si="91"/>
        <v>4.4870028838652889E-2</v>
      </c>
    </row>
    <row r="5328" spans="6:7" x14ac:dyDescent="0.2">
      <c r="F5328" s="591">
        <v>5319</v>
      </c>
      <c r="G5328" s="420">
        <f t="shared" ca="1" si="91"/>
        <v>8.0776184406598991E-2</v>
      </c>
    </row>
    <row r="5329" spans="6:7" x14ac:dyDescent="0.2">
      <c r="F5329" s="591">
        <v>5320</v>
      </c>
      <c r="G5329" s="420">
        <f t="shared" ca="1" si="91"/>
        <v>4.2242852348213407E-2</v>
      </c>
    </row>
    <row r="5330" spans="6:7" x14ac:dyDescent="0.2">
      <c r="F5330" s="591">
        <v>5321</v>
      </c>
      <c r="G5330" s="420">
        <f t="shared" ca="1" si="91"/>
        <v>6.2425673300023521E-2</v>
      </c>
    </row>
    <row r="5331" spans="6:7" x14ac:dyDescent="0.2">
      <c r="F5331" s="591">
        <v>5322</v>
      </c>
      <c r="G5331" s="420">
        <f t="shared" ca="1" si="91"/>
        <v>8.7788666561292292E-2</v>
      </c>
    </row>
    <row r="5332" spans="6:7" x14ac:dyDescent="0.2">
      <c r="F5332" s="591">
        <v>5323</v>
      </c>
      <c r="G5332" s="420">
        <f t="shared" ca="1" si="91"/>
        <v>0.16703239612573675</v>
      </c>
    </row>
    <row r="5333" spans="6:7" x14ac:dyDescent="0.2">
      <c r="F5333" s="591">
        <v>5324</v>
      </c>
      <c r="G5333" s="420">
        <f t="shared" ca="1" si="91"/>
        <v>8.2739979418947354E-2</v>
      </c>
    </row>
    <row r="5334" spans="6:7" x14ac:dyDescent="0.2">
      <c r="F5334" s="591">
        <v>5325</v>
      </c>
      <c r="G5334" s="420">
        <f t="shared" ca="1" si="91"/>
        <v>-3.7293890429540046E-3</v>
      </c>
    </row>
    <row r="5335" spans="6:7" x14ac:dyDescent="0.2">
      <c r="F5335" s="591">
        <v>5326</v>
      </c>
      <c r="G5335" s="420">
        <f t="shared" ca="1" si="91"/>
        <v>-1.1115515394729918E-2</v>
      </c>
    </row>
    <row r="5336" spans="6:7" x14ac:dyDescent="0.2">
      <c r="F5336" s="591">
        <v>5327</v>
      </c>
      <c r="G5336" s="420">
        <f t="shared" ca="1" si="91"/>
        <v>-2.6391326511730363E-2</v>
      </c>
    </row>
    <row r="5337" spans="6:7" x14ac:dyDescent="0.2">
      <c r="F5337" s="591">
        <v>5328</v>
      </c>
      <c r="G5337" s="420">
        <f t="shared" ca="1" si="91"/>
        <v>3.4583678590442979E-2</v>
      </c>
    </row>
    <row r="5338" spans="6:7" x14ac:dyDescent="0.2">
      <c r="F5338" s="591">
        <v>5329</v>
      </c>
      <c r="G5338" s="420">
        <f t="shared" ca="1" si="91"/>
        <v>2.7920790361786983E-4</v>
      </c>
    </row>
    <row r="5339" spans="6:7" x14ac:dyDescent="0.2">
      <c r="F5339" s="591">
        <v>5330</v>
      </c>
      <c r="G5339" s="420">
        <f t="shared" ca="1" si="91"/>
        <v>-1.7371426287653015E-2</v>
      </c>
    </row>
    <row r="5340" spans="6:7" x14ac:dyDescent="0.2">
      <c r="F5340" s="591">
        <v>5331</v>
      </c>
      <c r="G5340" s="420">
        <f t="shared" ca="1" si="91"/>
        <v>8.6883731950760171E-2</v>
      </c>
    </row>
    <row r="5341" spans="6:7" x14ac:dyDescent="0.2">
      <c r="F5341" s="591">
        <v>5332</v>
      </c>
      <c r="G5341" s="420">
        <f t="shared" ca="1" si="91"/>
        <v>-7.1210573823694709E-2</v>
      </c>
    </row>
    <row r="5342" spans="6:7" x14ac:dyDescent="0.2">
      <c r="F5342" s="591">
        <v>5333</v>
      </c>
      <c r="G5342" s="420">
        <f t="shared" ca="1" si="91"/>
        <v>6.6469420330422802E-2</v>
      </c>
    </row>
    <row r="5343" spans="6:7" x14ac:dyDescent="0.2">
      <c r="F5343" s="591">
        <v>5334</v>
      </c>
      <c r="G5343" s="420">
        <f t="shared" ca="1" si="91"/>
        <v>4.029668391893404E-2</v>
      </c>
    </row>
    <row r="5344" spans="6:7" x14ac:dyDescent="0.2">
      <c r="F5344" s="591">
        <v>5335</v>
      </c>
      <c r="G5344" s="420">
        <f t="shared" ca="1" si="91"/>
        <v>9.064554972420967E-2</v>
      </c>
    </row>
    <row r="5345" spans="6:7" x14ac:dyDescent="0.2">
      <c r="F5345" s="591">
        <v>5336</v>
      </c>
      <c r="G5345" s="420">
        <f t="shared" ca="1" si="91"/>
        <v>0.10788184637825793</v>
      </c>
    </row>
    <row r="5346" spans="6:7" x14ac:dyDescent="0.2">
      <c r="F5346" s="591">
        <v>5337</v>
      </c>
      <c r="G5346" s="420">
        <f t="shared" ca="1" si="91"/>
        <v>9.3554618753641197E-2</v>
      </c>
    </row>
    <row r="5347" spans="6:7" x14ac:dyDescent="0.2">
      <c r="F5347" s="591">
        <v>5338</v>
      </c>
      <c r="G5347" s="420">
        <f t="shared" ca="1" si="91"/>
        <v>-2.2326695069925951E-2</v>
      </c>
    </row>
    <row r="5348" spans="6:7" x14ac:dyDescent="0.2">
      <c r="F5348" s="591">
        <v>5339</v>
      </c>
      <c r="G5348" s="420">
        <f t="shared" ca="1" si="91"/>
        <v>-4.1453982921164881E-2</v>
      </c>
    </row>
    <row r="5349" spans="6:7" x14ac:dyDescent="0.2">
      <c r="F5349" s="591">
        <v>5340</v>
      </c>
      <c r="G5349" s="420">
        <f t="shared" ca="1" si="91"/>
        <v>3.1320013305975183E-2</v>
      </c>
    </row>
    <row r="5350" spans="6:7" x14ac:dyDescent="0.2">
      <c r="F5350" s="591">
        <v>5341</v>
      </c>
      <c r="G5350" s="420">
        <f t="shared" ca="1" si="91"/>
        <v>-2.2750749312529208E-2</v>
      </c>
    </row>
    <row r="5351" spans="6:7" x14ac:dyDescent="0.2">
      <c r="F5351" s="591">
        <v>5342</v>
      </c>
      <c r="G5351" s="420">
        <f t="shared" ca="1" si="91"/>
        <v>1.3121823369481221E-2</v>
      </c>
    </row>
    <row r="5352" spans="6:7" x14ac:dyDescent="0.2">
      <c r="F5352" s="591">
        <v>5343</v>
      </c>
      <c r="G5352" s="420">
        <f t="shared" ca="1" si="91"/>
        <v>3.2308721953712288E-2</v>
      </c>
    </row>
    <row r="5353" spans="6:7" x14ac:dyDescent="0.2">
      <c r="F5353" s="591">
        <v>5344</v>
      </c>
      <c r="G5353" s="420">
        <f t="shared" ca="1" si="91"/>
        <v>-8.2511224917704351E-2</v>
      </c>
    </row>
    <row r="5354" spans="6:7" x14ac:dyDescent="0.2">
      <c r="F5354" s="591">
        <v>5345</v>
      </c>
      <c r="G5354" s="420">
        <f t="shared" ca="1" si="91"/>
        <v>-3.2772349390016428E-2</v>
      </c>
    </row>
    <row r="5355" spans="6:7" x14ac:dyDescent="0.2">
      <c r="F5355" s="591">
        <v>5346</v>
      </c>
      <c r="G5355" s="420">
        <f t="shared" ca="1" si="91"/>
        <v>0.10753935902478902</v>
      </c>
    </row>
    <row r="5356" spans="6:7" x14ac:dyDescent="0.2">
      <c r="F5356" s="591">
        <v>5347</v>
      </c>
      <c r="G5356" s="420">
        <f t="shared" ca="1" si="91"/>
        <v>-5.1827345402274017E-2</v>
      </c>
    </row>
    <row r="5357" spans="6:7" x14ac:dyDescent="0.2">
      <c r="F5357" s="591">
        <v>5348</v>
      </c>
      <c r="G5357" s="420">
        <f t="shared" ca="1" si="91"/>
        <v>-5.7686075736320994E-2</v>
      </c>
    </row>
    <row r="5358" spans="6:7" x14ac:dyDescent="0.2">
      <c r="F5358" s="591">
        <v>5349</v>
      </c>
      <c r="G5358" s="420">
        <f t="shared" ca="1" si="91"/>
        <v>-3.0534716960077545E-2</v>
      </c>
    </row>
    <row r="5359" spans="6:7" x14ac:dyDescent="0.2">
      <c r="F5359" s="591">
        <v>5350</v>
      </c>
      <c r="G5359" s="420">
        <f t="shared" ca="1" si="91"/>
        <v>-9.2260942384581601E-3</v>
      </c>
    </row>
    <row r="5360" spans="6:7" x14ac:dyDescent="0.2">
      <c r="F5360" s="591">
        <v>5351</v>
      </c>
      <c r="G5360" s="420">
        <f t="shared" ca="1" si="91"/>
        <v>-1.9160371321502185E-3</v>
      </c>
    </row>
    <row r="5361" spans="6:7" x14ac:dyDescent="0.2">
      <c r="F5361" s="591">
        <v>5352</v>
      </c>
      <c r="G5361" s="420">
        <f t="shared" ca="1" si="91"/>
        <v>-5.6108579810906778E-5</v>
      </c>
    </row>
    <row r="5362" spans="6:7" x14ac:dyDescent="0.2">
      <c r="F5362" s="591">
        <v>5353</v>
      </c>
      <c r="G5362" s="420">
        <f t="shared" ca="1" si="91"/>
        <v>5.0200948273275009E-2</v>
      </c>
    </row>
    <row r="5363" spans="6:7" x14ac:dyDescent="0.2">
      <c r="F5363" s="591">
        <v>5354</v>
      </c>
      <c r="G5363" s="420">
        <f t="shared" ca="1" si="91"/>
        <v>4.1125422888975416E-2</v>
      </c>
    </row>
    <row r="5364" spans="6:7" x14ac:dyDescent="0.2">
      <c r="F5364" s="591">
        <v>5355</v>
      </c>
      <c r="G5364" s="420">
        <f t="shared" ca="1" si="91"/>
        <v>-2.1892454156212677E-2</v>
      </c>
    </row>
    <row r="5365" spans="6:7" x14ac:dyDescent="0.2">
      <c r="F5365" s="591">
        <v>5356</v>
      </c>
      <c r="G5365" s="420">
        <f t="shared" ca="1" si="91"/>
        <v>-4.0226609542095018E-2</v>
      </c>
    </row>
    <row r="5366" spans="6:7" x14ac:dyDescent="0.2">
      <c r="F5366" s="591">
        <v>5357</v>
      </c>
      <c r="G5366" s="420">
        <f t="shared" ca="1" si="91"/>
        <v>-0.12510116620368564</v>
      </c>
    </row>
    <row r="5367" spans="6:7" x14ac:dyDescent="0.2">
      <c r="F5367" s="591">
        <v>5358</v>
      </c>
      <c r="G5367" s="420">
        <f t="shared" ca="1" si="91"/>
        <v>0.10964860957739965</v>
      </c>
    </row>
    <row r="5368" spans="6:7" x14ac:dyDescent="0.2">
      <c r="F5368" s="591">
        <v>5359</v>
      </c>
      <c r="G5368" s="420">
        <f t="shared" ca="1" si="91"/>
        <v>-1.0936071752159427E-2</v>
      </c>
    </row>
    <row r="5369" spans="6:7" x14ac:dyDescent="0.2">
      <c r="F5369" s="591">
        <v>5360</v>
      </c>
      <c r="G5369" s="420">
        <f t="shared" ca="1" si="91"/>
        <v>5.4373374989755682E-2</v>
      </c>
    </row>
    <row r="5370" spans="6:7" x14ac:dyDescent="0.2">
      <c r="F5370" s="591">
        <v>5361</v>
      </c>
      <c r="G5370" s="420">
        <f t="shared" ca="1" si="91"/>
        <v>1.4283224828708066E-2</v>
      </c>
    </row>
    <row r="5371" spans="6:7" x14ac:dyDescent="0.2">
      <c r="F5371" s="591">
        <v>5362</v>
      </c>
      <c r="G5371" s="420">
        <f t="shared" ca="1" si="91"/>
        <v>0.10269128015713209</v>
      </c>
    </row>
    <row r="5372" spans="6:7" x14ac:dyDescent="0.2">
      <c r="F5372" s="591">
        <v>5363</v>
      </c>
      <c r="G5372" s="420">
        <f t="shared" ca="1" si="91"/>
        <v>-0.18104552547351274</v>
      </c>
    </row>
    <row r="5373" spans="6:7" x14ac:dyDescent="0.2">
      <c r="F5373" s="591">
        <v>5364</v>
      </c>
      <c r="G5373" s="420">
        <f t="shared" ca="1" si="91"/>
        <v>5.543733273367038E-2</v>
      </c>
    </row>
    <row r="5374" spans="6:7" x14ac:dyDescent="0.2">
      <c r="F5374" s="591">
        <v>5365</v>
      </c>
      <c r="G5374" s="420">
        <f t="shared" ca="1" si="91"/>
        <v>3.5915583440160562E-2</v>
      </c>
    </row>
    <row r="5375" spans="6:7" x14ac:dyDescent="0.2">
      <c r="F5375" s="591">
        <v>5366</v>
      </c>
      <c r="G5375" s="420">
        <f t="shared" ca="1" si="91"/>
        <v>7.7084690823999401E-4</v>
      </c>
    </row>
    <row r="5376" spans="6:7" x14ac:dyDescent="0.2">
      <c r="F5376" s="591">
        <v>5367</v>
      </c>
      <c r="G5376" s="420">
        <f t="shared" ca="1" si="91"/>
        <v>-0.10232506795781623</v>
      </c>
    </row>
    <row r="5377" spans="6:7" x14ac:dyDescent="0.2">
      <c r="F5377" s="591">
        <v>5368</v>
      </c>
      <c r="G5377" s="420">
        <f t="shared" ca="1" si="91"/>
        <v>-2.1223414430724664E-2</v>
      </c>
    </row>
    <row r="5378" spans="6:7" x14ac:dyDescent="0.2">
      <c r="F5378" s="591">
        <v>5369</v>
      </c>
      <c r="G5378" s="420">
        <f t="shared" ca="1" si="91"/>
        <v>-8.2692556600157917E-3</v>
      </c>
    </row>
    <row r="5379" spans="6:7" x14ac:dyDescent="0.2">
      <c r="F5379" s="591">
        <v>5370</v>
      </c>
      <c r="G5379" s="420">
        <f t="shared" ca="1" si="91"/>
        <v>7.417872939696768E-2</v>
      </c>
    </row>
    <row r="5380" spans="6:7" x14ac:dyDescent="0.2">
      <c r="F5380" s="591">
        <v>5371</v>
      </c>
      <c r="G5380" s="420">
        <f t="shared" ca="1" si="91"/>
        <v>-4.6029897421890134E-2</v>
      </c>
    </row>
    <row r="5381" spans="6:7" x14ac:dyDescent="0.2">
      <c r="F5381" s="591">
        <v>5372</v>
      </c>
      <c r="G5381" s="420">
        <f t="shared" ca="1" si="91"/>
        <v>0.14227118282875575</v>
      </c>
    </row>
    <row r="5382" spans="6:7" x14ac:dyDescent="0.2">
      <c r="F5382" s="591">
        <v>5373</v>
      </c>
      <c r="G5382" s="420">
        <f t="shared" ca="1" si="91"/>
        <v>4.8965816898346989E-2</v>
      </c>
    </row>
    <row r="5383" spans="6:7" x14ac:dyDescent="0.2">
      <c r="F5383" s="591">
        <v>5374</v>
      </c>
      <c r="G5383" s="420">
        <f t="shared" ca="1" si="91"/>
        <v>0.12382246601551776</v>
      </c>
    </row>
    <row r="5384" spans="6:7" x14ac:dyDescent="0.2">
      <c r="F5384" s="591">
        <v>5375</v>
      </c>
      <c r="G5384" s="420">
        <f t="shared" ca="1" si="91"/>
        <v>-4.9149937459818369E-2</v>
      </c>
    </row>
    <row r="5385" spans="6:7" x14ac:dyDescent="0.2">
      <c r="F5385" s="591">
        <v>5376</v>
      </c>
      <c r="G5385" s="420">
        <f t="shared" ca="1" si="91"/>
        <v>4.4307622950130552E-3</v>
      </c>
    </row>
    <row r="5386" spans="6:7" x14ac:dyDescent="0.2">
      <c r="F5386" s="591">
        <v>5377</v>
      </c>
      <c r="G5386" s="420">
        <f t="shared" ca="1" si="91"/>
        <v>3.9875740435188586E-2</v>
      </c>
    </row>
    <row r="5387" spans="6:7" x14ac:dyDescent="0.2">
      <c r="F5387" s="591">
        <v>5378</v>
      </c>
      <c r="G5387" s="420">
        <f t="shared" ref="G5387:G5450" ca="1" si="92">_xlfn.NORM.INV(RAND(), $M$11,$M$12)</f>
        <v>-3.498937214941536E-2</v>
      </c>
    </row>
    <row r="5388" spans="6:7" x14ac:dyDescent="0.2">
      <c r="F5388" s="591">
        <v>5379</v>
      </c>
      <c r="G5388" s="420">
        <f t="shared" ca="1" si="92"/>
        <v>-7.9405525961669839E-3</v>
      </c>
    </row>
    <row r="5389" spans="6:7" x14ac:dyDescent="0.2">
      <c r="F5389" s="591">
        <v>5380</v>
      </c>
      <c r="G5389" s="420">
        <f t="shared" ca="1" si="92"/>
        <v>4.6841157410748777E-2</v>
      </c>
    </row>
    <row r="5390" spans="6:7" x14ac:dyDescent="0.2">
      <c r="F5390" s="591">
        <v>5381</v>
      </c>
      <c r="G5390" s="420">
        <f t="shared" ca="1" si="92"/>
        <v>9.5459791540075875E-3</v>
      </c>
    </row>
    <row r="5391" spans="6:7" x14ac:dyDescent="0.2">
      <c r="F5391" s="591">
        <v>5382</v>
      </c>
      <c r="G5391" s="420">
        <f t="shared" ca="1" si="92"/>
        <v>7.1373184633440612E-2</v>
      </c>
    </row>
    <row r="5392" spans="6:7" x14ac:dyDescent="0.2">
      <c r="F5392" s="591">
        <v>5383</v>
      </c>
      <c r="G5392" s="420">
        <f t="shared" ca="1" si="92"/>
        <v>-8.1437514343388508E-3</v>
      </c>
    </row>
    <row r="5393" spans="6:7" x14ac:dyDescent="0.2">
      <c r="F5393" s="591">
        <v>5384</v>
      </c>
      <c r="G5393" s="420">
        <f t="shared" ca="1" si="92"/>
        <v>-1.8809724194869419E-2</v>
      </c>
    </row>
    <row r="5394" spans="6:7" x14ac:dyDescent="0.2">
      <c r="F5394" s="591">
        <v>5385</v>
      </c>
      <c r="G5394" s="420">
        <f t="shared" ca="1" si="92"/>
        <v>5.7238984414482399E-2</v>
      </c>
    </row>
    <row r="5395" spans="6:7" x14ac:dyDescent="0.2">
      <c r="F5395" s="591">
        <v>5386</v>
      </c>
      <c r="G5395" s="420">
        <f t="shared" ca="1" si="92"/>
        <v>1.3821433302561031E-2</v>
      </c>
    </row>
    <row r="5396" spans="6:7" x14ac:dyDescent="0.2">
      <c r="F5396" s="591">
        <v>5387</v>
      </c>
      <c r="G5396" s="420">
        <f t="shared" ca="1" si="92"/>
        <v>4.7803179830569642E-2</v>
      </c>
    </row>
    <row r="5397" spans="6:7" x14ac:dyDescent="0.2">
      <c r="F5397" s="591">
        <v>5388</v>
      </c>
      <c r="G5397" s="420">
        <f t="shared" ca="1" si="92"/>
        <v>-5.5984257090144728E-4</v>
      </c>
    </row>
    <row r="5398" spans="6:7" x14ac:dyDescent="0.2">
      <c r="F5398" s="591">
        <v>5389</v>
      </c>
      <c r="G5398" s="420">
        <f t="shared" ca="1" si="92"/>
        <v>-4.3538165202801654E-2</v>
      </c>
    </row>
    <row r="5399" spans="6:7" x14ac:dyDescent="0.2">
      <c r="F5399" s="591">
        <v>5390</v>
      </c>
      <c r="G5399" s="420">
        <f t="shared" ca="1" si="92"/>
        <v>-1.2698751030457155E-2</v>
      </c>
    </row>
    <row r="5400" spans="6:7" x14ac:dyDescent="0.2">
      <c r="F5400" s="591">
        <v>5391</v>
      </c>
      <c r="G5400" s="420">
        <f t="shared" ca="1" si="92"/>
        <v>-4.5583978606785439E-2</v>
      </c>
    </row>
    <row r="5401" spans="6:7" x14ac:dyDescent="0.2">
      <c r="F5401" s="591">
        <v>5392</v>
      </c>
      <c r="G5401" s="420">
        <f t="shared" ca="1" si="92"/>
        <v>0.15251596847674798</v>
      </c>
    </row>
    <row r="5402" spans="6:7" x14ac:dyDescent="0.2">
      <c r="F5402" s="591">
        <v>5393</v>
      </c>
      <c r="G5402" s="420">
        <f t="shared" ca="1" si="92"/>
        <v>4.9210213358321431E-2</v>
      </c>
    </row>
    <row r="5403" spans="6:7" x14ac:dyDescent="0.2">
      <c r="F5403" s="591">
        <v>5394</v>
      </c>
      <c r="G5403" s="420">
        <f t="shared" ca="1" si="92"/>
        <v>-3.3643793782217324E-2</v>
      </c>
    </row>
    <row r="5404" spans="6:7" x14ac:dyDescent="0.2">
      <c r="F5404" s="591">
        <v>5395</v>
      </c>
      <c r="G5404" s="420">
        <f t="shared" ca="1" si="92"/>
        <v>6.2104653912269492E-2</v>
      </c>
    </row>
    <row r="5405" spans="6:7" x14ac:dyDescent="0.2">
      <c r="F5405" s="591">
        <v>5396</v>
      </c>
      <c r="G5405" s="420">
        <f t="shared" ca="1" si="92"/>
        <v>-5.0351799637635641E-2</v>
      </c>
    </row>
    <row r="5406" spans="6:7" x14ac:dyDescent="0.2">
      <c r="F5406" s="591">
        <v>5397</v>
      </c>
      <c r="G5406" s="420">
        <f t="shared" ca="1" si="92"/>
        <v>-2.8944200749565947E-4</v>
      </c>
    </row>
    <row r="5407" spans="6:7" x14ac:dyDescent="0.2">
      <c r="F5407" s="591">
        <v>5398</v>
      </c>
      <c r="G5407" s="420">
        <f t="shared" ca="1" si="92"/>
        <v>0.12229430121435785</v>
      </c>
    </row>
    <row r="5408" spans="6:7" x14ac:dyDescent="0.2">
      <c r="F5408" s="591">
        <v>5399</v>
      </c>
      <c r="G5408" s="420">
        <f t="shared" ca="1" si="92"/>
        <v>-7.212611520356163E-2</v>
      </c>
    </row>
    <row r="5409" spans="6:7" x14ac:dyDescent="0.2">
      <c r="F5409" s="591">
        <v>5400</v>
      </c>
      <c r="G5409" s="420">
        <f t="shared" ca="1" si="92"/>
        <v>1.4436102723342403E-2</v>
      </c>
    </row>
    <row r="5410" spans="6:7" x14ac:dyDescent="0.2">
      <c r="F5410" s="591">
        <v>5401</v>
      </c>
      <c r="G5410" s="420">
        <f t="shared" ca="1" si="92"/>
        <v>1.0325896907412221E-2</v>
      </c>
    </row>
    <row r="5411" spans="6:7" x14ac:dyDescent="0.2">
      <c r="F5411" s="591">
        <v>5402</v>
      </c>
      <c r="G5411" s="420">
        <f t="shared" ca="1" si="92"/>
        <v>0.1631599962810576</v>
      </c>
    </row>
    <row r="5412" spans="6:7" x14ac:dyDescent="0.2">
      <c r="F5412" s="591">
        <v>5403</v>
      </c>
      <c r="G5412" s="420">
        <f t="shared" ca="1" si="92"/>
        <v>1.2886321270146434E-2</v>
      </c>
    </row>
    <row r="5413" spans="6:7" x14ac:dyDescent="0.2">
      <c r="F5413" s="591">
        <v>5404</v>
      </c>
      <c r="G5413" s="420">
        <f t="shared" ca="1" si="92"/>
        <v>-9.9778664531732474E-3</v>
      </c>
    </row>
    <row r="5414" spans="6:7" x14ac:dyDescent="0.2">
      <c r="F5414" s="591">
        <v>5405</v>
      </c>
      <c r="G5414" s="420">
        <f t="shared" ca="1" si="92"/>
        <v>-6.6908575825719539E-3</v>
      </c>
    </row>
    <row r="5415" spans="6:7" x14ac:dyDescent="0.2">
      <c r="F5415" s="591">
        <v>5406</v>
      </c>
      <c r="G5415" s="420">
        <f t="shared" ca="1" si="92"/>
        <v>-5.5984147503476106E-2</v>
      </c>
    </row>
    <row r="5416" spans="6:7" x14ac:dyDescent="0.2">
      <c r="F5416" s="591">
        <v>5407</v>
      </c>
      <c r="G5416" s="420">
        <f t="shared" ca="1" si="92"/>
        <v>0.11719274983547946</v>
      </c>
    </row>
    <row r="5417" spans="6:7" x14ac:dyDescent="0.2">
      <c r="F5417" s="591">
        <v>5408</v>
      </c>
      <c r="G5417" s="420">
        <f t="shared" ca="1" si="92"/>
        <v>-2.7896575798933471E-2</v>
      </c>
    </row>
    <row r="5418" spans="6:7" x14ac:dyDescent="0.2">
      <c r="F5418" s="591">
        <v>5409</v>
      </c>
      <c r="G5418" s="420">
        <f t="shared" ca="1" si="92"/>
        <v>-4.929833815057573E-2</v>
      </c>
    </row>
    <row r="5419" spans="6:7" x14ac:dyDescent="0.2">
      <c r="F5419" s="591">
        <v>5410</v>
      </c>
      <c r="G5419" s="420">
        <f t="shared" ca="1" si="92"/>
        <v>0.15085261277937551</v>
      </c>
    </row>
    <row r="5420" spans="6:7" x14ac:dyDescent="0.2">
      <c r="F5420" s="591">
        <v>5411</v>
      </c>
      <c r="G5420" s="420">
        <f t="shared" ca="1" si="92"/>
        <v>-1.2483002183366964E-2</v>
      </c>
    </row>
    <row r="5421" spans="6:7" x14ac:dyDescent="0.2">
      <c r="F5421" s="591">
        <v>5412</v>
      </c>
      <c r="G5421" s="420">
        <f t="shared" ca="1" si="92"/>
        <v>9.2367740632316828E-2</v>
      </c>
    </row>
    <row r="5422" spans="6:7" x14ac:dyDescent="0.2">
      <c r="F5422" s="591">
        <v>5413</v>
      </c>
      <c r="G5422" s="420">
        <f t="shared" ca="1" si="92"/>
        <v>9.6808214226081921E-2</v>
      </c>
    </row>
    <row r="5423" spans="6:7" x14ac:dyDescent="0.2">
      <c r="F5423" s="591">
        <v>5414</v>
      </c>
      <c r="G5423" s="420">
        <f t="shared" ca="1" si="92"/>
        <v>-2.2203467002574879E-2</v>
      </c>
    </row>
    <row r="5424" spans="6:7" x14ac:dyDescent="0.2">
      <c r="F5424" s="591">
        <v>5415</v>
      </c>
      <c r="G5424" s="420">
        <f t="shared" ca="1" si="92"/>
        <v>2.270043598647184E-2</v>
      </c>
    </row>
    <row r="5425" spans="6:7" x14ac:dyDescent="0.2">
      <c r="F5425" s="591">
        <v>5416</v>
      </c>
      <c r="G5425" s="420">
        <f t="shared" ca="1" si="92"/>
        <v>-2.7069276931412225E-2</v>
      </c>
    </row>
    <row r="5426" spans="6:7" x14ac:dyDescent="0.2">
      <c r="F5426" s="591">
        <v>5417</v>
      </c>
      <c r="G5426" s="420">
        <f t="shared" ca="1" si="92"/>
        <v>-8.3697173836176267E-2</v>
      </c>
    </row>
    <row r="5427" spans="6:7" x14ac:dyDescent="0.2">
      <c r="F5427" s="591">
        <v>5418</v>
      </c>
      <c r="G5427" s="420">
        <f t="shared" ca="1" si="92"/>
        <v>5.3613181031551549E-2</v>
      </c>
    </row>
    <row r="5428" spans="6:7" x14ac:dyDescent="0.2">
      <c r="F5428" s="591">
        <v>5419</v>
      </c>
      <c r="G5428" s="420">
        <f t="shared" ca="1" si="92"/>
        <v>1.1248633762237179E-2</v>
      </c>
    </row>
    <row r="5429" spans="6:7" x14ac:dyDescent="0.2">
      <c r="F5429" s="591">
        <v>5420</v>
      </c>
      <c r="G5429" s="420">
        <f t="shared" ca="1" si="92"/>
        <v>-6.5324823303694324E-2</v>
      </c>
    </row>
    <row r="5430" spans="6:7" x14ac:dyDescent="0.2">
      <c r="F5430" s="591">
        <v>5421</v>
      </c>
      <c r="G5430" s="420">
        <f t="shared" ca="1" si="92"/>
        <v>-2.4046194759937342E-3</v>
      </c>
    </row>
    <row r="5431" spans="6:7" x14ac:dyDescent="0.2">
      <c r="F5431" s="591">
        <v>5422</v>
      </c>
      <c r="G5431" s="420">
        <f t="shared" ca="1" si="92"/>
        <v>-9.1981166193351796E-2</v>
      </c>
    </row>
    <row r="5432" spans="6:7" x14ac:dyDescent="0.2">
      <c r="F5432" s="591">
        <v>5423</v>
      </c>
      <c r="G5432" s="420">
        <f t="shared" ca="1" si="92"/>
        <v>-5.2937004002234958E-2</v>
      </c>
    </row>
    <row r="5433" spans="6:7" x14ac:dyDescent="0.2">
      <c r="F5433" s="591">
        <v>5424</v>
      </c>
      <c r="G5433" s="420">
        <f t="shared" ca="1" si="92"/>
        <v>-3.12736647758277E-2</v>
      </c>
    </row>
    <row r="5434" spans="6:7" x14ac:dyDescent="0.2">
      <c r="F5434" s="591">
        <v>5425</v>
      </c>
      <c r="G5434" s="420">
        <f t="shared" ca="1" si="92"/>
        <v>-7.3745900820320939E-2</v>
      </c>
    </row>
    <row r="5435" spans="6:7" x14ac:dyDescent="0.2">
      <c r="F5435" s="591">
        <v>5426</v>
      </c>
      <c r="G5435" s="420">
        <f t="shared" ca="1" si="92"/>
        <v>-0.11798072558238538</v>
      </c>
    </row>
    <row r="5436" spans="6:7" x14ac:dyDescent="0.2">
      <c r="F5436" s="591">
        <v>5427</v>
      </c>
      <c r="G5436" s="420">
        <f t="shared" ca="1" si="92"/>
        <v>3.4561957908720034E-2</v>
      </c>
    </row>
    <row r="5437" spans="6:7" x14ac:dyDescent="0.2">
      <c r="F5437" s="591">
        <v>5428</v>
      </c>
      <c r="G5437" s="420">
        <f t="shared" ca="1" si="92"/>
        <v>2.0318829392639293E-3</v>
      </c>
    </row>
    <row r="5438" spans="6:7" x14ac:dyDescent="0.2">
      <c r="F5438" s="591">
        <v>5429</v>
      </c>
      <c r="G5438" s="420">
        <f t="shared" ca="1" si="92"/>
        <v>-9.1461777903876981E-2</v>
      </c>
    </row>
    <row r="5439" spans="6:7" x14ac:dyDescent="0.2">
      <c r="F5439" s="591">
        <v>5430</v>
      </c>
      <c r="G5439" s="420">
        <f t="shared" ca="1" si="92"/>
        <v>7.3572806332522528E-2</v>
      </c>
    </row>
    <row r="5440" spans="6:7" x14ac:dyDescent="0.2">
      <c r="F5440" s="591">
        <v>5431</v>
      </c>
      <c r="G5440" s="420">
        <f t="shared" ca="1" si="92"/>
        <v>2.5354680705722308E-2</v>
      </c>
    </row>
    <row r="5441" spans="6:7" x14ac:dyDescent="0.2">
      <c r="F5441" s="591">
        <v>5432</v>
      </c>
      <c r="G5441" s="420">
        <f t="shared" ca="1" si="92"/>
        <v>1.4647957270131837E-3</v>
      </c>
    </row>
    <row r="5442" spans="6:7" x14ac:dyDescent="0.2">
      <c r="F5442" s="591">
        <v>5433</v>
      </c>
      <c r="G5442" s="420">
        <f t="shared" ca="1" si="92"/>
        <v>-2.8466790888732742E-2</v>
      </c>
    </row>
    <row r="5443" spans="6:7" x14ac:dyDescent="0.2">
      <c r="F5443" s="591">
        <v>5434</v>
      </c>
      <c r="G5443" s="420">
        <f t="shared" ca="1" si="92"/>
        <v>5.1716748291343595E-2</v>
      </c>
    </row>
    <row r="5444" spans="6:7" x14ac:dyDescent="0.2">
      <c r="F5444" s="591">
        <v>5435</v>
      </c>
      <c r="G5444" s="420">
        <f t="shared" ca="1" si="92"/>
        <v>0.13570378456192084</v>
      </c>
    </row>
    <row r="5445" spans="6:7" x14ac:dyDescent="0.2">
      <c r="F5445" s="591">
        <v>5436</v>
      </c>
      <c r="G5445" s="420">
        <f t="shared" ca="1" si="92"/>
        <v>7.507571119084766E-2</v>
      </c>
    </row>
    <row r="5446" spans="6:7" x14ac:dyDescent="0.2">
      <c r="F5446" s="591">
        <v>5437</v>
      </c>
      <c r="G5446" s="420">
        <f t="shared" ca="1" si="92"/>
        <v>1.0175533494330518E-2</v>
      </c>
    </row>
    <row r="5447" spans="6:7" x14ac:dyDescent="0.2">
      <c r="F5447" s="591">
        <v>5438</v>
      </c>
      <c r="G5447" s="420">
        <f t="shared" ca="1" si="92"/>
        <v>-6.3694487820703138E-2</v>
      </c>
    </row>
    <row r="5448" spans="6:7" x14ac:dyDescent="0.2">
      <c r="F5448" s="591">
        <v>5439</v>
      </c>
      <c r="G5448" s="420">
        <f t="shared" ca="1" si="92"/>
        <v>3.9012773096069764E-2</v>
      </c>
    </row>
    <row r="5449" spans="6:7" x14ac:dyDescent="0.2">
      <c r="F5449" s="591">
        <v>5440</v>
      </c>
      <c r="G5449" s="420">
        <f t="shared" ca="1" si="92"/>
        <v>-6.9724947621046987E-2</v>
      </c>
    </row>
    <row r="5450" spans="6:7" x14ac:dyDescent="0.2">
      <c r="F5450" s="591">
        <v>5441</v>
      </c>
      <c r="G5450" s="420">
        <f t="shared" ca="1" si="92"/>
        <v>5.2756479956224289E-2</v>
      </c>
    </row>
    <row r="5451" spans="6:7" x14ac:dyDescent="0.2">
      <c r="F5451" s="591">
        <v>5442</v>
      </c>
      <c r="G5451" s="420">
        <f t="shared" ref="G5451:G5514" ca="1" si="93">_xlfn.NORM.INV(RAND(), $M$11,$M$12)</f>
        <v>-5.0120710005272476E-2</v>
      </c>
    </row>
    <row r="5452" spans="6:7" x14ac:dyDescent="0.2">
      <c r="F5452" s="591">
        <v>5443</v>
      </c>
      <c r="G5452" s="420">
        <f t="shared" ca="1" si="93"/>
        <v>5.7010057486766769E-2</v>
      </c>
    </row>
    <row r="5453" spans="6:7" x14ac:dyDescent="0.2">
      <c r="F5453" s="591">
        <v>5444</v>
      </c>
      <c r="G5453" s="420">
        <f t="shared" ca="1" si="93"/>
        <v>2.310061831566914E-2</v>
      </c>
    </row>
    <row r="5454" spans="6:7" x14ac:dyDescent="0.2">
      <c r="F5454" s="591">
        <v>5445</v>
      </c>
      <c r="G5454" s="420">
        <f t="shared" ca="1" si="93"/>
        <v>2.1463682033230572E-2</v>
      </c>
    </row>
    <row r="5455" spans="6:7" x14ac:dyDescent="0.2">
      <c r="F5455" s="591">
        <v>5446</v>
      </c>
      <c r="G5455" s="420">
        <f t="shared" ca="1" si="93"/>
        <v>7.0383349083816115E-3</v>
      </c>
    </row>
    <row r="5456" spans="6:7" x14ac:dyDescent="0.2">
      <c r="F5456" s="591">
        <v>5447</v>
      </c>
      <c r="G5456" s="420">
        <f t="shared" ca="1" si="93"/>
        <v>-1.8234421191042727E-2</v>
      </c>
    </row>
    <row r="5457" spans="6:7" x14ac:dyDescent="0.2">
      <c r="F5457" s="591">
        <v>5448</v>
      </c>
      <c r="G5457" s="420">
        <f t="shared" ca="1" si="93"/>
        <v>6.3882060829292847E-2</v>
      </c>
    </row>
    <row r="5458" spans="6:7" x14ac:dyDescent="0.2">
      <c r="F5458" s="591">
        <v>5449</v>
      </c>
      <c r="G5458" s="420">
        <f t="shared" ca="1" si="93"/>
        <v>-4.2653810669078362E-2</v>
      </c>
    </row>
    <row r="5459" spans="6:7" x14ac:dyDescent="0.2">
      <c r="F5459" s="591">
        <v>5450</v>
      </c>
      <c r="G5459" s="420">
        <f t="shared" ca="1" si="93"/>
        <v>-2.9771004136406726E-2</v>
      </c>
    </row>
    <row r="5460" spans="6:7" x14ac:dyDescent="0.2">
      <c r="F5460" s="591">
        <v>5451</v>
      </c>
      <c r="G5460" s="420">
        <f t="shared" ca="1" si="93"/>
        <v>3.648534509196906E-2</v>
      </c>
    </row>
    <row r="5461" spans="6:7" x14ac:dyDescent="0.2">
      <c r="F5461" s="591">
        <v>5452</v>
      </c>
      <c r="G5461" s="420">
        <f t="shared" ca="1" si="93"/>
        <v>-4.0904549219971137E-2</v>
      </c>
    </row>
    <row r="5462" spans="6:7" x14ac:dyDescent="0.2">
      <c r="F5462" s="591">
        <v>5453</v>
      </c>
      <c r="G5462" s="420">
        <f t="shared" ca="1" si="93"/>
        <v>7.8920447378513697E-2</v>
      </c>
    </row>
    <row r="5463" spans="6:7" x14ac:dyDescent="0.2">
      <c r="F5463" s="591">
        <v>5454</v>
      </c>
      <c r="G5463" s="420">
        <f t="shared" ca="1" si="93"/>
        <v>-5.0469494522508151E-3</v>
      </c>
    </row>
    <row r="5464" spans="6:7" x14ac:dyDescent="0.2">
      <c r="F5464" s="591">
        <v>5455</v>
      </c>
      <c r="G5464" s="420">
        <f t="shared" ca="1" si="93"/>
        <v>-4.7901288309894693E-3</v>
      </c>
    </row>
    <row r="5465" spans="6:7" x14ac:dyDescent="0.2">
      <c r="F5465" s="591">
        <v>5456</v>
      </c>
      <c r="G5465" s="420">
        <f t="shared" ca="1" si="93"/>
        <v>5.6503910109208785E-2</v>
      </c>
    </row>
    <row r="5466" spans="6:7" x14ac:dyDescent="0.2">
      <c r="F5466" s="591">
        <v>5457</v>
      </c>
      <c r="G5466" s="420">
        <f t="shared" ca="1" si="93"/>
        <v>2.8276079506144004E-2</v>
      </c>
    </row>
    <row r="5467" spans="6:7" x14ac:dyDescent="0.2">
      <c r="F5467" s="591">
        <v>5458</v>
      </c>
      <c r="G5467" s="420">
        <f t="shared" ca="1" si="93"/>
        <v>-2.980303244374059E-2</v>
      </c>
    </row>
    <row r="5468" spans="6:7" x14ac:dyDescent="0.2">
      <c r="F5468" s="591">
        <v>5459</v>
      </c>
      <c r="G5468" s="420">
        <f t="shared" ca="1" si="93"/>
        <v>-3.8676287565957423E-2</v>
      </c>
    </row>
    <row r="5469" spans="6:7" x14ac:dyDescent="0.2">
      <c r="F5469" s="591">
        <v>5460</v>
      </c>
      <c r="G5469" s="420">
        <f t="shared" ca="1" si="93"/>
        <v>8.8474804007970281E-2</v>
      </c>
    </row>
    <row r="5470" spans="6:7" x14ac:dyDescent="0.2">
      <c r="F5470" s="591">
        <v>5461</v>
      </c>
      <c r="G5470" s="420">
        <f t="shared" ca="1" si="93"/>
        <v>0.11183681585589302</v>
      </c>
    </row>
    <row r="5471" spans="6:7" x14ac:dyDescent="0.2">
      <c r="F5471" s="591">
        <v>5462</v>
      </c>
      <c r="G5471" s="420">
        <f t="shared" ca="1" si="93"/>
        <v>2.14984171599375E-3</v>
      </c>
    </row>
    <row r="5472" spans="6:7" x14ac:dyDescent="0.2">
      <c r="F5472" s="591">
        <v>5463</v>
      </c>
      <c r="G5472" s="420">
        <f t="shared" ca="1" si="93"/>
        <v>-1.7592747948018562E-2</v>
      </c>
    </row>
    <row r="5473" spans="6:7" x14ac:dyDescent="0.2">
      <c r="F5473" s="591">
        <v>5464</v>
      </c>
      <c r="G5473" s="420">
        <f t="shared" ca="1" si="93"/>
        <v>5.0932705457564786E-2</v>
      </c>
    </row>
    <row r="5474" spans="6:7" x14ac:dyDescent="0.2">
      <c r="F5474" s="591">
        <v>5465</v>
      </c>
      <c r="G5474" s="420">
        <f t="shared" ca="1" si="93"/>
        <v>-7.9207125384504029E-2</v>
      </c>
    </row>
    <row r="5475" spans="6:7" x14ac:dyDescent="0.2">
      <c r="F5475" s="591">
        <v>5466</v>
      </c>
      <c r="G5475" s="420">
        <f t="shared" ca="1" si="93"/>
        <v>6.6690319968097031E-2</v>
      </c>
    </row>
    <row r="5476" spans="6:7" x14ac:dyDescent="0.2">
      <c r="F5476" s="591">
        <v>5467</v>
      </c>
      <c r="G5476" s="420">
        <f t="shared" ca="1" si="93"/>
        <v>-0.13173279743782979</v>
      </c>
    </row>
    <row r="5477" spans="6:7" x14ac:dyDescent="0.2">
      <c r="F5477" s="591">
        <v>5468</v>
      </c>
      <c r="G5477" s="420">
        <f t="shared" ca="1" si="93"/>
        <v>2.091074051247278E-2</v>
      </c>
    </row>
    <row r="5478" spans="6:7" x14ac:dyDescent="0.2">
      <c r="F5478" s="591">
        <v>5469</v>
      </c>
      <c r="G5478" s="420">
        <f t="shared" ca="1" si="93"/>
        <v>1.6301111638817437E-2</v>
      </c>
    </row>
    <row r="5479" spans="6:7" x14ac:dyDescent="0.2">
      <c r="F5479" s="591">
        <v>5470</v>
      </c>
      <c r="G5479" s="420">
        <f t="shared" ca="1" si="93"/>
        <v>-1.8305206322631693E-2</v>
      </c>
    </row>
    <row r="5480" spans="6:7" x14ac:dyDescent="0.2">
      <c r="F5480" s="591">
        <v>5471</v>
      </c>
      <c r="G5480" s="420">
        <f t="shared" ca="1" si="93"/>
        <v>-1.9410303619730215E-2</v>
      </c>
    </row>
    <row r="5481" spans="6:7" x14ac:dyDescent="0.2">
      <c r="F5481" s="591">
        <v>5472</v>
      </c>
      <c r="G5481" s="420">
        <f t="shared" ca="1" si="93"/>
        <v>9.6405215949729395E-2</v>
      </c>
    </row>
    <row r="5482" spans="6:7" x14ac:dyDescent="0.2">
      <c r="F5482" s="591">
        <v>5473</v>
      </c>
      <c r="G5482" s="420">
        <f t="shared" ca="1" si="93"/>
        <v>5.1833400045096692E-2</v>
      </c>
    </row>
    <row r="5483" spans="6:7" x14ac:dyDescent="0.2">
      <c r="F5483" s="591">
        <v>5474</v>
      </c>
      <c r="G5483" s="420">
        <f t="shared" ca="1" si="93"/>
        <v>0.11745393055144468</v>
      </c>
    </row>
    <row r="5484" spans="6:7" x14ac:dyDescent="0.2">
      <c r="F5484" s="591">
        <v>5475</v>
      </c>
      <c r="G5484" s="420">
        <f t="shared" ca="1" si="93"/>
        <v>4.0858962891191147E-2</v>
      </c>
    </row>
    <row r="5485" spans="6:7" x14ac:dyDescent="0.2">
      <c r="F5485" s="591">
        <v>5476</v>
      </c>
      <c r="G5485" s="420">
        <f t="shared" ca="1" si="93"/>
        <v>-1.4932550633059559E-2</v>
      </c>
    </row>
    <row r="5486" spans="6:7" x14ac:dyDescent="0.2">
      <c r="F5486" s="591">
        <v>5477</v>
      </c>
      <c r="G5486" s="420">
        <f t="shared" ca="1" si="93"/>
        <v>7.8293611822587168E-3</v>
      </c>
    </row>
    <row r="5487" spans="6:7" x14ac:dyDescent="0.2">
      <c r="F5487" s="591">
        <v>5478</v>
      </c>
      <c r="G5487" s="420">
        <f t="shared" ca="1" si="93"/>
        <v>0.18299981793076359</v>
      </c>
    </row>
    <row r="5488" spans="6:7" x14ac:dyDescent="0.2">
      <c r="F5488" s="591">
        <v>5479</v>
      </c>
      <c r="G5488" s="420">
        <f t="shared" ca="1" si="93"/>
        <v>-3.8825157428043378E-2</v>
      </c>
    </row>
    <row r="5489" spans="6:7" x14ac:dyDescent="0.2">
      <c r="F5489" s="591">
        <v>5480</v>
      </c>
      <c r="G5489" s="420">
        <f t="shared" ca="1" si="93"/>
        <v>-1.5479140938102608E-2</v>
      </c>
    </row>
    <row r="5490" spans="6:7" x14ac:dyDescent="0.2">
      <c r="F5490" s="591">
        <v>5481</v>
      </c>
      <c r="G5490" s="420">
        <f t="shared" ca="1" si="93"/>
        <v>5.9143046918795454E-4</v>
      </c>
    </row>
    <row r="5491" spans="6:7" x14ac:dyDescent="0.2">
      <c r="F5491" s="591">
        <v>5482</v>
      </c>
      <c r="G5491" s="420">
        <f t="shared" ca="1" si="93"/>
        <v>0.15285079231240931</v>
      </c>
    </row>
    <row r="5492" spans="6:7" x14ac:dyDescent="0.2">
      <c r="F5492" s="591">
        <v>5483</v>
      </c>
      <c r="G5492" s="420">
        <f t="shared" ca="1" si="93"/>
        <v>-0.13309332198632018</v>
      </c>
    </row>
    <row r="5493" spans="6:7" x14ac:dyDescent="0.2">
      <c r="F5493" s="591">
        <v>5484</v>
      </c>
      <c r="G5493" s="420">
        <f t="shared" ca="1" si="93"/>
        <v>1.1774840419269012E-2</v>
      </c>
    </row>
    <row r="5494" spans="6:7" x14ac:dyDescent="0.2">
      <c r="F5494" s="591">
        <v>5485</v>
      </c>
      <c r="G5494" s="420">
        <f t="shared" ca="1" si="93"/>
        <v>-1.4637012339240845E-3</v>
      </c>
    </row>
    <row r="5495" spans="6:7" x14ac:dyDescent="0.2">
      <c r="F5495" s="591">
        <v>5486</v>
      </c>
      <c r="G5495" s="420">
        <f t="shared" ca="1" si="93"/>
        <v>-6.1712928287272872E-2</v>
      </c>
    </row>
    <row r="5496" spans="6:7" x14ac:dyDescent="0.2">
      <c r="F5496" s="591">
        <v>5487</v>
      </c>
      <c r="G5496" s="420">
        <f t="shared" ca="1" si="93"/>
        <v>-1.1354008784446371E-2</v>
      </c>
    </row>
    <row r="5497" spans="6:7" x14ac:dyDescent="0.2">
      <c r="F5497" s="591">
        <v>5488</v>
      </c>
      <c r="G5497" s="420">
        <f t="shared" ca="1" si="93"/>
        <v>7.3460047595438633E-3</v>
      </c>
    </row>
    <row r="5498" spans="6:7" x14ac:dyDescent="0.2">
      <c r="F5498" s="591">
        <v>5489</v>
      </c>
      <c r="G5498" s="420">
        <f t="shared" ca="1" si="93"/>
        <v>-6.6979349727568846E-2</v>
      </c>
    </row>
    <row r="5499" spans="6:7" x14ac:dyDescent="0.2">
      <c r="F5499" s="591">
        <v>5490</v>
      </c>
      <c r="G5499" s="420">
        <f t="shared" ca="1" si="93"/>
        <v>7.8132043890900865E-2</v>
      </c>
    </row>
    <row r="5500" spans="6:7" x14ac:dyDescent="0.2">
      <c r="F5500" s="591">
        <v>5491</v>
      </c>
      <c r="G5500" s="420">
        <f t="shared" ca="1" si="93"/>
        <v>2.2037654389519948E-2</v>
      </c>
    </row>
    <row r="5501" spans="6:7" x14ac:dyDescent="0.2">
      <c r="F5501" s="591">
        <v>5492</v>
      </c>
      <c r="G5501" s="420">
        <f t="shared" ca="1" si="93"/>
        <v>6.1282951279435699E-2</v>
      </c>
    </row>
    <row r="5502" spans="6:7" x14ac:dyDescent="0.2">
      <c r="F5502" s="591">
        <v>5493</v>
      </c>
      <c r="G5502" s="420">
        <f t="shared" ca="1" si="93"/>
        <v>0.11889056269989307</v>
      </c>
    </row>
    <row r="5503" spans="6:7" x14ac:dyDescent="0.2">
      <c r="F5503" s="591">
        <v>5494</v>
      </c>
      <c r="G5503" s="420">
        <f t="shared" ca="1" si="93"/>
        <v>4.0153113370534343E-2</v>
      </c>
    </row>
    <row r="5504" spans="6:7" x14ac:dyDescent="0.2">
      <c r="F5504" s="591">
        <v>5495</v>
      </c>
      <c r="G5504" s="420">
        <f t="shared" ca="1" si="93"/>
        <v>-0.12959989441520409</v>
      </c>
    </row>
    <row r="5505" spans="6:7" x14ac:dyDescent="0.2">
      <c r="F5505" s="591">
        <v>5496</v>
      </c>
      <c r="G5505" s="420">
        <f t="shared" ca="1" si="93"/>
        <v>2.2527748747904398E-2</v>
      </c>
    </row>
    <row r="5506" spans="6:7" x14ac:dyDescent="0.2">
      <c r="F5506" s="591">
        <v>5497</v>
      </c>
      <c r="G5506" s="420">
        <f t="shared" ca="1" si="93"/>
        <v>-1.1110293041526248E-2</v>
      </c>
    </row>
    <row r="5507" spans="6:7" x14ac:dyDescent="0.2">
      <c r="F5507" s="591">
        <v>5498</v>
      </c>
      <c r="G5507" s="420">
        <f t="shared" ca="1" si="93"/>
        <v>1.0534498543280032E-2</v>
      </c>
    </row>
    <row r="5508" spans="6:7" x14ac:dyDescent="0.2">
      <c r="F5508" s="591">
        <v>5499</v>
      </c>
      <c r="G5508" s="420">
        <f t="shared" ca="1" si="93"/>
        <v>-7.8280669323052651E-2</v>
      </c>
    </row>
    <row r="5509" spans="6:7" x14ac:dyDescent="0.2">
      <c r="F5509" s="591">
        <v>5500</v>
      </c>
      <c r="G5509" s="420">
        <f t="shared" ca="1" si="93"/>
        <v>-0.11832436364979966</v>
      </c>
    </row>
    <row r="5510" spans="6:7" x14ac:dyDescent="0.2">
      <c r="F5510" s="591">
        <v>5501</v>
      </c>
      <c r="G5510" s="420">
        <f t="shared" ca="1" si="93"/>
        <v>0.17555988303062062</v>
      </c>
    </row>
    <row r="5511" spans="6:7" x14ac:dyDescent="0.2">
      <c r="F5511" s="591">
        <v>5502</v>
      </c>
      <c r="G5511" s="420">
        <f t="shared" ca="1" si="93"/>
        <v>8.2040800600041847E-2</v>
      </c>
    </row>
    <row r="5512" spans="6:7" x14ac:dyDescent="0.2">
      <c r="F5512" s="591">
        <v>5503</v>
      </c>
      <c r="G5512" s="420">
        <f t="shared" ca="1" si="93"/>
        <v>0.10714159409808693</v>
      </c>
    </row>
    <row r="5513" spans="6:7" x14ac:dyDescent="0.2">
      <c r="F5513" s="591">
        <v>5504</v>
      </c>
      <c r="G5513" s="420">
        <f t="shared" ca="1" si="93"/>
        <v>-5.7946247538962672E-2</v>
      </c>
    </row>
    <row r="5514" spans="6:7" x14ac:dyDescent="0.2">
      <c r="F5514" s="591">
        <v>5505</v>
      </c>
      <c r="G5514" s="420">
        <f t="shared" ca="1" si="93"/>
        <v>-0.10046046137604112</v>
      </c>
    </row>
    <row r="5515" spans="6:7" x14ac:dyDescent="0.2">
      <c r="F5515" s="591">
        <v>5506</v>
      </c>
      <c r="G5515" s="420">
        <f t="shared" ref="G5515:G5578" ca="1" si="94">_xlfn.NORM.INV(RAND(), $M$11,$M$12)</f>
        <v>6.6976410558169136E-2</v>
      </c>
    </row>
    <row r="5516" spans="6:7" x14ac:dyDescent="0.2">
      <c r="F5516" s="591">
        <v>5507</v>
      </c>
      <c r="G5516" s="420">
        <f t="shared" ca="1" si="94"/>
        <v>-5.7081644817336186E-2</v>
      </c>
    </row>
    <row r="5517" spans="6:7" x14ac:dyDescent="0.2">
      <c r="F5517" s="591">
        <v>5508</v>
      </c>
      <c r="G5517" s="420">
        <f t="shared" ca="1" si="94"/>
        <v>1.440418816280907E-2</v>
      </c>
    </row>
    <row r="5518" spans="6:7" x14ac:dyDescent="0.2">
      <c r="F5518" s="591">
        <v>5509</v>
      </c>
      <c r="G5518" s="420">
        <f t="shared" ca="1" si="94"/>
        <v>-0.13984665560171097</v>
      </c>
    </row>
    <row r="5519" spans="6:7" x14ac:dyDescent="0.2">
      <c r="F5519" s="591">
        <v>5510</v>
      </c>
      <c r="G5519" s="420">
        <f t="shared" ca="1" si="94"/>
        <v>1.194096362209701E-2</v>
      </c>
    </row>
    <row r="5520" spans="6:7" x14ac:dyDescent="0.2">
      <c r="F5520" s="591">
        <v>5511</v>
      </c>
      <c r="G5520" s="420">
        <f t="shared" ca="1" si="94"/>
        <v>9.7151780041207197E-2</v>
      </c>
    </row>
    <row r="5521" spans="6:7" x14ac:dyDescent="0.2">
      <c r="F5521" s="591">
        <v>5512</v>
      </c>
      <c r="G5521" s="420">
        <f t="shared" ca="1" si="94"/>
        <v>7.4785055079277268E-2</v>
      </c>
    </row>
    <row r="5522" spans="6:7" x14ac:dyDescent="0.2">
      <c r="F5522" s="591">
        <v>5513</v>
      </c>
      <c r="G5522" s="420">
        <f t="shared" ca="1" si="94"/>
        <v>-3.5756929948730184E-2</v>
      </c>
    </row>
    <row r="5523" spans="6:7" x14ac:dyDescent="0.2">
      <c r="F5523" s="591">
        <v>5514</v>
      </c>
      <c r="G5523" s="420">
        <f t="shared" ca="1" si="94"/>
        <v>1.6892986172295937E-2</v>
      </c>
    </row>
    <row r="5524" spans="6:7" x14ac:dyDescent="0.2">
      <c r="F5524" s="591">
        <v>5515</v>
      </c>
      <c r="G5524" s="420">
        <f t="shared" ca="1" si="94"/>
        <v>0.11700246959817648</v>
      </c>
    </row>
    <row r="5525" spans="6:7" x14ac:dyDescent="0.2">
      <c r="F5525" s="591">
        <v>5516</v>
      </c>
      <c r="G5525" s="420">
        <f t="shared" ca="1" si="94"/>
        <v>4.9081990443059595E-2</v>
      </c>
    </row>
    <row r="5526" spans="6:7" x14ac:dyDescent="0.2">
      <c r="F5526" s="591">
        <v>5517</v>
      </c>
      <c r="G5526" s="420">
        <f t="shared" ca="1" si="94"/>
        <v>-3.1528166185213924E-2</v>
      </c>
    </row>
    <row r="5527" spans="6:7" x14ac:dyDescent="0.2">
      <c r="F5527" s="591">
        <v>5518</v>
      </c>
      <c r="G5527" s="420">
        <f t="shared" ca="1" si="94"/>
        <v>-0.10338498583822861</v>
      </c>
    </row>
    <row r="5528" spans="6:7" x14ac:dyDescent="0.2">
      <c r="F5528" s="591">
        <v>5519</v>
      </c>
      <c r="G5528" s="420">
        <f t="shared" ca="1" si="94"/>
        <v>-5.1555888394234223E-3</v>
      </c>
    </row>
    <row r="5529" spans="6:7" x14ac:dyDescent="0.2">
      <c r="F5529" s="591">
        <v>5520</v>
      </c>
      <c r="G5529" s="420">
        <f t="shared" ca="1" si="94"/>
        <v>-3.1456623241949561E-4</v>
      </c>
    </row>
    <row r="5530" spans="6:7" x14ac:dyDescent="0.2">
      <c r="F5530" s="591">
        <v>5521</v>
      </c>
      <c r="G5530" s="420">
        <f t="shared" ca="1" si="94"/>
        <v>-5.2228257248905549E-2</v>
      </c>
    </row>
    <row r="5531" spans="6:7" x14ac:dyDescent="0.2">
      <c r="F5531" s="591">
        <v>5522</v>
      </c>
      <c r="G5531" s="420">
        <f t="shared" ca="1" si="94"/>
        <v>-3.2113152222251126E-2</v>
      </c>
    </row>
    <row r="5532" spans="6:7" x14ac:dyDescent="0.2">
      <c r="F5532" s="591">
        <v>5523</v>
      </c>
      <c r="G5532" s="420">
        <f t="shared" ca="1" si="94"/>
        <v>1.1825245714279231E-3</v>
      </c>
    </row>
    <row r="5533" spans="6:7" x14ac:dyDescent="0.2">
      <c r="F5533" s="591">
        <v>5524</v>
      </c>
      <c r="G5533" s="420">
        <f t="shared" ca="1" si="94"/>
        <v>4.433640649237916E-2</v>
      </c>
    </row>
    <row r="5534" spans="6:7" x14ac:dyDescent="0.2">
      <c r="F5534" s="591">
        <v>5525</v>
      </c>
      <c r="G5534" s="420">
        <f t="shared" ca="1" si="94"/>
        <v>-3.6533159408722538E-2</v>
      </c>
    </row>
    <row r="5535" spans="6:7" x14ac:dyDescent="0.2">
      <c r="F5535" s="591">
        <v>5526</v>
      </c>
      <c r="G5535" s="420">
        <f t="shared" ca="1" si="94"/>
        <v>6.0550275323585256E-2</v>
      </c>
    </row>
    <row r="5536" spans="6:7" x14ac:dyDescent="0.2">
      <c r="F5536" s="591">
        <v>5527</v>
      </c>
      <c r="G5536" s="420">
        <f t="shared" ca="1" si="94"/>
        <v>5.2649641309924344E-3</v>
      </c>
    </row>
    <row r="5537" spans="6:7" x14ac:dyDescent="0.2">
      <c r="F5537" s="591">
        <v>5528</v>
      </c>
      <c r="G5537" s="420">
        <f t="shared" ca="1" si="94"/>
        <v>4.8266933098952483E-2</v>
      </c>
    </row>
    <row r="5538" spans="6:7" x14ac:dyDescent="0.2">
      <c r="F5538" s="591">
        <v>5529</v>
      </c>
      <c r="G5538" s="420">
        <f t="shared" ca="1" si="94"/>
        <v>-6.876059809644032E-2</v>
      </c>
    </row>
    <row r="5539" spans="6:7" x14ac:dyDescent="0.2">
      <c r="F5539" s="591">
        <v>5530</v>
      </c>
      <c r="G5539" s="420">
        <f t="shared" ca="1" si="94"/>
        <v>4.9994282457834813E-2</v>
      </c>
    </row>
    <row r="5540" spans="6:7" x14ac:dyDescent="0.2">
      <c r="F5540" s="591">
        <v>5531</v>
      </c>
      <c r="G5540" s="420">
        <f t="shared" ca="1" si="94"/>
        <v>1.6802451058066974E-2</v>
      </c>
    </row>
    <row r="5541" spans="6:7" x14ac:dyDescent="0.2">
      <c r="F5541" s="591">
        <v>5532</v>
      </c>
      <c r="G5541" s="420">
        <f t="shared" ca="1" si="94"/>
        <v>9.260210858899505E-2</v>
      </c>
    </row>
    <row r="5542" spans="6:7" x14ac:dyDescent="0.2">
      <c r="F5542" s="591">
        <v>5533</v>
      </c>
      <c r="G5542" s="420">
        <f t="shared" ca="1" si="94"/>
        <v>2.6420037384277582E-2</v>
      </c>
    </row>
    <row r="5543" spans="6:7" x14ac:dyDescent="0.2">
      <c r="F5543" s="591">
        <v>5534</v>
      </c>
      <c r="G5543" s="420">
        <f t="shared" ca="1" si="94"/>
        <v>-3.5304983529635042E-2</v>
      </c>
    </row>
    <row r="5544" spans="6:7" x14ac:dyDescent="0.2">
      <c r="F5544" s="591">
        <v>5535</v>
      </c>
      <c r="G5544" s="420">
        <f t="shared" ca="1" si="94"/>
        <v>2.3995930471341135E-2</v>
      </c>
    </row>
    <row r="5545" spans="6:7" x14ac:dyDescent="0.2">
      <c r="F5545" s="591">
        <v>5536</v>
      </c>
      <c r="G5545" s="420">
        <f t="shared" ca="1" si="94"/>
        <v>2.6691737374027968E-2</v>
      </c>
    </row>
    <row r="5546" spans="6:7" x14ac:dyDescent="0.2">
      <c r="F5546" s="591">
        <v>5537</v>
      </c>
      <c r="G5546" s="420">
        <f t="shared" ca="1" si="94"/>
        <v>4.7436253264584019E-2</v>
      </c>
    </row>
    <row r="5547" spans="6:7" x14ac:dyDescent="0.2">
      <c r="F5547" s="591">
        <v>5538</v>
      </c>
      <c r="G5547" s="420">
        <f t="shared" ca="1" si="94"/>
        <v>0.17798248617223697</v>
      </c>
    </row>
    <row r="5548" spans="6:7" x14ac:dyDescent="0.2">
      <c r="F5548" s="591">
        <v>5539</v>
      </c>
      <c r="G5548" s="420">
        <f t="shared" ca="1" si="94"/>
        <v>8.7697555485122008E-2</v>
      </c>
    </row>
    <row r="5549" spans="6:7" x14ac:dyDescent="0.2">
      <c r="F5549" s="591">
        <v>5540</v>
      </c>
      <c r="G5549" s="420">
        <f t="shared" ca="1" si="94"/>
        <v>3.8581936202591108E-2</v>
      </c>
    </row>
    <row r="5550" spans="6:7" x14ac:dyDescent="0.2">
      <c r="F5550" s="591">
        <v>5541</v>
      </c>
      <c r="G5550" s="420">
        <f t="shared" ca="1" si="94"/>
        <v>-6.5253948630337469E-2</v>
      </c>
    </row>
    <row r="5551" spans="6:7" x14ac:dyDescent="0.2">
      <c r="F5551" s="591">
        <v>5542</v>
      </c>
      <c r="G5551" s="420">
        <f t="shared" ca="1" si="94"/>
        <v>6.3799356524196688E-2</v>
      </c>
    </row>
    <row r="5552" spans="6:7" x14ac:dyDescent="0.2">
      <c r="F5552" s="591">
        <v>5543</v>
      </c>
      <c r="G5552" s="420">
        <f t="shared" ca="1" si="94"/>
        <v>0.12146003864851282</v>
      </c>
    </row>
    <row r="5553" spans="6:7" x14ac:dyDescent="0.2">
      <c r="F5553" s="591">
        <v>5544</v>
      </c>
      <c r="G5553" s="420">
        <f t="shared" ca="1" si="94"/>
        <v>-3.8920083090087973E-2</v>
      </c>
    </row>
    <row r="5554" spans="6:7" x14ac:dyDescent="0.2">
      <c r="F5554" s="591">
        <v>5545</v>
      </c>
      <c r="G5554" s="420">
        <f t="shared" ca="1" si="94"/>
        <v>3.411055632639064E-3</v>
      </c>
    </row>
    <row r="5555" spans="6:7" x14ac:dyDescent="0.2">
      <c r="F5555" s="591">
        <v>5546</v>
      </c>
      <c r="G5555" s="420">
        <f t="shared" ca="1" si="94"/>
        <v>8.4795765192972813E-2</v>
      </c>
    </row>
    <row r="5556" spans="6:7" x14ac:dyDescent="0.2">
      <c r="F5556" s="591">
        <v>5547</v>
      </c>
      <c r="G5556" s="420">
        <f t="shared" ca="1" si="94"/>
        <v>0.13202613577751127</v>
      </c>
    </row>
    <row r="5557" spans="6:7" x14ac:dyDescent="0.2">
      <c r="F5557" s="591">
        <v>5548</v>
      </c>
      <c r="G5557" s="420">
        <f t="shared" ca="1" si="94"/>
        <v>-3.0466925071854917E-3</v>
      </c>
    </row>
    <row r="5558" spans="6:7" x14ac:dyDescent="0.2">
      <c r="F5558" s="591">
        <v>5549</v>
      </c>
      <c r="G5558" s="420">
        <f t="shared" ca="1" si="94"/>
        <v>4.2768043710829637E-2</v>
      </c>
    </row>
    <row r="5559" spans="6:7" x14ac:dyDescent="0.2">
      <c r="F5559" s="591">
        <v>5550</v>
      </c>
      <c r="G5559" s="420">
        <f t="shared" ca="1" si="94"/>
        <v>-2.9959936521379498E-2</v>
      </c>
    </row>
    <row r="5560" spans="6:7" x14ac:dyDescent="0.2">
      <c r="F5560" s="591">
        <v>5551</v>
      </c>
      <c r="G5560" s="420">
        <f t="shared" ca="1" si="94"/>
        <v>0.13345328040689591</v>
      </c>
    </row>
    <row r="5561" spans="6:7" x14ac:dyDescent="0.2">
      <c r="F5561" s="591">
        <v>5552</v>
      </c>
      <c r="G5561" s="420">
        <f t="shared" ca="1" si="94"/>
        <v>-4.8617106211539057E-2</v>
      </c>
    </row>
    <row r="5562" spans="6:7" x14ac:dyDescent="0.2">
      <c r="F5562" s="591">
        <v>5553</v>
      </c>
      <c r="G5562" s="420">
        <f t="shared" ca="1" si="94"/>
        <v>1.0017906267567434E-2</v>
      </c>
    </row>
    <row r="5563" spans="6:7" x14ac:dyDescent="0.2">
      <c r="F5563" s="591">
        <v>5554</v>
      </c>
      <c r="G5563" s="420">
        <f t="shared" ca="1" si="94"/>
        <v>8.7625449907518527E-2</v>
      </c>
    </row>
    <row r="5564" spans="6:7" x14ac:dyDescent="0.2">
      <c r="F5564" s="591">
        <v>5555</v>
      </c>
      <c r="G5564" s="420">
        <f t="shared" ca="1" si="94"/>
        <v>1.5703937383041065E-2</v>
      </c>
    </row>
    <row r="5565" spans="6:7" x14ac:dyDescent="0.2">
      <c r="F5565" s="591">
        <v>5556</v>
      </c>
      <c r="G5565" s="420">
        <f t="shared" ca="1" si="94"/>
        <v>9.6884236939167381E-2</v>
      </c>
    </row>
    <row r="5566" spans="6:7" x14ac:dyDescent="0.2">
      <c r="F5566" s="591">
        <v>5557</v>
      </c>
      <c r="G5566" s="420">
        <f t="shared" ca="1" si="94"/>
        <v>4.7064515876174301E-2</v>
      </c>
    </row>
    <row r="5567" spans="6:7" x14ac:dyDescent="0.2">
      <c r="F5567" s="591">
        <v>5558</v>
      </c>
      <c r="G5567" s="420">
        <f t="shared" ca="1" si="94"/>
        <v>-3.8385738988053544E-4</v>
      </c>
    </row>
    <row r="5568" spans="6:7" x14ac:dyDescent="0.2">
      <c r="F5568" s="591">
        <v>5559</v>
      </c>
      <c r="G5568" s="420">
        <f t="shared" ca="1" si="94"/>
        <v>0.20543615936757276</v>
      </c>
    </row>
    <row r="5569" spans="6:7" x14ac:dyDescent="0.2">
      <c r="F5569" s="591">
        <v>5560</v>
      </c>
      <c r="G5569" s="420">
        <f t="shared" ca="1" si="94"/>
        <v>-5.6045763816077676E-2</v>
      </c>
    </row>
    <row r="5570" spans="6:7" x14ac:dyDescent="0.2">
      <c r="F5570" s="591">
        <v>5561</v>
      </c>
      <c r="G5570" s="420">
        <f t="shared" ca="1" si="94"/>
        <v>3.9740239688578163E-2</v>
      </c>
    </row>
    <row r="5571" spans="6:7" x14ac:dyDescent="0.2">
      <c r="F5571" s="591">
        <v>5562</v>
      </c>
      <c r="G5571" s="420">
        <f t="shared" ca="1" si="94"/>
        <v>0.1037955222622132</v>
      </c>
    </row>
    <row r="5572" spans="6:7" x14ac:dyDescent="0.2">
      <c r="F5572" s="591">
        <v>5563</v>
      </c>
      <c r="G5572" s="420">
        <f t="shared" ca="1" si="94"/>
        <v>0.10273728020256952</v>
      </c>
    </row>
    <row r="5573" spans="6:7" x14ac:dyDescent="0.2">
      <c r="F5573" s="591">
        <v>5564</v>
      </c>
      <c r="G5573" s="420">
        <f t="shared" ca="1" si="94"/>
        <v>6.5497742648775503E-2</v>
      </c>
    </row>
    <row r="5574" spans="6:7" x14ac:dyDescent="0.2">
      <c r="F5574" s="591">
        <v>5565</v>
      </c>
      <c r="G5574" s="420">
        <f t="shared" ca="1" si="94"/>
        <v>4.9789581255887991E-2</v>
      </c>
    </row>
    <row r="5575" spans="6:7" x14ac:dyDescent="0.2">
      <c r="F5575" s="591">
        <v>5566</v>
      </c>
      <c r="G5575" s="420">
        <f t="shared" ca="1" si="94"/>
        <v>-3.2851277293150488E-2</v>
      </c>
    </row>
    <row r="5576" spans="6:7" x14ac:dyDescent="0.2">
      <c r="F5576" s="591">
        <v>5567</v>
      </c>
      <c r="G5576" s="420">
        <f t="shared" ca="1" si="94"/>
        <v>4.9032215777186486E-2</v>
      </c>
    </row>
    <row r="5577" spans="6:7" x14ac:dyDescent="0.2">
      <c r="F5577" s="591">
        <v>5568</v>
      </c>
      <c r="G5577" s="420">
        <f t="shared" ca="1" si="94"/>
        <v>-5.1228456607149309E-2</v>
      </c>
    </row>
    <row r="5578" spans="6:7" x14ac:dyDescent="0.2">
      <c r="F5578" s="591">
        <v>5569</v>
      </c>
      <c r="G5578" s="420">
        <f t="shared" ca="1" si="94"/>
        <v>8.2098219691977725E-2</v>
      </c>
    </row>
    <row r="5579" spans="6:7" x14ac:dyDescent="0.2">
      <c r="F5579" s="591">
        <v>5570</v>
      </c>
      <c r="G5579" s="420">
        <f t="shared" ref="G5579:G5642" ca="1" si="95">_xlfn.NORM.INV(RAND(), $M$11,$M$12)</f>
        <v>0.10912364607920046</v>
      </c>
    </row>
    <row r="5580" spans="6:7" x14ac:dyDescent="0.2">
      <c r="F5580" s="591">
        <v>5571</v>
      </c>
      <c r="G5580" s="420">
        <f t="shared" ca="1" si="95"/>
        <v>4.1890719674290084E-3</v>
      </c>
    </row>
    <row r="5581" spans="6:7" x14ac:dyDescent="0.2">
      <c r="F5581" s="591">
        <v>5572</v>
      </c>
      <c r="G5581" s="420">
        <f t="shared" ca="1" si="95"/>
        <v>-4.3588589522464111E-2</v>
      </c>
    </row>
    <row r="5582" spans="6:7" x14ac:dyDescent="0.2">
      <c r="F5582" s="591">
        <v>5573</v>
      </c>
      <c r="G5582" s="420">
        <f t="shared" ca="1" si="95"/>
        <v>-0.10674848085350339</v>
      </c>
    </row>
    <row r="5583" spans="6:7" x14ac:dyDescent="0.2">
      <c r="F5583" s="591">
        <v>5574</v>
      </c>
      <c r="G5583" s="420">
        <f t="shared" ca="1" si="95"/>
        <v>6.9622377482124895E-2</v>
      </c>
    </row>
    <row r="5584" spans="6:7" x14ac:dyDescent="0.2">
      <c r="F5584" s="591">
        <v>5575</v>
      </c>
      <c r="G5584" s="420">
        <f t="shared" ca="1" si="95"/>
        <v>-5.4749302392094121E-3</v>
      </c>
    </row>
    <row r="5585" spans="6:7" x14ac:dyDescent="0.2">
      <c r="F5585" s="591">
        <v>5576</v>
      </c>
      <c r="G5585" s="420">
        <f t="shared" ca="1" si="95"/>
        <v>-3.0553654803292935E-2</v>
      </c>
    </row>
    <row r="5586" spans="6:7" x14ac:dyDescent="0.2">
      <c r="F5586" s="591">
        <v>5577</v>
      </c>
      <c r="G5586" s="420">
        <f t="shared" ca="1" si="95"/>
        <v>-2.0940586698820315E-2</v>
      </c>
    </row>
    <row r="5587" spans="6:7" x14ac:dyDescent="0.2">
      <c r="F5587" s="591">
        <v>5578</v>
      </c>
      <c r="G5587" s="420">
        <f t="shared" ca="1" si="95"/>
        <v>-1.6839503679642237E-2</v>
      </c>
    </row>
    <row r="5588" spans="6:7" x14ac:dyDescent="0.2">
      <c r="F5588" s="591">
        <v>5579</v>
      </c>
      <c r="G5588" s="420">
        <f t="shared" ca="1" si="95"/>
        <v>3.8375847063488289E-2</v>
      </c>
    </row>
    <row r="5589" spans="6:7" x14ac:dyDescent="0.2">
      <c r="F5589" s="591">
        <v>5580</v>
      </c>
      <c r="G5589" s="420">
        <f t="shared" ca="1" si="95"/>
        <v>1.5412425394036915E-2</v>
      </c>
    </row>
    <row r="5590" spans="6:7" x14ac:dyDescent="0.2">
      <c r="F5590" s="591">
        <v>5581</v>
      </c>
      <c r="G5590" s="420">
        <f t="shared" ca="1" si="95"/>
        <v>-1.147340049054001E-2</v>
      </c>
    </row>
    <row r="5591" spans="6:7" x14ac:dyDescent="0.2">
      <c r="F5591" s="591">
        <v>5582</v>
      </c>
      <c r="G5591" s="420">
        <f t="shared" ca="1" si="95"/>
        <v>9.1768990965751997E-3</v>
      </c>
    </row>
    <row r="5592" spans="6:7" x14ac:dyDescent="0.2">
      <c r="F5592" s="591">
        <v>5583</v>
      </c>
      <c r="G5592" s="420">
        <f t="shared" ca="1" si="95"/>
        <v>9.2207882917638859E-2</v>
      </c>
    </row>
    <row r="5593" spans="6:7" x14ac:dyDescent="0.2">
      <c r="F5593" s="591">
        <v>5584</v>
      </c>
      <c r="G5593" s="420">
        <f t="shared" ca="1" si="95"/>
        <v>3.2985181459889601E-2</v>
      </c>
    </row>
    <row r="5594" spans="6:7" x14ac:dyDescent="0.2">
      <c r="F5594" s="591">
        <v>5585</v>
      </c>
      <c r="G5594" s="420">
        <f t="shared" ca="1" si="95"/>
        <v>-9.227878468078865E-2</v>
      </c>
    </row>
    <row r="5595" spans="6:7" x14ac:dyDescent="0.2">
      <c r="F5595" s="591">
        <v>5586</v>
      </c>
      <c r="G5595" s="420">
        <f t="shared" ca="1" si="95"/>
        <v>-3.1514874988924149E-2</v>
      </c>
    </row>
    <row r="5596" spans="6:7" x14ac:dyDescent="0.2">
      <c r="F5596" s="591">
        <v>5587</v>
      </c>
      <c r="G5596" s="420">
        <f t="shared" ca="1" si="95"/>
        <v>1.7692327378028571E-2</v>
      </c>
    </row>
    <row r="5597" spans="6:7" x14ac:dyDescent="0.2">
      <c r="F5597" s="591">
        <v>5588</v>
      </c>
      <c r="G5597" s="420">
        <f t="shared" ca="1" si="95"/>
        <v>1.321010136714953E-2</v>
      </c>
    </row>
    <row r="5598" spans="6:7" x14ac:dyDescent="0.2">
      <c r="F5598" s="591">
        <v>5589</v>
      </c>
      <c r="G5598" s="420">
        <f t="shared" ca="1" si="95"/>
        <v>8.7887047266882977E-4</v>
      </c>
    </row>
    <row r="5599" spans="6:7" x14ac:dyDescent="0.2">
      <c r="F5599" s="591">
        <v>5590</v>
      </c>
      <c r="G5599" s="420">
        <f t="shared" ca="1" si="95"/>
        <v>-1.7254285427083325E-2</v>
      </c>
    </row>
    <row r="5600" spans="6:7" x14ac:dyDescent="0.2">
      <c r="F5600" s="591">
        <v>5591</v>
      </c>
      <c r="G5600" s="420">
        <f t="shared" ca="1" si="95"/>
        <v>-3.3208839748868305E-2</v>
      </c>
    </row>
    <row r="5601" spans="6:7" x14ac:dyDescent="0.2">
      <c r="F5601" s="591">
        <v>5592</v>
      </c>
      <c r="G5601" s="420">
        <f t="shared" ca="1" si="95"/>
        <v>-0.10620186865998663</v>
      </c>
    </row>
    <row r="5602" spans="6:7" x14ac:dyDescent="0.2">
      <c r="F5602" s="591">
        <v>5593</v>
      </c>
      <c r="G5602" s="420">
        <f t="shared" ca="1" si="95"/>
        <v>3.6463950682005487E-3</v>
      </c>
    </row>
    <row r="5603" spans="6:7" x14ac:dyDescent="0.2">
      <c r="F5603" s="591">
        <v>5594</v>
      </c>
      <c r="G5603" s="420">
        <f t="shared" ca="1" si="95"/>
        <v>5.9160709365714076E-2</v>
      </c>
    </row>
    <row r="5604" spans="6:7" x14ac:dyDescent="0.2">
      <c r="F5604" s="591">
        <v>5595</v>
      </c>
      <c r="G5604" s="420">
        <f t="shared" ca="1" si="95"/>
        <v>-1.0201813078750562E-2</v>
      </c>
    </row>
    <row r="5605" spans="6:7" x14ac:dyDescent="0.2">
      <c r="F5605" s="591">
        <v>5596</v>
      </c>
      <c r="G5605" s="420">
        <f t="shared" ca="1" si="95"/>
        <v>0.13595056414297813</v>
      </c>
    </row>
    <row r="5606" spans="6:7" x14ac:dyDescent="0.2">
      <c r="F5606" s="591">
        <v>5597</v>
      </c>
      <c r="G5606" s="420">
        <f t="shared" ca="1" si="95"/>
        <v>4.8052881050027002E-2</v>
      </c>
    </row>
    <row r="5607" spans="6:7" x14ac:dyDescent="0.2">
      <c r="F5607" s="591">
        <v>5598</v>
      </c>
      <c r="G5607" s="420">
        <f t="shared" ca="1" si="95"/>
        <v>8.4016522453245937E-2</v>
      </c>
    </row>
    <row r="5608" spans="6:7" x14ac:dyDescent="0.2">
      <c r="F5608" s="591">
        <v>5599</v>
      </c>
      <c r="G5608" s="420">
        <f t="shared" ca="1" si="95"/>
        <v>3.2306279787696138E-2</v>
      </c>
    </row>
    <row r="5609" spans="6:7" x14ac:dyDescent="0.2">
      <c r="F5609" s="591">
        <v>5600</v>
      </c>
      <c r="G5609" s="420">
        <f t="shared" ca="1" si="95"/>
        <v>8.0182269697143593E-2</v>
      </c>
    </row>
    <row r="5610" spans="6:7" x14ac:dyDescent="0.2">
      <c r="F5610" s="591">
        <v>5601</v>
      </c>
      <c r="G5610" s="420">
        <f t="shared" ca="1" si="95"/>
        <v>2.6144975212267635E-2</v>
      </c>
    </row>
    <row r="5611" spans="6:7" x14ac:dyDescent="0.2">
      <c r="F5611" s="591">
        <v>5602</v>
      </c>
      <c r="G5611" s="420">
        <f t="shared" ca="1" si="95"/>
        <v>-4.4765320160134632E-3</v>
      </c>
    </row>
    <row r="5612" spans="6:7" x14ac:dyDescent="0.2">
      <c r="F5612" s="591">
        <v>5603</v>
      </c>
      <c r="G5612" s="420">
        <f t="shared" ca="1" si="95"/>
        <v>-1.3457355129459451E-2</v>
      </c>
    </row>
    <row r="5613" spans="6:7" x14ac:dyDescent="0.2">
      <c r="F5613" s="591">
        <v>5604</v>
      </c>
      <c r="G5613" s="420">
        <f t="shared" ca="1" si="95"/>
        <v>-6.3119356663212639E-2</v>
      </c>
    </row>
    <row r="5614" spans="6:7" x14ac:dyDescent="0.2">
      <c r="F5614" s="591">
        <v>5605</v>
      </c>
      <c r="G5614" s="420">
        <f t="shared" ca="1" si="95"/>
        <v>-0.13277584244032256</v>
      </c>
    </row>
    <row r="5615" spans="6:7" x14ac:dyDescent="0.2">
      <c r="F5615" s="591">
        <v>5606</v>
      </c>
      <c r="G5615" s="420">
        <f t="shared" ca="1" si="95"/>
        <v>-1.1443837334855399E-2</v>
      </c>
    </row>
    <row r="5616" spans="6:7" x14ac:dyDescent="0.2">
      <c r="F5616" s="591">
        <v>5607</v>
      </c>
      <c r="G5616" s="420">
        <f t="shared" ca="1" si="95"/>
        <v>-0.11564430388118631</v>
      </c>
    </row>
    <row r="5617" spans="6:7" x14ac:dyDescent="0.2">
      <c r="F5617" s="591">
        <v>5608</v>
      </c>
      <c r="G5617" s="420">
        <f t="shared" ca="1" si="95"/>
        <v>-5.3318385138120705E-2</v>
      </c>
    </row>
    <row r="5618" spans="6:7" x14ac:dyDescent="0.2">
      <c r="F5618" s="591">
        <v>5609</v>
      </c>
      <c r="G5618" s="420">
        <f t="shared" ca="1" si="95"/>
        <v>4.9214549187260931E-3</v>
      </c>
    </row>
    <row r="5619" spans="6:7" x14ac:dyDescent="0.2">
      <c r="F5619" s="591">
        <v>5610</v>
      </c>
      <c r="G5619" s="420">
        <f t="shared" ca="1" si="95"/>
        <v>-2.0548552438534404E-2</v>
      </c>
    </row>
    <row r="5620" spans="6:7" x14ac:dyDescent="0.2">
      <c r="F5620" s="591">
        <v>5611</v>
      </c>
      <c r="G5620" s="420">
        <f t="shared" ca="1" si="95"/>
        <v>-2.2661306028633161E-2</v>
      </c>
    </row>
    <row r="5621" spans="6:7" x14ac:dyDescent="0.2">
      <c r="F5621" s="591">
        <v>5612</v>
      </c>
      <c r="G5621" s="420">
        <f t="shared" ca="1" si="95"/>
        <v>-4.9005692882289925E-2</v>
      </c>
    </row>
    <row r="5622" spans="6:7" x14ac:dyDescent="0.2">
      <c r="F5622" s="591">
        <v>5613</v>
      </c>
      <c r="G5622" s="420">
        <f t="shared" ca="1" si="95"/>
        <v>9.8404615688356817E-2</v>
      </c>
    </row>
    <row r="5623" spans="6:7" x14ac:dyDescent="0.2">
      <c r="F5623" s="591">
        <v>5614</v>
      </c>
      <c r="G5623" s="420">
        <f t="shared" ca="1" si="95"/>
        <v>6.3440312021317514E-3</v>
      </c>
    </row>
    <row r="5624" spans="6:7" x14ac:dyDescent="0.2">
      <c r="F5624" s="591">
        <v>5615</v>
      </c>
      <c r="G5624" s="420">
        <f t="shared" ca="1" si="95"/>
        <v>2.2955924301456796E-2</v>
      </c>
    </row>
    <row r="5625" spans="6:7" x14ac:dyDescent="0.2">
      <c r="F5625" s="591">
        <v>5616</v>
      </c>
      <c r="G5625" s="420">
        <f t="shared" ca="1" si="95"/>
        <v>0.15010569183489003</v>
      </c>
    </row>
    <row r="5626" spans="6:7" x14ac:dyDescent="0.2">
      <c r="F5626" s="591">
        <v>5617</v>
      </c>
      <c r="G5626" s="420">
        <f t="shared" ca="1" si="95"/>
        <v>-4.6900033899615862E-2</v>
      </c>
    </row>
    <row r="5627" spans="6:7" x14ac:dyDescent="0.2">
      <c r="F5627" s="591">
        <v>5618</v>
      </c>
      <c r="G5627" s="420">
        <f t="shared" ca="1" si="95"/>
        <v>-7.9049359362988597E-3</v>
      </c>
    </row>
    <row r="5628" spans="6:7" x14ac:dyDescent="0.2">
      <c r="F5628" s="591">
        <v>5619</v>
      </c>
      <c r="G5628" s="420">
        <f t="shared" ca="1" si="95"/>
        <v>-3.8211535034772509E-2</v>
      </c>
    </row>
    <row r="5629" spans="6:7" x14ac:dyDescent="0.2">
      <c r="F5629" s="591">
        <v>5620</v>
      </c>
      <c r="G5629" s="420">
        <f t="shared" ca="1" si="95"/>
        <v>3.6382760149433237E-4</v>
      </c>
    </row>
    <row r="5630" spans="6:7" x14ac:dyDescent="0.2">
      <c r="F5630" s="591">
        <v>5621</v>
      </c>
      <c r="G5630" s="420">
        <f t="shared" ca="1" si="95"/>
        <v>-0.11203233362457099</v>
      </c>
    </row>
    <row r="5631" spans="6:7" x14ac:dyDescent="0.2">
      <c r="F5631" s="591">
        <v>5622</v>
      </c>
      <c r="G5631" s="420">
        <f t="shared" ca="1" si="95"/>
        <v>-4.8790732422406294E-2</v>
      </c>
    </row>
    <row r="5632" spans="6:7" x14ac:dyDescent="0.2">
      <c r="F5632" s="591">
        <v>5623</v>
      </c>
      <c r="G5632" s="420">
        <f t="shared" ca="1" si="95"/>
        <v>-3.8157324942609649E-2</v>
      </c>
    </row>
    <row r="5633" spans="6:7" x14ac:dyDescent="0.2">
      <c r="F5633" s="591">
        <v>5624</v>
      </c>
      <c r="G5633" s="420">
        <f t="shared" ca="1" si="95"/>
        <v>4.1489958739770703E-2</v>
      </c>
    </row>
    <row r="5634" spans="6:7" x14ac:dyDescent="0.2">
      <c r="F5634" s="591">
        <v>5625</v>
      </c>
      <c r="G5634" s="420">
        <f t="shared" ca="1" si="95"/>
        <v>-1.4018048066615555E-2</v>
      </c>
    </row>
    <row r="5635" spans="6:7" x14ac:dyDescent="0.2">
      <c r="F5635" s="591">
        <v>5626</v>
      </c>
      <c r="G5635" s="420">
        <f t="shared" ca="1" si="95"/>
        <v>-4.6492355861081219E-2</v>
      </c>
    </row>
    <row r="5636" spans="6:7" x14ac:dyDescent="0.2">
      <c r="F5636" s="591">
        <v>5627</v>
      </c>
      <c r="G5636" s="420">
        <f t="shared" ca="1" si="95"/>
        <v>3.1922583275303944E-2</v>
      </c>
    </row>
    <row r="5637" spans="6:7" x14ac:dyDescent="0.2">
      <c r="F5637" s="591">
        <v>5628</v>
      </c>
      <c r="G5637" s="420">
        <f t="shared" ca="1" si="95"/>
        <v>-7.4061689837613659E-2</v>
      </c>
    </row>
    <row r="5638" spans="6:7" x14ac:dyDescent="0.2">
      <c r="F5638" s="591">
        <v>5629</v>
      </c>
      <c r="G5638" s="420">
        <f t="shared" ca="1" si="95"/>
        <v>1.147610247015725E-2</v>
      </c>
    </row>
    <row r="5639" spans="6:7" x14ac:dyDescent="0.2">
      <c r="F5639" s="591">
        <v>5630</v>
      </c>
      <c r="G5639" s="420">
        <f t="shared" ca="1" si="95"/>
        <v>0.15185498168288727</v>
      </c>
    </row>
    <row r="5640" spans="6:7" x14ac:dyDescent="0.2">
      <c r="F5640" s="591">
        <v>5631</v>
      </c>
      <c r="G5640" s="420">
        <f t="shared" ca="1" si="95"/>
        <v>-0.19227930239152469</v>
      </c>
    </row>
    <row r="5641" spans="6:7" x14ac:dyDescent="0.2">
      <c r="F5641" s="591">
        <v>5632</v>
      </c>
      <c r="G5641" s="420">
        <f t="shared" ca="1" si="95"/>
        <v>0.15241226832728197</v>
      </c>
    </row>
    <row r="5642" spans="6:7" x14ac:dyDescent="0.2">
      <c r="F5642" s="591">
        <v>5633</v>
      </c>
      <c r="G5642" s="420">
        <f t="shared" ca="1" si="95"/>
        <v>3.3721469945435616E-2</v>
      </c>
    </row>
    <row r="5643" spans="6:7" x14ac:dyDescent="0.2">
      <c r="F5643" s="591">
        <v>5634</v>
      </c>
      <c r="G5643" s="420">
        <f t="shared" ref="G5643:G5706" ca="1" si="96">_xlfn.NORM.INV(RAND(), $M$11,$M$12)</f>
        <v>-1.3613114926706246E-2</v>
      </c>
    </row>
    <row r="5644" spans="6:7" x14ac:dyDescent="0.2">
      <c r="F5644" s="591">
        <v>5635</v>
      </c>
      <c r="G5644" s="420">
        <f t="shared" ca="1" si="96"/>
        <v>-3.7342531787905101E-2</v>
      </c>
    </row>
    <row r="5645" spans="6:7" x14ac:dyDescent="0.2">
      <c r="F5645" s="591">
        <v>5636</v>
      </c>
      <c r="G5645" s="420">
        <f t="shared" ca="1" si="96"/>
        <v>2.6616267028916611E-2</v>
      </c>
    </row>
    <row r="5646" spans="6:7" x14ac:dyDescent="0.2">
      <c r="F5646" s="591">
        <v>5637</v>
      </c>
      <c r="G5646" s="420">
        <f t="shared" ca="1" si="96"/>
        <v>9.6846146524512136E-2</v>
      </c>
    </row>
    <row r="5647" spans="6:7" x14ac:dyDescent="0.2">
      <c r="F5647" s="591">
        <v>5638</v>
      </c>
      <c r="G5647" s="420">
        <f t="shared" ca="1" si="96"/>
        <v>4.4225801631308376E-2</v>
      </c>
    </row>
    <row r="5648" spans="6:7" x14ac:dyDescent="0.2">
      <c r="F5648" s="591">
        <v>5639</v>
      </c>
      <c r="G5648" s="420">
        <f t="shared" ca="1" si="96"/>
        <v>-4.205811394216788E-2</v>
      </c>
    </row>
    <row r="5649" spans="6:7" x14ac:dyDescent="0.2">
      <c r="F5649" s="591">
        <v>5640</v>
      </c>
      <c r="G5649" s="420">
        <f t="shared" ca="1" si="96"/>
        <v>3.8292734811161397E-2</v>
      </c>
    </row>
    <row r="5650" spans="6:7" x14ac:dyDescent="0.2">
      <c r="F5650" s="591">
        <v>5641</v>
      </c>
      <c r="G5650" s="420">
        <f t="shared" ca="1" si="96"/>
        <v>3.4123345734635643E-2</v>
      </c>
    </row>
    <row r="5651" spans="6:7" x14ac:dyDescent="0.2">
      <c r="F5651" s="591">
        <v>5642</v>
      </c>
      <c r="G5651" s="420">
        <f t="shared" ca="1" si="96"/>
        <v>-0.11074745216387644</v>
      </c>
    </row>
    <row r="5652" spans="6:7" x14ac:dyDescent="0.2">
      <c r="F5652" s="591">
        <v>5643</v>
      </c>
      <c r="G5652" s="420">
        <f t="shared" ca="1" si="96"/>
        <v>-2.9351432150915607E-2</v>
      </c>
    </row>
    <row r="5653" spans="6:7" x14ac:dyDescent="0.2">
      <c r="F5653" s="591">
        <v>5644</v>
      </c>
      <c r="G5653" s="420">
        <f t="shared" ca="1" si="96"/>
        <v>-2.7442862461064633E-2</v>
      </c>
    </row>
    <row r="5654" spans="6:7" x14ac:dyDescent="0.2">
      <c r="F5654" s="591">
        <v>5645</v>
      </c>
      <c r="G5654" s="420">
        <f t="shared" ca="1" si="96"/>
        <v>-4.3200779948885812E-2</v>
      </c>
    </row>
    <row r="5655" spans="6:7" x14ac:dyDescent="0.2">
      <c r="F5655" s="591">
        <v>5646</v>
      </c>
      <c r="G5655" s="420">
        <f t="shared" ca="1" si="96"/>
        <v>-5.0996559000472327E-2</v>
      </c>
    </row>
    <row r="5656" spans="6:7" x14ac:dyDescent="0.2">
      <c r="F5656" s="591">
        <v>5647</v>
      </c>
      <c r="G5656" s="420">
        <f t="shared" ca="1" si="96"/>
        <v>0.12168004256048247</v>
      </c>
    </row>
    <row r="5657" spans="6:7" x14ac:dyDescent="0.2">
      <c r="F5657" s="591">
        <v>5648</v>
      </c>
      <c r="G5657" s="420">
        <f t="shared" ca="1" si="96"/>
        <v>-9.9509449884558246E-2</v>
      </c>
    </row>
    <row r="5658" spans="6:7" x14ac:dyDescent="0.2">
      <c r="F5658" s="591">
        <v>5649</v>
      </c>
      <c r="G5658" s="420">
        <f t="shared" ca="1" si="96"/>
        <v>9.6689798933363477E-2</v>
      </c>
    </row>
    <row r="5659" spans="6:7" x14ac:dyDescent="0.2">
      <c r="F5659" s="591">
        <v>5650</v>
      </c>
      <c r="G5659" s="420">
        <f t="shared" ca="1" si="96"/>
        <v>7.643892698285383E-2</v>
      </c>
    </row>
    <row r="5660" spans="6:7" x14ac:dyDescent="0.2">
      <c r="F5660" s="591">
        <v>5651</v>
      </c>
      <c r="G5660" s="420">
        <f t="shared" ca="1" si="96"/>
        <v>-5.3673247251757678E-2</v>
      </c>
    </row>
    <row r="5661" spans="6:7" x14ac:dyDescent="0.2">
      <c r="F5661" s="591">
        <v>5652</v>
      </c>
      <c r="G5661" s="420">
        <f t="shared" ca="1" si="96"/>
        <v>9.9212976302271369E-3</v>
      </c>
    </row>
    <row r="5662" spans="6:7" x14ac:dyDescent="0.2">
      <c r="F5662" s="591">
        <v>5653</v>
      </c>
      <c r="G5662" s="420">
        <f t="shared" ca="1" si="96"/>
        <v>1.9004650970475365E-2</v>
      </c>
    </row>
    <row r="5663" spans="6:7" x14ac:dyDescent="0.2">
      <c r="F5663" s="591">
        <v>5654</v>
      </c>
      <c r="G5663" s="420">
        <f t="shared" ca="1" si="96"/>
        <v>9.7571983732990503E-2</v>
      </c>
    </row>
    <row r="5664" spans="6:7" x14ac:dyDescent="0.2">
      <c r="F5664" s="591">
        <v>5655</v>
      </c>
      <c r="G5664" s="420">
        <f t="shared" ca="1" si="96"/>
        <v>6.4273494851238094E-2</v>
      </c>
    </row>
    <row r="5665" spans="6:7" x14ac:dyDescent="0.2">
      <c r="F5665" s="591">
        <v>5656</v>
      </c>
      <c r="G5665" s="420">
        <f t="shared" ca="1" si="96"/>
        <v>-7.1310228986376789E-2</v>
      </c>
    </row>
    <row r="5666" spans="6:7" x14ac:dyDescent="0.2">
      <c r="F5666" s="591">
        <v>5657</v>
      </c>
      <c r="G5666" s="420">
        <f t="shared" ca="1" si="96"/>
        <v>3.9320635355830358E-2</v>
      </c>
    </row>
    <row r="5667" spans="6:7" x14ac:dyDescent="0.2">
      <c r="F5667" s="591">
        <v>5658</v>
      </c>
      <c r="G5667" s="420">
        <f t="shared" ca="1" si="96"/>
        <v>-0.10568754628108135</v>
      </c>
    </row>
    <row r="5668" spans="6:7" x14ac:dyDescent="0.2">
      <c r="F5668" s="591">
        <v>5659</v>
      </c>
      <c r="G5668" s="420">
        <f t="shared" ca="1" si="96"/>
        <v>-4.401738188424803E-2</v>
      </c>
    </row>
    <row r="5669" spans="6:7" x14ac:dyDescent="0.2">
      <c r="F5669" s="591">
        <v>5660</v>
      </c>
      <c r="G5669" s="420">
        <f t="shared" ca="1" si="96"/>
        <v>6.9314176842988781E-2</v>
      </c>
    </row>
    <row r="5670" spans="6:7" x14ac:dyDescent="0.2">
      <c r="F5670" s="591">
        <v>5661</v>
      </c>
      <c r="G5670" s="420">
        <f t="shared" ca="1" si="96"/>
        <v>-0.12385082950536348</v>
      </c>
    </row>
    <row r="5671" spans="6:7" x14ac:dyDescent="0.2">
      <c r="F5671" s="591">
        <v>5662</v>
      </c>
      <c r="G5671" s="420">
        <f t="shared" ca="1" si="96"/>
        <v>-2.77249303725399E-2</v>
      </c>
    </row>
    <row r="5672" spans="6:7" x14ac:dyDescent="0.2">
      <c r="F5672" s="591">
        <v>5663</v>
      </c>
      <c r="G5672" s="420">
        <f t="shared" ca="1" si="96"/>
        <v>7.6013418985291029E-4</v>
      </c>
    </row>
    <row r="5673" spans="6:7" x14ac:dyDescent="0.2">
      <c r="F5673" s="591">
        <v>5664</v>
      </c>
      <c r="G5673" s="420">
        <f t="shared" ca="1" si="96"/>
        <v>-1.7853668164645748E-3</v>
      </c>
    </row>
    <row r="5674" spans="6:7" x14ac:dyDescent="0.2">
      <c r="F5674" s="591">
        <v>5665</v>
      </c>
      <c r="G5674" s="420">
        <f t="shared" ca="1" si="96"/>
        <v>0.1326664392569179</v>
      </c>
    </row>
    <row r="5675" spans="6:7" x14ac:dyDescent="0.2">
      <c r="F5675" s="591">
        <v>5666</v>
      </c>
      <c r="G5675" s="420">
        <f t="shared" ca="1" si="96"/>
        <v>0.16143908190965364</v>
      </c>
    </row>
    <row r="5676" spans="6:7" x14ac:dyDescent="0.2">
      <c r="F5676" s="591">
        <v>5667</v>
      </c>
      <c r="G5676" s="420">
        <f t="shared" ca="1" si="96"/>
        <v>6.7572330730741217E-2</v>
      </c>
    </row>
    <row r="5677" spans="6:7" x14ac:dyDescent="0.2">
      <c r="F5677" s="591">
        <v>5668</v>
      </c>
      <c r="G5677" s="420">
        <f t="shared" ca="1" si="96"/>
        <v>-2.7872573237108903E-2</v>
      </c>
    </row>
    <row r="5678" spans="6:7" x14ac:dyDescent="0.2">
      <c r="F5678" s="591">
        <v>5669</v>
      </c>
      <c r="G5678" s="420">
        <f t="shared" ca="1" si="96"/>
        <v>2.5240099653936934E-2</v>
      </c>
    </row>
    <row r="5679" spans="6:7" x14ac:dyDescent="0.2">
      <c r="F5679" s="591">
        <v>5670</v>
      </c>
      <c r="G5679" s="420">
        <f t="shared" ca="1" si="96"/>
        <v>3.3599431460517963E-3</v>
      </c>
    </row>
    <row r="5680" spans="6:7" x14ac:dyDescent="0.2">
      <c r="F5680" s="591">
        <v>5671</v>
      </c>
      <c r="G5680" s="420">
        <f t="shared" ca="1" si="96"/>
        <v>4.8904213169529823E-2</v>
      </c>
    </row>
    <row r="5681" spans="6:7" x14ac:dyDescent="0.2">
      <c r="F5681" s="591">
        <v>5672</v>
      </c>
      <c r="G5681" s="420">
        <f t="shared" ca="1" si="96"/>
        <v>-9.8169118122853574E-2</v>
      </c>
    </row>
    <row r="5682" spans="6:7" x14ac:dyDescent="0.2">
      <c r="F5682" s="591">
        <v>5673</v>
      </c>
      <c r="G5682" s="420">
        <f t="shared" ca="1" si="96"/>
        <v>-0.12695084874663407</v>
      </c>
    </row>
    <row r="5683" spans="6:7" x14ac:dyDescent="0.2">
      <c r="F5683" s="591">
        <v>5674</v>
      </c>
      <c r="G5683" s="420">
        <f t="shared" ca="1" si="96"/>
        <v>6.5047170581099795E-2</v>
      </c>
    </row>
    <row r="5684" spans="6:7" x14ac:dyDescent="0.2">
      <c r="F5684" s="591">
        <v>5675</v>
      </c>
      <c r="G5684" s="420">
        <f t="shared" ca="1" si="96"/>
        <v>-4.9805700479681511E-2</v>
      </c>
    </row>
    <row r="5685" spans="6:7" x14ac:dyDescent="0.2">
      <c r="F5685" s="591">
        <v>5676</v>
      </c>
      <c r="G5685" s="420">
        <f t="shared" ca="1" si="96"/>
        <v>0.14060420921310654</v>
      </c>
    </row>
    <row r="5686" spans="6:7" x14ac:dyDescent="0.2">
      <c r="F5686" s="591">
        <v>5677</v>
      </c>
      <c r="G5686" s="420">
        <f t="shared" ca="1" si="96"/>
        <v>2.0691038910280169E-2</v>
      </c>
    </row>
    <row r="5687" spans="6:7" x14ac:dyDescent="0.2">
      <c r="F5687" s="591">
        <v>5678</v>
      </c>
      <c r="G5687" s="420">
        <f t="shared" ca="1" si="96"/>
        <v>1.7490197149313019E-2</v>
      </c>
    </row>
    <row r="5688" spans="6:7" x14ac:dyDescent="0.2">
      <c r="F5688" s="591">
        <v>5679</v>
      </c>
      <c r="G5688" s="420">
        <f t="shared" ca="1" si="96"/>
        <v>-4.486345394460068E-3</v>
      </c>
    </row>
    <row r="5689" spans="6:7" x14ac:dyDescent="0.2">
      <c r="F5689" s="591">
        <v>5680</v>
      </c>
      <c r="G5689" s="420">
        <f t="shared" ca="1" si="96"/>
        <v>-5.4257142894758192E-2</v>
      </c>
    </row>
    <row r="5690" spans="6:7" x14ac:dyDescent="0.2">
      <c r="F5690" s="591">
        <v>5681</v>
      </c>
      <c r="G5690" s="420">
        <f t="shared" ca="1" si="96"/>
        <v>9.6074340695518415E-3</v>
      </c>
    </row>
    <row r="5691" spans="6:7" x14ac:dyDescent="0.2">
      <c r="F5691" s="591">
        <v>5682</v>
      </c>
      <c r="G5691" s="420">
        <f t="shared" ca="1" si="96"/>
        <v>2.2108509902166649E-2</v>
      </c>
    </row>
    <row r="5692" spans="6:7" x14ac:dyDescent="0.2">
      <c r="F5692" s="591">
        <v>5683</v>
      </c>
      <c r="G5692" s="420">
        <f t="shared" ca="1" si="96"/>
        <v>-5.9691089192584007E-2</v>
      </c>
    </row>
    <row r="5693" spans="6:7" x14ac:dyDescent="0.2">
      <c r="F5693" s="591">
        <v>5684</v>
      </c>
      <c r="G5693" s="420">
        <f t="shared" ca="1" si="96"/>
        <v>0.10909520249211314</v>
      </c>
    </row>
    <row r="5694" spans="6:7" x14ac:dyDescent="0.2">
      <c r="F5694" s="591">
        <v>5685</v>
      </c>
      <c r="G5694" s="420">
        <f t="shared" ca="1" si="96"/>
        <v>0.12570655637846392</v>
      </c>
    </row>
    <row r="5695" spans="6:7" x14ac:dyDescent="0.2">
      <c r="F5695" s="591">
        <v>5686</v>
      </c>
      <c r="G5695" s="420">
        <f t="shared" ca="1" si="96"/>
        <v>4.655618211458501E-2</v>
      </c>
    </row>
    <row r="5696" spans="6:7" x14ac:dyDescent="0.2">
      <c r="F5696" s="591">
        <v>5687</v>
      </c>
      <c r="G5696" s="420">
        <f t="shared" ca="1" si="96"/>
        <v>-7.321488374336263E-2</v>
      </c>
    </row>
    <row r="5697" spans="6:7" x14ac:dyDescent="0.2">
      <c r="F5697" s="591">
        <v>5688</v>
      </c>
      <c r="G5697" s="420">
        <f t="shared" ca="1" si="96"/>
        <v>-5.2398928510904691E-2</v>
      </c>
    </row>
    <row r="5698" spans="6:7" x14ac:dyDescent="0.2">
      <c r="F5698" s="591">
        <v>5689</v>
      </c>
      <c r="G5698" s="420">
        <f t="shared" ca="1" si="96"/>
        <v>0.10212682006863584</v>
      </c>
    </row>
    <row r="5699" spans="6:7" x14ac:dyDescent="0.2">
      <c r="F5699" s="591">
        <v>5690</v>
      </c>
      <c r="G5699" s="420">
        <f t="shared" ca="1" si="96"/>
        <v>7.1938571531172515E-2</v>
      </c>
    </row>
    <row r="5700" spans="6:7" x14ac:dyDescent="0.2">
      <c r="F5700" s="591">
        <v>5691</v>
      </c>
      <c r="G5700" s="420">
        <f t="shared" ca="1" si="96"/>
        <v>-7.6828317434182253E-2</v>
      </c>
    </row>
    <row r="5701" spans="6:7" x14ac:dyDescent="0.2">
      <c r="F5701" s="591">
        <v>5692</v>
      </c>
      <c r="G5701" s="420">
        <f t="shared" ca="1" si="96"/>
        <v>5.4577776090436875E-2</v>
      </c>
    </row>
    <row r="5702" spans="6:7" x14ac:dyDescent="0.2">
      <c r="F5702" s="591">
        <v>5693</v>
      </c>
      <c r="G5702" s="420">
        <f t="shared" ca="1" si="96"/>
        <v>6.4863003356861765E-2</v>
      </c>
    </row>
    <row r="5703" spans="6:7" x14ac:dyDescent="0.2">
      <c r="F5703" s="591">
        <v>5694</v>
      </c>
      <c r="G5703" s="420">
        <f t="shared" ca="1" si="96"/>
        <v>-1.9008763312797005E-2</v>
      </c>
    </row>
    <row r="5704" spans="6:7" x14ac:dyDescent="0.2">
      <c r="F5704" s="591">
        <v>5695</v>
      </c>
      <c r="G5704" s="420">
        <f t="shared" ca="1" si="96"/>
        <v>-1.4676152227931831E-2</v>
      </c>
    </row>
    <row r="5705" spans="6:7" x14ac:dyDescent="0.2">
      <c r="F5705" s="591">
        <v>5696</v>
      </c>
      <c r="G5705" s="420">
        <f t="shared" ca="1" si="96"/>
        <v>-8.9580240820562942E-3</v>
      </c>
    </row>
    <row r="5706" spans="6:7" x14ac:dyDescent="0.2">
      <c r="F5706" s="591">
        <v>5697</v>
      </c>
      <c r="G5706" s="420">
        <f t="shared" ca="1" si="96"/>
        <v>6.937691977731357E-2</v>
      </c>
    </row>
    <row r="5707" spans="6:7" x14ac:dyDescent="0.2">
      <c r="F5707" s="591">
        <v>5698</v>
      </c>
      <c r="G5707" s="420">
        <f t="shared" ref="G5707:G5770" ca="1" si="97">_xlfn.NORM.INV(RAND(), $M$11,$M$12)</f>
        <v>-1.6799360121787846E-2</v>
      </c>
    </row>
    <row r="5708" spans="6:7" x14ac:dyDescent="0.2">
      <c r="F5708" s="591">
        <v>5699</v>
      </c>
      <c r="G5708" s="420">
        <f t="shared" ca="1" si="97"/>
        <v>-3.6666591363077927E-2</v>
      </c>
    </row>
    <row r="5709" spans="6:7" x14ac:dyDescent="0.2">
      <c r="F5709" s="591">
        <v>5700</v>
      </c>
      <c r="G5709" s="420">
        <f t="shared" ca="1" si="97"/>
        <v>0.16697449500194381</v>
      </c>
    </row>
    <row r="5710" spans="6:7" x14ac:dyDescent="0.2">
      <c r="F5710" s="591">
        <v>5701</v>
      </c>
      <c r="G5710" s="420">
        <f t="shared" ca="1" si="97"/>
        <v>4.2801632439232906E-2</v>
      </c>
    </row>
    <row r="5711" spans="6:7" x14ac:dyDescent="0.2">
      <c r="F5711" s="591">
        <v>5702</v>
      </c>
      <c r="G5711" s="420">
        <f t="shared" ca="1" si="97"/>
        <v>1.6173281877283192E-2</v>
      </c>
    </row>
    <row r="5712" spans="6:7" x14ac:dyDescent="0.2">
      <c r="F5712" s="591">
        <v>5703</v>
      </c>
      <c r="G5712" s="420">
        <f t="shared" ca="1" si="97"/>
        <v>0.16260677308049654</v>
      </c>
    </row>
    <row r="5713" spans="6:7" x14ac:dyDescent="0.2">
      <c r="F5713" s="591">
        <v>5704</v>
      </c>
      <c r="G5713" s="420">
        <f t="shared" ca="1" si="97"/>
        <v>3.3611587793651011E-2</v>
      </c>
    </row>
    <row r="5714" spans="6:7" x14ac:dyDescent="0.2">
      <c r="F5714" s="591">
        <v>5705</v>
      </c>
      <c r="G5714" s="420">
        <f t="shared" ca="1" si="97"/>
        <v>6.3807543875537762E-2</v>
      </c>
    </row>
    <row r="5715" spans="6:7" x14ac:dyDescent="0.2">
      <c r="F5715" s="591">
        <v>5706</v>
      </c>
      <c r="G5715" s="420">
        <f t="shared" ca="1" si="97"/>
        <v>-2.6744405429767071E-3</v>
      </c>
    </row>
    <row r="5716" spans="6:7" x14ac:dyDescent="0.2">
      <c r="F5716" s="591">
        <v>5707</v>
      </c>
      <c r="G5716" s="420">
        <f t="shared" ca="1" si="97"/>
        <v>-0.18638006916643263</v>
      </c>
    </row>
    <row r="5717" spans="6:7" x14ac:dyDescent="0.2">
      <c r="F5717" s="591">
        <v>5708</v>
      </c>
      <c r="G5717" s="420">
        <f t="shared" ca="1" si="97"/>
        <v>5.7064898732809566E-2</v>
      </c>
    </row>
    <row r="5718" spans="6:7" x14ac:dyDescent="0.2">
      <c r="F5718" s="591">
        <v>5709</v>
      </c>
      <c r="G5718" s="420">
        <f t="shared" ca="1" si="97"/>
        <v>-6.2525673635967241E-2</v>
      </c>
    </row>
    <row r="5719" spans="6:7" x14ac:dyDescent="0.2">
      <c r="F5719" s="591">
        <v>5710</v>
      </c>
      <c r="G5719" s="420">
        <f t="shared" ca="1" si="97"/>
        <v>0.13457696805070551</v>
      </c>
    </row>
    <row r="5720" spans="6:7" x14ac:dyDescent="0.2">
      <c r="F5720" s="591">
        <v>5711</v>
      </c>
      <c r="G5720" s="420">
        <f t="shared" ca="1" si="97"/>
        <v>-5.5417476297273657E-2</v>
      </c>
    </row>
    <row r="5721" spans="6:7" x14ac:dyDescent="0.2">
      <c r="F5721" s="591">
        <v>5712</v>
      </c>
      <c r="G5721" s="420">
        <f t="shared" ca="1" si="97"/>
        <v>-4.7302690687187829E-2</v>
      </c>
    </row>
    <row r="5722" spans="6:7" x14ac:dyDescent="0.2">
      <c r="F5722" s="591">
        <v>5713</v>
      </c>
      <c r="G5722" s="420">
        <f t="shared" ca="1" si="97"/>
        <v>1.6158210786170999E-2</v>
      </c>
    </row>
    <row r="5723" spans="6:7" x14ac:dyDescent="0.2">
      <c r="F5723" s="591">
        <v>5714</v>
      </c>
      <c r="G5723" s="420">
        <f t="shared" ca="1" si="97"/>
        <v>-8.9695246440289408E-3</v>
      </c>
    </row>
    <row r="5724" spans="6:7" x14ac:dyDescent="0.2">
      <c r="F5724" s="591">
        <v>5715</v>
      </c>
      <c r="G5724" s="420">
        <f t="shared" ca="1" si="97"/>
        <v>-6.9757243169137867E-2</v>
      </c>
    </row>
    <row r="5725" spans="6:7" x14ac:dyDescent="0.2">
      <c r="F5725" s="591">
        <v>5716</v>
      </c>
      <c r="G5725" s="420">
        <f t="shared" ca="1" si="97"/>
        <v>7.7521641520996221E-2</v>
      </c>
    </row>
    <row r="5726" spans="6:7" x14ac:dyDescent="0.2">
      <c r="F5726" s="591">
        <v>5717</v>
      </c>
      <c r="G5726" s="420">
        <f t="shared" ca="1" si="97"/>
        <v>2.062452887485209E-2</v>
      </c>
    </row>
    <row r="5727" spans="6:7" x14ac:dyDescent="0.2">
      <c r="F5727" s="591">
        <v>5718</v>
      </c>
      <c r="G5727" s="420">
        <f t="shared" ca="1" si="97"/>
        <v>-3.2125371527285937E-2</v>
      </c>
    </row>
    <row r="5728" spans="6:7" x14ac:dyDescent="0.2">
      <c r="F5728" s="591">
        <v>5719</v>
      </c>
      <c r="G5728" s="420">
        <f t="shared" ca="1" si="97"/>
        <v>-4.3849717935917853E-2</v>
      </c>
    </row>
    <row r="5729" spans="6:7" x14ac:dyDescent="0.2">
      <c r="F5729" s="591">
        <v>5720</v>
      </c>
      <c r="G5729" s="420">
        <f t="shared" ca="1" si="97"/>
        <v>-4.2906551620005826E-2</v>
      </c>
    </row>
    <row r="5730" spans="6:7" x14ac:dyDescent="0.2">
      <c r="F5730" s="591">
        <v>5721</v>
      </c>
      <c r="G5730" s="420">
        <f t="shared" ca="1" si="97"/>
        <v>4.7520664212567995E-2</v>
      </c>
    </row>
    <row r="5731" spans="6:7" x14ac:dyDescent="0.2">
      <c r="F5731" s="591">
        <v>5722</v>
      </c>
      <c r="G5731" s="420">
        <f t="shared" ca="1" si="97"/>
        <v>-1.4265067606491749E-3</v>
      </c>
    </row>
    <row r="5732" spans="6:7" x14ac:dyDescent="0.2">
      <c r="F5732" s="591">
        <v>5723</v>
      </c>
      <c r="G5732" s="420">
        <f t="shared" ca="1" si="97"/>
        <v>-8.3997352959111746E-2</v>
      </c>
    </row>
    <row r="5733" spans="6:7" x14ac:dyDescent="0.2">
      <c r="F5733" s="591">
        <v>5724</v>
      </c>
      <c r="G5733" s="420">
        <f t="shared" ca="1" si="97"/>
        <v>6.4857568042372749E-2</v>
      </c>
    </row>
    <row r="5734" spans="6:7" x14ac:dyDescent="0.2">
      <c r="F5734" s="591">
        <v>5725</v>
      </c>
      <c r="G5734" s="420">
        <f t="shared" ca="1" si="97"/>
        <v>2.4332759725583981E-2</v>
      </c>
    </row>
    <row r="5735" spans="6:7" x14ac:dyDescent="0.2">
      <c r="F5735" s="591">
        <v>5726</v>
      </c>
      <c r="G5735" s="420">
        <f t="shared" ca="1" si="97"/>
        <v>-8.0134450560622184E-2</v>
      </c>
    </row>
    <row r="5736" spans="6:7" x14ac:dyDescent="0.2">
      <c r="F5736" s="591">
        <v>5727</v>
      </c>
      <c r="G5736" s="420">
        <f t="shared" ca="1" si="97"/>
        <v>-0.14292894685888807</v>
      </c>
    </row>
    <row r="5737" spans="6:7" x14ac:dyDescent="0.2">
      <c r="F5737" s="591">
        <v>5728</v>
      </c>
      <c r="G5737" s="420">
        <f t="shared" ca="1" si="97"/>
        <v>-0.13121984617092267</v>
      </c>
    </row>
    <row r="5738" spans="6:7" x14ac:dyDescent="0.2">
      <c r="F5738" s="591">
        <v>5729</v>
      </c>
      <c r="G5738" s="420">
        <f t="shared" ca="1" si="97"/>
        <v>9.6202822866925483E-2</v>
      </c>
    </row>
    <row r="5739" spans="6:7" x14ac:dyDescent="0.2">
      <c r="F5739" s="591">
        <v>5730</v>
      </c>
      <c r="G5739" s="420">
        <f t="shared" ca="1" si="97"/>
        <v>-1.8017184611682349E-2</v>
      </c>
    </row>
    <row r="5740" spans="6:7" x14ac:dyDescent="0.2">
      <c r="F5740" s="591">
        <v>5731</v>
      </c>
      <c r="G5740" s="420">
        <f t="shared" ca="1" si="97"/>
        <v>6.9037841378817744E-2</v>
      </c>
    </row>
    <row r="5741" spans="6:7" x14ac:dyDescent="0.2">
      <c r="F5741" s="591">
        <v>5732</v>
      </c>
      <c r="G5741" s="420">
        <f t="shared" ca="1" si="97"/>
        <v>4.1402621741828211E-2</v>
      </c>
    </row>
    <row r="5742" spans="6:7" x14ac:dyDescent="0.2">
      <c r="F5742" s="591">
        <v>5733</v>
      </c>
      <c r="G5742" s="420">
        <f t="shared" ca="1" si="97"/>
        <v>-9.0139081350842545E-2</v>
      </c>
    </row>
    <row r="5743" spans="6:7" x14ac:dyDescent="0.2">
      <c r="F5743" s="591">
        <v>5734</v>
      </c>
      <c r="G5743" s="420">
        <f t="shared" ca="1" si="97"/>
        <v>-5.2473608278553144E-2</v>
      </c>
    </row>
    <row r="5744" spans="6:7" x14ac:dyDescent="0.2">
      <c r="F5744" s="591">
        <v>5735</v>
      </c>
      <c r="G5744" s="420">
        <f t="shared" ca="1" si="97"/>
        <v>5.8926296100564907E-2</v>
      </c>
    </row>
    <row r="5745" spans="6:7" x14ac:dyDescent="0.2">
      <c r="F5745" s="591">
        <v>5736</v>
      </c>
      <c r="G5745" s="420">
        <f t="shared" ca="1" si="97"/>
        <v>1.9430503344223131E-2</v>
      </c>
    </row>
    <row r="5746" spans="6:7" x14ac:dyDescent="0.2">
      <c r="F5746" s="591">
        <v>5737</v>
      </c>
      <c r="G5746" s="420">
        <f t="shared" ca="1" si="97"/>
        <v>1.7431593739096425E-2</v>
      </c>
    </row>
    <row r="5747" spans="6:7" x14ac:dyDescent="0.2">
      <c r="F5747" s="591">
        <v>5738</v>
      </c>
      <c r="G5747" s="420">
        <f t="shared" ca="1" si="97"/>
        <v>-0.14372531936768373</v>
      </c>
    </row>
    <row r="5748" spans="6:7" x14ac:dyDescent="0.2">
      <c r="F5748" s="591">
        <v>5739</v>
      </c>
      <c r="G5748" s="420">
        <f t="shared" ca="1" si="97"/>
        <v>1.8181350618548024E-2</v>
      </c>
    </row>
    <row r="5749" spans="6:7" x14ac:dyDescent="0.2">
      <c r="F5749" s="591">
        <v>5740</v>
      </c>
      <c r="G5749" s="420">
        <f t="shared" ca="1" si="97"/>
        <v>2.5837329699577319E-2</v>
      </c>
    </row>
    <row r="5750" spans="6:7" x14ac:dyDescent="0.2">
      <c r="F5750" s="591">
        <v>5741</v>
      </c>
      <c r="G5750" s="420">
        <f t="shared" ca="1" si="97"/>
        <v>0.14332765657231467</v>
      </c>
    </row>
    <row r="5751" spans="6:7" x14ac:dyDescent="0.2">
      <c r="F5751" s="591">
        <v>5742</v>
      </c>
      <c r="G5751" s="420">
        <f t="shared" ca="1" si="97"/>
        <v>3.2369881900396164E-2</v>
      </c>
    </row>
    <row r="5752" spans="6:7" x14ac:dyDescent="0.2">
      <c r="F5752" s="591">
        <v>5743</v>
      </c>
      <c r="G5752" s="420">
        <f t="shared" ca="1" si="97"/>
        <v>8.4619870694705557E-2</v>
      </c>
    </row>
    <row r="5753" spans="6:7" x14ac:dyDescent="0.2">
      <c r="F5753" s="591">
        <v>5744</v>
      </c>
      <c r="G5753" s="420">
        <f t="shared" ca="1" si="97"/>
        <v>9.9464433774972896E-2</v>
      </c>
    </row>
    <row r="5754" spans="6:7" x14ac:dyDescent="0.2">
      <c r="F5754" s="591">
        <v>5745</v>
      </c>
      <c r="G5754" s="420">
        <f t="shared" ca="1" si="97"/>
        <v>9.4149575231034677E-2</v>
      </c>
    </row>
    <row r="5755" spans="6:7" x14ac:dyDescent="0.2">
      <c r="F5755" s="591">
        <v>5746</v>
      </c>
      <c r="G5755" s="420">
        <f t="shared" ca="1" si="97"/>
        <v>6.1916151684458853E-2</v>
      </c>
    </row>
    <row r="5756" spans="6:7" x14ac:dyDescent="0.2">
      <c r="F5756" s="591">
        <v>5747</v>
      </c>
      <c r="G5756" s="420">
        <f t="shared" ca="1" si="97"/>
        <v>-0.13503797145647667</v>
      </c>
    </row>
    <row r="5757" spans="6:7" x14ac:dyDescent="0.2">
      <c r="F5757" s="591">
        <v>5748</v>
      </c>
      <c r="G5757" s="420">
        <f t="shared" ca="1" si="97"/>
        <v>-1.7437293667779154E-2</v>
      </c>
    </row>
    <row r="5758" spans="6:7" x14ac:dyDescent="0.2">
      <c r="F5758" s="591">
        <v>5749</v>
      </c>
      <c r="G5758" s="420">
        <f t="shared" ca="1" si="97"/>
        <v>4.3753193125030274E-2</v>
      </c>
    </row>
    <row r="5759" spans="6:7" x14ac:dyDescent="0.2">
      <c r="F5759" s="591">
        <v>5750</v>
      </c>
      <c r="G5759" s="420">
        <f t="shared" ca="1" si="97"/>
        <v>-5.2887012714266712E-2</v>
      </c>
    </row>
    <row r="5760" spans="6:7" x14ac:dyDescent="0.2">
      <c r="F5760" s="591">
        <v>5751</v>
      </c>
      <c r="G5760" s="420">
        <f t="shared" ca="1" si="97"/>
        <v>-9.1554452148970455E-2</v>
      </c>
    </row>
    <row r="5761" spans="6:7" x14ac:dyDescent="0.2">
      <c r="F5761" s="591">
        <v>5752</v>
      </c>
      <c r="G5761" s="420">
        <f t="shared" ca="1" si="97"/>
        <v>3.1006063493851231E-2</v>
      </c>
    </row>
    <row r="5762" spans="6:7" x14ac:dyDescent="0.2">
      <c r="F5762" s="591">
        <v>5753</v>
      </c>
      <c r="G5762" s="420">
        <f t="shared" ca="1" si="97"/>
        <v>5.3397586195952695E-2</v>
      </c>
    </row>
    <row r="5763" spans="6:7" x14ac:dyDescent="0.2">
      <c r="F5763" s="591">
        <v>5754</v>
      </c>
      <c r="G5763" s="420">
        <f t="shared" ca="1" si="97"/>
        <v>1.1345072863303761E-2</v>
      </c>
    </row>
    <row r="5764" spans="6:7" x14ac:dyDescent="0.2">
      <c r="F5764" s="591">
        <v>5755</v>
      </c>
      <c r="G5764" s="420">
        <f t="shared" ca="1" si="97"/>
        <v>-1.7873649593299588E-2</v>
      </c>
    </row>
    <row r="5765" spans="6:7" x14ac:dyDescent="0.2">
      <c r="F5765" s="591">
        <v>5756</v>
      </c>
      <c r="G5765" s="420">
        <f t="shared" ca="1" si="97"/>
        <v>7.043273521019118E-2</v>
      </c>
    </row>
    <row r="5766" spans="6:7" x14ac:dyDescent="0.2">
      <c r="F5766" s="591">
        <v>5757</v>
      </c>
      <c r="G5766" s="420">
        <f t="shared" ca="1" si="97"/>
        <v>4.7096622368698257E-2</v>
      </c>
    </row>
    <row r="5767" spans="6:7" x14ac:dyDescent="0.2">
      <c r="F5767" s="591">
        <v>5758</v>
      </c>
      <c r="G5767" s="420">
        <f t="shared" ca="1" si="97"/>
        <v>-0.16262743722314479</v>
      </c>
    </row>
    <row r="5768" spans="6:7" x14ac:dyDescent="0.2">
      <c r="F5768" s="591">
        <v>5759</v>
      </c>
      <c r="G5768" s="420">
        <f t="shared" ca="1" si="97"/>
        <v>-8.5787411912282924E-2</v>
      </c>
    </row>
    <row r="5769" spans="6:7" x14ac:dyDescent="0.2">
      <c r="F5769" s="591">
        <v>5760</v>
      </c>
      <c r="G5769" s="420">
        <f t="shared" ca="1" si="97"/>
        <v>-0.10446365667169799</v>
      </c>
    </row>
    <row r="5770" spans="6:7" x14ac:dyDescent="0.2">
      <c r="F5770" s="591">
        <v>5761</v>
      </c>
      <c r="G5770" s="420">
        <f t="shared" ca="1" si="97"/>
        <v>3.9239421842086251E-2</v>
      </c>
    </row>
    <row r="5771" spans="6:7" x14ac:dyDescent="0.2">
      <c r="F5771" s="591">
        <v>5762</v>
      </c>
      <c r="G5771" s="420">
        <f t="shared" ref="G5771:G5834" ca="1" si="98">_xlfn.NORM.INV(RAND(), $M$11,$M$12)</f>
        <v>-5.2775727951209925E-2</v>
      </c>
    </row>
    <row r="5772" spans="6:7" x14ac:dyDescent="0.2">
      <c r="F5772" s="591">
        <v>5763</v>
      </c>
      <c r="G5772" s="420">
        <f t="shared" ca="1" si="98"/>
        <v>-3.544498317325942E-2</v>
      </c>
    </row>
    <row r="5773" spans="6:7" x14ac:dyDescent="0.2">
      <c r="F5773" s="591">
        <v>5764</v>
      </c>
      <c r="G5773" s="420">
        <f t="shared" ca="1" si="98"/>
        <v>-5.2009898119326409E-2</v>
      </c>
    </row>
    <row r="5774" spans="6:7" x14ac:dyDescent="0.2">
      <c r="F5774" s="591">
        <v>5765</v>
      </c>
      <c r="G5774" s="420">
        <f t="shared" ca="1" si="98"/>
        <v>1.2876202031363556E-2</v>
      </c>
    </row>
    <row r="5775" spans="6:7" x14ac:dyDescent="0.2">
      <c r="F5775" s="591">
        <v>5766</v>
      </c>
      <c r="G5775" s="420">
        <f t="shared" ca="1" si="98"/>
        <v>-1.022744600275851E-2</v>
      </c>
    </row>
    <row r="5776" spans="6:7" x14ac:dyDescent="0.2">
      <c r="F5776" s="591">
        <v>5767</v>
      </c>
      <c r="G5776" s="420">
        <f t="shared" ca="1" si="98"/>
        <v>3.3621923143724156E-2</v>
      </c>
    </row>
    <row r="5777" spans="6:7" x14ac:dyDescent="0.2">
      <c r="F5777" s="591">
        <v>5768</v>
      </c>
      <c r="G5777" s="420">
        <f t="shared" ca="1" si="98"/>
        <v>-0.14986443045948927</v>
      </c>
    </row>
    <row r="5778" spans="6:7" x14ac:dyDescent="0.2">
      <c r="F5778" s="591">
        <v>5769</v>
      </c>
      <c r="G5778" s="420">
        <f t="shared" ca="1" si="98"/>
        <v>8.5952996529056139E-3</v>
      </c>
    </row>
    <row r="5779" spans="6:7" x14ac:dyDescent="0.2">
      <c r="F5779" s="591">
        <v>5770</v>
      </c>
      <c r="G5779" s="420">
        <f t="shared" ca="1" si="98"/>
        <v>-9.4788579836743103E-2</v>
      </c>
    </row>
    <row r="5780" spans="6:7" x14ac:dyDescent="0.2">
      <c r="F5780" s="591">
        <v>5771</v>
      </c>
      <c r="G5780" s="420">
        <f t="shared" ca="1" si="98"/>
        <v>5.5299587022109603E-2</v>
      </c>
    </row>
    <row r="5781" spans="6:7" x14ac:dyDescent="0.2">
      <c r="F5781" s="591">
        <v>5772</v>
      </c>
      <c r="G5781" s="420">
        <f t="shared" ca="1" si="98"/>
        <v>-1.7982233670038913E-2</v>
      </c>
    </row>
    <row r="5782" spans="6:7" x14ac:dyDescent="0.2">
      <c r="F5782" s="591">
        <v>5773</v>
      </c>
      <c r="G5782" s="420">
        <f t="shared" ca="1" si="98"/>
        <v>-0.11588719589202433</v>
      </c>
    </row>
    <row r="5783" spans="6:7" x14ac:dyDescent="0.2">
      <c r="F5783" s="591">
        <v>5774</v>
      </c>
      <c r="G5783" s="420">
        <f t="shared" ca="1" si="98"/>
        <v>6.3765615694851285E-3</v>
      </c>
    </row>
    <row r="5784" spans="6:7" x14ac:dyDescent="0.2">
      <c r="F5784" s="591">
        <v>5775</v>
      </c>
      <c r="G5784" s="420">
        <f t="shared" ca="1" si="98"/>
        <v>-2.7491946853218426E-2</v>
      </c>
    </row>
    <row r="5785" spans="6:7" x14ac:dyDescent="0.2">
      <c r="F5785" s="591">
        <v>5776</v>
      </c>
      <c r="G5785" s="420">
        <f t="shared" ca="1" si="98"/>
        <v>-3.1752136294868269E-2</v>
      </c>
    </row>
    <row r="5786" spans="6:7" x14ac:dyDescent="0.2">
      <c r="F5786" s="591">
        <v>5777</v>
      </c>
      <c r="G5786" s="420">
        <f t="shared" ca="1" si="98"/>
        <v>-5.1573977619345346E-2</v>
      </c>
    </row>
    <row r="5787" spans="6:7" x14ac:dyDescent="0.2">
      <c r="F5787" s="591">
        <v>5778</v>
      </c>
      <c r="G5787" s="420">
        <f t="shared" ca="1" si="98"/>
        <v>-1.7100235677935307E-2</v>
      </c>
    </row>
    <row r="5788" spans="6:7" x14ac:dyDescent="0.2">
      <c r="F5788" s="591">
        <v>5779</v>
      </c>
      <c r="G5788" s="420">
        <f t="shared" ca="1" si="98"/>
        <v>-0.11197134865552276</v>
      </c>
    </row>
    <row r="5789" spans="6:7" x14ac:dyDescent="0.2">
      <c r="F5789" s="591">
        <v>5780</v>
      </c>
      <c r="G5789" s="420">
        <f t="shared" ca="1" si="98"/>
        <v>0.14120334239520821</v>
      </c>
    </row>
    <row r="5790" spans="6:7" x14ac:dyDescent="0.2">
      <c r="F5790" s="591">
        <v>5781</v>
      </c>
      <c r="G5790" s="420">
        <f t="shared" ca="1" si="98"/>
        <v>2.1238890516572715E-2</v>
      </c>
    </row>
    <row r="5791" spans="6:7" x14ac:dyDescent="0.2">
      <c r="F5791" s="591">
        <v>5782</v>
      </c>
      <c r="G5791" s="420">
        <f t="shared" ca="1" si="98"/>
        <v>-6.3172870934213129E-2</v>
      </c>
    </row>
    <row r="5792" spans="6:7" x14ac:dyDescent="0.2">
      <c r="F5792" s="591">
        <v>5783</v>
      </c>
      <c r="G5792" s="420">
        <f t="shared" ca="1" si="98"/>
        <v>0.14136090925237493</v>
      </c>
    </row>
    <row r="5793" spans="6:7" x14ac:dyDescent="0.2">
      <c r="F5793" s="591">
        <v>5784</v>
      </c>
      <c r="G5793" s="420">
        <f t="shared" ca="1" si="98"/>
        <v>-3.6653664739526415E-2</v>
      </c>
    </row>
    <row r="5794" spans="6:7" x14ac:dyDescent="0.2">
      <c r="F5794" s="591">
        <v>5785</v>
      </c>
      <c r="G5794" s="420">
        <f t="shared" ca="1" si="98"/>
        <v>-3.4669136201297083E-3</v>
      </c>
    </row>
    <row r="5795" spans="6:7" x14ac:dyDescent="0.2">
      <c r="F5795" s="591">
        <v>5786</v>
      </c>
      <c r="G5795" s="420">
        <f t="shared" ca="1" si="98"/>
        <v>-1.519254203759849E-2</v>
      </c>
    </row>
    <row r="5796" spans="6:7" x14ac:dyDescent="0.2">
      <c r="F5796" s="591">
        <v>5787</v>
      </c>
      <c r="G5796" s="420">
        <f t="shared" ca="1" si="98"/>
        <v>0.10437611266551589</v>
      </c>
    </row>
    <row r="5797" spans="6:7" x14ac:dyDescent="0.2">
      <c r="F5797" s="591">
        <v>5788</v>
      </c>
      <c r="G5797" s="420">
        <f t="shared" ca="1" si="98"/>
        <v>6.9255715904796747E-2</v>
      </c>
    </row>
    <row r="5798" spans="6:7" x14ac:dyDescent="0.2">
      <c r="F5798" s="591">
        <v>5789</v>
      </c>
      <c r="G5798" s="420">
        <f t="shared" ca="1" si="98"/>
        <v>4.5966080257733605E-2</v>
      </c>
    </row>
    <row r="5799" spans="6:7" x14ac:dyDescent="0.2">
      <c r="F5799" s="591">
        <v>5790</v>
      </c>
      <c r="G5799" s="420">
        <f t="shared" ca="1" si="98"/>
        <v>-6.8920418468571679E-2</v>
      </c>
    </row>
    <row r="5800" spans="6:7" x14ac:dyDescent="0.2">
      <c r="F5800" s="591">
        <v>5791</v>
      </c>
      <c r="G5800" s="420">
        <f t="shared" ca="1" si="98"/>
        <v>0.10744842193284813</v>
      </c>
    </row>
    <row r="5801" spans="6:7" x14ac:dyDescent="0.2">
      <c r="F5801" s="591">
        <v>5792</v>
      </c>
      <c r="G5801" s="420">
        <f t="shared" ca="1" si="98"/>
        <v>-9.2332341130268558E-2</v>
      </c>
    </row>
    <row r="5802" spans="6:7" x14ac:dyDescent="0.2">
      <c r="F5802" s="591">
        <v>5793</v>
      </c>
      <c r="G5802" s="420">
        <f t="shared" ca="1" si="98"/>
        <v>-1.7565959757908752E-2</v>
      </c>
    </row>
    <row r="5803" spans="6:7" x14ac:dyDescent="0.2">
      <c r="F5803" s="591">
        <v>5794</v>
      </c>
      <c r="G5803" s="420">
        <f t="shared" ca="1" si="98"/>
        <v>-3.1310883897505595E-2</v>
      </c>
    </row>
    <row r="5804" spans="6:7" x14ac:dyDescent="0.2">
      <c r="F5804" s="591">
        <v>5795</v>
      </c>
      <c r="G5804" s="420">
        <f t="shared" ca="1" si="98"/>
        <v>6.2107989954315698E-2</v>
      </c>
    </row>
    <row r="5805" spans="6:7" x14ac:dyDescent="0.2">
      <c r="F5805" s="591">
        <v>5796</v>
      </c>
      <c r="G5805" s="420">
        <f t="shared" ca="1" si="98"/>
        <v>-0.16423610784764672</v>
      </c>
    </row>
    <row r="5806" spans="6:7" x14ac:dyDescent="0.2">
      <c r="F5806" s="591">
        <v>5797</v>
      </c>
      <c r="G5806" s="420">
        <f t="shared" ca="1" si="98"/>
        <v>3.3438033229214407E-3</v>
      </c>
    </row>
    <row r="5807" spans="6:7" x14ac:dyDescent="0.2">
      <c r="F5807" s="591">
        <v>5798</v>
      </c>
      <c r="G5807" s="420">
        <f t="shared" ca="1" si="98"/>
        <v>3.3898965338307954E-2</v>
      </c>
    </row>
    <row r="5808" spans="6:7" x14ac:dyDescent="0.2">
      <c r="F5808" s="591">
        <v>5799</v>
      </c>
      <c r="G5808" s="420">
        <f t="shared" ca="1" si="98"/>
        <v>-7.9578676014221798E-4</v>
      </c>
    </row>
    <row r="5809" spans="6:7" x14ac:dyDescent="0.2">
      <c r="F5809" s="591">
        <v>5800</v>
      </c>
      <c r="G5809" s="420">
        <f t="shared" ca="1" si="98"/>
        <v>2.1985339381530362E-2</v>
      </c>
    </row>
    <row r="5810" spans="6:7" x14ac:dyDescent="0.2">
      <c r="F5810" s="591">
        <v>5801</v>
      </c>
      <c r="G5810" s="420">
        <f t="shared" ca="1" si="98"/>
        <v>6.8720011776670836E-2</v>
      </c>
    </row>
    <row r="5811" spans="6:7" x14ac:dyDescent="0.2">
      <c r="F5811" s="591">
        <v>5802</v>
      </c>
      <c r="G5811" s="420">
        <f t="shared" ca="1" si="98"/>
        <v>6.5860116341814781E-2</v>
      </c>
    </row>
    <row r="5812" spans="6:7" x14ac:dyDescent="0.2">
      <c r="F5812" s="591">
        <v>5803</v>
      </c>
      <c r="G5812" s="420">
        <f t="shared" ca="1" si="98"/>
        <v>-7.7288607430800516E-2</v>
      </c>
    </row>
    <row r="5813" spans="6:7" x14ac:dyDescent="0.2">
      <c r="F5813" s="591">
        <v>5804</v>
      </c>
      <c r="G5813" s="420">
        <f t="shared" ca="1" si="98"/>
        <v>-2.6613444374408986E-2</v>
      </c>
    </row>
    <row r="5814" spans="6:7" x14ac:dyDescent="0.2">
      <c r="F5814" s="591">
        <v>5805</v>
      </c>
      <c r="G5814" s="420">
        <f t="shared" ca="1" si="98"/>
        <v>3.337530973975205E-2</v>
      </c>
    </row>
    <row r="5815" spans="6:7" x14ac:dyDescent="0.2">
      <c r="F5815" s="591">
        <v>5806</v>
      </c>
      <c r="G5815" s="420">
        <f t="shared" ca="1" si="98"/>
        <v>0.12872269871771455</v>
      </c>
    </row>
    <row r="5816" spans="6:7" x14ac:dyDescent="0.2">
      <c r="F5816" s="591">
        <v>5807</v>
      </c>
      <c r="G5816" s="420">
        <f t="shared" ca="1" si="98"/>
        <v>0.13957604815564589</v>
      </c>
    </row>
    <row r="5817" spans="6:7" x14ac:dyDescent="0.2">
      <c r="F5817" s="591">
        <v>5808</v>
      </c>
      <c r="G5817" s="420">
        <f t="shared" ca="1" si="98"/>
        <v>6.1829095843705675E-2</v>
      </c>
    </row>
    <row r="5818" spans="6:7" x14ac:dyDescent="0.2">
      <c r="F5818" s="591">
        <v>5809</v>
      </c>
      <c r="G5818" s="420">
        <f t="shared" ca="1" si="98"/>
        <v>7.7597855518142064E-2</v>
      </c>
    </row>
    <row r="5819" spans="6:7" x14ac:dyDescent="0.2">
      <c r="F5819" s="591">
        <v>5810</v>
      </c>
      <c r="G5819" s="420">
        <f t="shared" ca="1" si="98"/>
        <v>6.1985475484013203E-2</v>
      </c>
    </row>
    <row r="5820" spans="6:7" x14ac:dyDescent="0.2">
      <c r="F5820" s="591">
        <v>5811</v>
      </c>
      <c r="G5820" s="420">
        <f t="shared" ca="1" si="98"/>
        <v>0.14040966961699491</v>
      </c>
    </row>
    <row r="5821" spans="6:7" x14ac:dyDescent="0.2">
      <c r="F5821" s="591">
        <v>5812</v>
      </c>
      <c r="G5821" s="420">
        <f t="shared" ca="1" si="98"/>
        <v>-2.6517260090707474E-2</v>
      </c>
    </row>
    <row r="5822" spans="6:7" x14ac:dyDescent="0.2">
      <c r="F5822" s="591">
        <v>5813</v>
      </c>
      <c r="G5822" s="420">
        <f t="shared" ca="1" si="98"/>
        <v>5.7743546467834105E-3</v>
      </c>
    </row>
    <row r="5823" spans="6:7" x14ac:dyDescent="0.2">
      <c r="F5823" s="591">
        <v>5814</v>
      </c>
      <c r="G5823" s="420">
        <f t="shared" ca="1" si="98"/>
        <v>-1.6667808739055729E-2</v>
      </c>
    </row>
    <row r="5824" spans="6:7" x14ac:dyDescent="0.2">
      <c r="F5824" s="591">
        <v>5815</v>
      </c>
      <c r="G5824" s="420">
        <f t="shared" ca="1" si="98"/>
        <v>-0.12953123653356494</v>
      </c>
    </row>
    <row r="5825" spans="6:7" x14ac:dyDescent="0.2">
      <c r="F5825" s="591">
        <v>5816</v>
      </c>
      <c r="G5825" s="420">
        <f t="shared" ca="1" si="98"/>
        <v>-2.8858243165715485E-2</v>
      </c>
    </row>
    <row r="5826" spans="6:7" x14ac:dyDescent="0.2">
      <c r="F5826" s="591">
        <v>5817</v>
      </c>
      <c r="G5826" s="420">
        <f t="shared" ca="1" si="98"/>
        <v>1.5655656872158925E-2</v>
      </c>
    </row>
    <row r="5827" spans="6:7" x14ac:dyDescent="0.2">
      <c r="F5827" s="591">
        <v>5818</v>
      </c>
      <c r="G5827" s="420">
        <f t="shared" ca="1" si="98"/>
        <v>-8.7319084881757492E-2</v>
      </c>
    </row>
    <row r="5828" spans="6:7" x14ac:dyDescent="0.2">
      <c r="F5828" s="591">
        <v>5819</v>
      </c>
      <c r="G5828" s="420">
        <f t="shared" ca="1" si="98"/>
        <v>-5.1894617354401373E-2</v>
      </c>
    </row>
    <row r="5829" spans="6:7" x14ac:dyDescent="0.2">
      <c r="F5829" s="591">
        <v>5820</v>
      </c>
      <c r="G5829" s="420">
        <f t="shared" ca="1" si="98"/>
        <v>3.5576596212783779E-2</v>
      </c>
    </row>
    <row r="5830" spans="6:7" x14ac:dyDescent="0.2">
      <c r="F5830" s="591">
        <v>5821</v>
      </c>
      <c r="G5830" s="420">
        <f t="shared" ca="1" si="98"/>
        <v>-2.1825235008359489E-2</v>
      </c>
    </row>
    <row r="5831" spans="6:7" x14ac:dyDescent="0.2">
      <c r="F5831" s="591">
        <v>5822</v>
      </c>
      <c r="G5831" s="420">
        <f t="shared" ca="1" si="98"/>
        <v>8.0160336154893846E-2</v>
      </c>
    </row>
    <row r="5832" spans="6:7" x14ac:dyDescent="0.2">
      <c r="F5832" s="591">
        <v>5823</v>
      </c>
      <c r="G5832" s="420">
        <f t="shared" ca="1" si="98"/>
        <v>-7.2033720950745832E-3</v>
      </c>
    </row>
    <row r="5833" spans="6:7" x14ac:dyDescent="0.2">
      <c r="F5833" s="591">
        <v>5824</v>
      </c>
      <c r="G5833" s="420">
        <f t="shared" ca="1" si="98"/>
        <v>5.0142812936779871E-2</v>
      </c>
    </row>
    <row r="5834" spans="6:7" x14ac:dyDescent="0.2">
      <c r="F5834" s="591">
        <v>5825</v>
      </c>
      <c r="G5834" s="420">
        <f t="shared" ca="1" si="98"/>
        <v>5.5763022405253021E-2</v>
      </c>
    </row>
    <row r="5835" spans="6:7" x14ac:dyDescent="0.2">
      <c r="F5835" s="591">
        <v>5826</v>
      </c>
      <c r="G5835" s="420">
        <f t="shared" ref="G5835:G5898" ca="1" si="99">_xlfn.NORM.INV(RAND(), $M$11,$M$12)</f>
        <v>1.0735960525428564E-2</v>
      </c>
    </row>
    <row r="5836" spans="6:7" x14ac:dyDescent="0.2">
      <c r="F5836" s="591">
        <v>5827</v>
      </c>
      <c r="G5836" s="420">
        <f t="shared" ca="1" si="99"/>
        <v>-3.7687324903651707E-3</v>
      </c>
    </row>
    <row r="5837" spans="6:7" x14ac:dyDescent="0.2">
      <c r="F5837" s="591">
        <v>5828</v>
      </c>
      <c r="G5837" s="420">
        <f t="shared" ca="1" si="99"/>
        <v>-4.7656484452924183E-2</v>
      </c>
    </row>
    <row r="5838" spans="6:7" x14ac:dyDescent="0.2">
      <c r="F5838" s="591">
        <v>5829</v>
      </c>
      <c r="G5838" s="420">
        <f t="shared" ca="1" si="99"/>
        <v>-4.1847171302483499E-2</v>
      </c>
    </row>
    <row r="5839" spans="6:7" x14ac:dyDescent="0.2">
      <c r="F5839" s="591">
        <v>5830</v>
      </c>
      <c r="G5839" s="420">
        <f t="shared" ca="1" si="99"/>
        <v>0.12109686469364861</v>
      </c>
    </row>
    <row r="5840" spans="6:7" x14ac:dyDescent="0.2">
      <c r="F5840" s="591">
        <v>5831</v>
      </c>
      <c r="G5840" s="420">
        <f t="shared" ca="1" si="99"/>
        <v>4.1657257809552678E-4</v>
      </c>
    </row>
    <row r="5841" spans="6:7" x14ac:dyDescent="0.2">
      <c r="F5841" s="591">
        <v>5832</v>
      </c>
      <c r="G5841" s="420">
        <f t="shared" ca="1" si="99"/>
        <v>-3.0914872792028706E-2</v>
      </c>
    </row>
    <row r="5842" spans="6:7" x14ac:dyDescent="0.2">
      <c r="F5842" s="591">
        <v>5833</v>
      </c>
      <c r="G5842" s="420">
        <f t="shared" ca="1" si="99"/>
        <v>6.3419162678247862E-2</v>
      </c>
    </row>
    <row r="5843" spans="6:7" x14ac:dyDescent="0.2">
      <c r="F5843" s="591">
        <v>5834</v>
      </c>
      <c r="G5843" s="420">
        <f t="shared" ca="1" si="99"/>
        <v>4.8536913110374905E-2</v>
      </c>
    </row>
    <row r="5844" spans="6:7" x14ac:dyDescent="0.2">
      <c r="F5844" s="591">
        <v>5835</v>
      </c>
      <c r="G5844" s="420">
        <f t="shared" ca="1" si="99"/>
        <v>-7.0434399820006495E-3</v>
      </c>
    </row>
    <row r="5845" spans="6:7" x14ac:dyDescent="0.2">
      <c r="F5845" s="591">
        <v>5836</v>
      </c>
      <c r="G5845" s="420">
        <f t="shared" ca="1" si="99"/>
        <v>0.10948906243667769</v>
      </c>
    </row>
    <row r="5846" spans="6:7" x14ac:dyDescent="0.2">
      <c r="F5846" s="591">
        <v>5837</v>
      </c>
      <c r="G5846" s="420">
        <f t="shared" ca="1" si="99"/>
        <v>2.7224924553469445E-2</v>
      </c>
    </row>
    <row r="5847" spans="6:7" x14ac:dyDescent="0.2">
      <c r="F5847" s="591">
        <v>5838</v>
      </c>
      <c r="G5847" s="420">
        <f t="shared" ca="1" si="99"/>
        <v>-5.9374670021574441E-2</v>
      </c>
    </row>
    <row r="5848" spans="6:7" x14ac:dyDescent="0.2">
      <c r="F5848" s="591">
        <v>5839</v>
      </c>
      <c r="G5848" s="420">
        <f t="shared" ca="1" si="99"/>
        <v>7.9426769436545697E-2</v>
      </c>
    </row>
    <row r="5849" spans="6:7" x14ac:dyDescent="0.2">
      <c r="F5849" s="591">
        <v>5840</v>
      </c>
      <c r="G5849" s="420">
        <f t="shared" ca="1" si="99"/>
        <v>4.8627499395322276E-3</v>
      </c>
    </row>
    <row r="5850" spans="6:7" x14ac:dyDescent="0.2">
      <c r="F5850" s="591">
        <v>5841</v>
      </c>
      <c r="G5850" s="420">
        <f t="shared" ca="1" si="99"/>
        <v>-9.2536859838793548E-2</v>
      </c>
    </row>
    <row r="5851" spans="6:7" x14ac:dyDescent="0.2">
      <c r="F5851" s="591">
        <v>5842</v>
      </c>
      <c r="G5851" s="420">
        <f t="shared" ca="1" si="99"/>
        <v>2.8259921128236335E-3</v>
      </c>
    </row>
    <row r="5852" spans="6:7" x14ac:dyDescent="0.2">
      <c r="F5852" s="591">
        <v>5843</v>
      </c>
      <c r="G5852" s="420">
        <f t="shared" ca="1" si="99"/>
        <v>-5.3280736109202295E-2</v>
      </c>
    </row>
    <row r="5853" spans="6:7" x14ac:dyDescent="0.2">
      <c r="F5853" s="591">
        <v>5844</v>
      </c>
      <c r="G5853" s="420">
        <f t="shared" ca="1" si="99"/>
        <v>1.9319887185135665E-2</v>
      </c>
    </row>
    <row r="5854" spans="6:7" x14ac:dyDescent="0.2">
      <c r="F5854" s="591">
        <v>5845</v>
      </c>
      <c r="G5854" s="420">
        <f t="shared" ca="1" si="99"/>
        <v>-9.5212549219331997E-3</v>
      </c>
    </row>
    <row r="5855" spans="6:7" x14ac:dyDescent="0.2">
      <c r="F5855" s="591">
        <v>5846</v>
      </c>
      <c r="G5855" s="420">
        <f t="shared" ca="1" si="99"/>
        <v>-1.9709347090517124E-2</v>
      </c>
    </row>
    <row r="5856" spans="6:7" x14ac:dyDescent="0.2">
      <c r="F5856" s="591">
        <v>5847</v>
      </c>
      <c r="G5856" s="420">
        <f t="shared" ca="1" si="99"/>
        <v>1.5929360771849425E-2</v>
      </c>
    </row>
    <row r="5857" spans="6:7" x14ac:dyDescent="0.2">
      <c r="F5857" s="591">
        <v>5848</v>
      </c>
      <c r="G5857" s="420">
        <f t="shared" ca="1" si="99"/>
        <v>5.1504978507523447E-2</v>
      </c>
    </row>
    <row r="5858" spans="6:7" x14ac:dyDescent="0.2">
      <c r="F5858" s="591">
        <v>5849</v>
      </c>
      <c r="G5858" s="420">
        <f t="shared" ca="1" si="99"/>
        <v>5.9658429117115403E-3</v>
      </c>
    </row>
    <row r="5859" spans="6:7" x14ac:dyDescent="0.2">
      <c r="F5859" s="591">
        <v>5850</v>
      </c>
      <c r="G5859" s="420">
        <f t="shared" ca="1" si="99"/>
        <v>0.1401513589224071</v>
      </c>
    </row>
    <row r="5860" spans="6:7" x14ac:dyDescent="0.2">
      <c r="F5860" s="591">
        <v>5851</v>
      </c>
      <c r="G5860" s="420">
        <f t="shared" ca="1" si="99"/>
        <v>0.12307166312737905</v>
      </c>
    </row>
    <row r="5861" spans="6:7" x14ac:dyDescent="0.2">
      <c r="F5861" s="591">
        <v>5852</v>
      </c>
      <c r="G5861" s="420">
        <f t="shared" ca="1" si="99"/>
        <v>-2.8379609870106345E-2</v>
      </c>
    </row>
    <row r="5862" spans="6:7" x14ac:dyDescent="0.2">
      <c r="F5862" s="591">
        <v>5853</v>
      </c>
      <c r="G5862" s="420">
        <f t="shared" ca="1" si="99"/>
        <v>3.266030301014148E-2</v>
      </c>
    </row>
    <row r="5863" spans="6:7" x14ac:dyDescent="0.2">
      <c r="F5863" s="591">
        <v>5854</v>
      </c>
      <c r="G5863" s="420">
        <f t="shared" ca="1" si="99"/>
        <v>-2.2557870981622211E-2</v>
      </c>
    </row>
    <row r="5864" spans="6:7" x14ac:dyDescent="0.2">
      <c r="F5864" s="591">
        <v>5855</v>
      </c>
      <c r="G5864" s="420">
        <f t="shared" ca="1" si="99"/>
        <v>3.5636648145015722E-2</v>
      </c>
    </row>
    <row r="5865" spans="6:7" x14ac:dyDescent="0.2">
      <c r="F5865" s="591">
        <v>5856</v>
      </c>
      <c r="G5865" s="420">
        <f t="shared" ca="1" si="99"/>
        <v>4.5153569505386362E-2</v>
      </c>
    </row>
    <row r="5866" spans="6:7" x14ac:dyDescent="0.2">
      <c r="F5866" s="591">
        <v>5857</v>
      </c>
      <c r="G5866" s="420">
        <f t="shared" ca="1" si="99"/>
        <v>-0.1277788118635102</v>
      </c>
    </row>
    <row r="5867" spans="6:7" x14ac:dyDescent="0.2">
      <c r="F5867" s="591">
        <v>5858</v>
      </c>
      <c r="G5867" s="420">
        <f t="shared" ca="1" si="99"/>
        <v>3.4282428161581571E-2</v>
      </c>
    </row>
    <row r="5868" spans="6:7" x14ac:dyDescent="0.2">
      <c r="F5868" s="591">
        <v>5859</v>
      </c>
      <c r="G5868" s="420">
        <f t="shared" ca="1" si="99"/>
        <v>9.5462461309781477E-2</v>
      </c>
    </row>
    <row r="5869" spans="6:7" x14ac:dyDescent="0.2">
      <c r="F5869" s="591">
        <v>5860</v>
      </c>
      <c r="G5869" s="420">
        <f t="shared" ca="1" si="99"/>
        <v>4.0418334372804218E-2</v>
      </c>
    </row>
    <row r="5870" spans="6:7" x14ac:dyDescent="0.2">
      <c r="F5870" s="591">
        <v>5861</v>
      </c>
      <c r="G5870" s="420">
        <f t="shared" ca="1" si="99"/>
        <v>0.19696317106331032</v>
      </c>
    </row>
    <row r="5871" spans="6:7" x14ac:dyDescent="0.2">
      <c r="F5871" s="591">
        <v>5862</v>
      </c>
      <c r="G5871" s="420">
        <f t="shared" ca="1" si="99"/>
        <v>-1.1658097890467223E-2</v>
      </c>
    </row>
    <row r="5872" spans="6:7" x14ac:dyDescent="0.2">
      <c r="F5872" s="591">
        <v>5863</v>
      </c>
      <c r="G5872" s="420">
        <f t="shared" ca="1" si="99"/>
        <v>-1.5730715659944529E-2</v>
      </c>
    </row>
    <row r="5873" spans="6:7" x14ac:dyDescent="0.2">
      <c r="F5873" s="591">
        <v>5864</v>
      </c>
      <c r="G5873" s="420">
        <f t="shared" ca="1" si="99"/>
        <v>-4.6112766672986735E-2</v>
      </c>
    </row>
    <row r="5874" spans="6:7" x14ac:dyDescent="0.2">
      <c r="F5874" s="591">
        <v>5865</v>
      </c>
      <c r="G5874" s="420">
        <f t="shared" ca="1" si="99"/>
        <v>-2.774654310604056E-2</v>
      </c>
    </row>
    <row r="5875" spans="6:7" x14ac:dyDescent="0.2">
      <c r="F5875" s="591">
        <v>5866</v>
      </c>
      <c r="G5875" s="420">
        <f t="shared" ca="1" si="99"/>
        <v>8.4363381677205196E-2</v>
      </c>
    </row>
    <row r="5876" spans="6:7" x14ac:dyDescent="0.2">
      <c r="F5876" s="591">
        <v>5867</v>
      </c>
      <c r="G5876" s="420">
        <f t="shared" ca="1" si="99"/>
        <v>-4.7313518215454264E-2</v>
      </c>
    </row>
    <row r="5877" spans="6:7" x14ac:dyDescent="0.2">
      <c r="F5877" s="591">
        <v>5868</v>
      </c>
      <c r="G5877" s="420">
        <f t="shared" ca="1" si="99"/>
        <v>-1.7321808115433112E-2</v>
      </c>
    </row>
    <row r="5878" spans="6:7" x14ac:dyDescent="0.2">
      <c r="F5878" s="591">
        <v>5869</v>
      </c>
      <c r="G5878" s="420">
        <f t="shared" ca="1" si="99"/>
        <v>0.11721546392697928</v>
      </c>
    </row>
    <row r="5879" spans="6:7" x14ac:dyDescent="0.2">
      <c r="F5879" s="591">
        <v>5870</v>
      </c>
      <c r="G5879" s="420">
        <f t="shared" ca="1" si="99"/>
        <v>4.4627824010407116E-2</v>
      </c>
    </row>
    <row r="5880" spans="6:7" x14ac:dyDescent="0.2">
      <c r="F5880" s="591">
        <v>5871</v>
      </c>
      <c r="G5880" s="420">
        <f t="shared" ca="1" si="99"/>
        <v>0.13041161988134328</v>
      </c>
    </row>
    <row r="5881" spans="6:7" x14ac:dyDescent="0.2">
      <c r="F5881" s="591">
        <v>5872</v>
      </c>
      <c r="G5881" s="420">
        <f t="shared" ca="1" si="99"/>
        <v>-7.4072347444332609E-2</v>
      </c>
    </row>
    <row r="5882" spans="6:7" x14ac:dyDescent="0.2">
      <c r="F5882" s="591">
        <v>5873</v>
      </c>
      <c r="G5882" s="420">
        <f t="shared" ca="1" si="99"/>
        <v>1.2663350538039367E-2</v>
      </c>
    </row>
    <row r="5883" spans="6:7" x14ac:dyDescent="0.2">
      <c r="F5883" s="591">
        <v>5874</v>
      </c>
      <c r="G5883" s="420">
        <f t="shared" ca="1" si="99"/>
        <v>-2.612280133283466E-2</v>
      </c>
    </row>
    <row r="5884" spans="6:7" x14ac:dyDescent="0.2">
      <c r="F5884" s="591">
        <v>5875</v>
      </c>
      <c r="G5884" s="420">
        <f t="shared" ca="1" si="99"/>
        <v>-8.2895213777292753E-2</v>
      </c>
    </row>
    <row r="5885" spans="6:7" x14ac:dyDescent="0.2">
      <c r="F5885" s="591">
        <v>5876</v>
      </c>
      <c r="G5885" s="420">
        <f t="shared" ca="1" si="99"/>
        <v>-0.11555086461799131</v>
      </c>
    </row>
    <row r="5886" spans="6:7" x14ac:dyDescent="0.2">
      <c r="F5886" s="591">
        <v>5877</v>
      </c>
      <c r="G5886" s="420">
        <f t="shared" ca="1" si="99"/>
        <v>-5.8209287346121547E-2</v>
      </c>
    </row>
    <row r="5887" spans="6:7" x14ac:dyDescent="0.2">
      <c r="F5887" s="591">
        <v>5878</v>
      </c>
      <c r="G5887" s="420">
        <f t="shared" ca="1" si="99"/>
        <v>1.3500297920673057E-2</v>
      </c>
    </row>
    <row r="5888" spans="6:7" x14ac:dyDescent="0.2">
      <c r="F5888" s="591">
        <v>5879</v>
      </c>
      <c r="G5888" s="420">
        <f t="shared" ca="1" si="99"/>
        <v>-8.3654570590160335E-2</v>
      </c>
    </row>
    <row r="5889" spans="6:7" x14ac:dyDescent="0.2">
      <c r="F5889" s="591">
        <v>5880</v>
      </c>
      <c r="G5889" s="420">
        <f t="shared" ca="1" si="99"/>
        <v>-1.0673894519906958E-2</v>
      </c>
    </row>
    <row r="5890" spans="6:7" x14ac:dyDescent="0.2">
      <c r="F5890" s="591">
        <v>5881</v>
      </c>
      <c r="G5890" s="420">
        <f t="shared" ca="1" si="99"/>
        <v>-3.1967960183319571E-2</v>
      </c>
    </row>
    <row r="5891" spans="6:7" x14ac:dyDescent="0.2">
      <c r="F5891" s="591">
        <v>5882</v>
      </c>
      <c r="G5891" s="420">
        <f t="shared" ca="1" si="99"/>
        <v>-2.346979328908275E-2</v>
      </c>
    </row>
    <row r="5892" spans="6:7" x14ac:dyDescent="0.2">
      <c r="F5892" s="591">
        <v>5883</v>
      </c>
      <c r="G5892" s="420">
        <f t="shared" ca="1" si="99"/>
        <v>9.978200603679388E-2</v>
      </c>
    </row>
    <row r="5893" spans="6:7" x14ac:dyDescent="0.2">
      <c r="F5893" s="591">
        <v>5884</v>
      </c>
      <c r="G5893" s="420">
        <f t="shared" ca="1" si="99"/>
        <v>0.15089217646361588</v>
      </c>
    </row>
    <row r="5894" spans="6:7" x14ac:dyDescent="0.2">
      <c r="F5894" s="591">
        <v>5885</v>
      </c>
      <c r="G5894" s="420">
        <f t="shared" ca="1" si="99"/>
        <v>-0.14159881402629243</v>
      </c>
    </row>
    <row r="5895" spans="6:7" x14ac:dyDescent="0.2">
      <c r="F5895" s="591">
        <v>5886</v>
      </c>
      <c r="G5895" s="420">
        <f t="shared" ca="1" si="99"/>
        <v>3.7826057158921476E-2</v>
      </c>
    </row>
    <row r="5896" spans="6:7" x14ac:dyDescent="0.2">
      <c r="F5896" s="591">
        <v>5887</v>
      </c>
      <c r="G5896" s="420">
        <f t="shared" ca="1" si="99"/>
        <v>-4.702326815235712E-2</v>
      </c>
    </row>
    <row r="5897" spans="6:7" x14ac:dyDescent="0.2">
      <c r="F5897" s="591">
        <v>5888</v>
      </c>
      <c r="G5897" s="420">
        <f t="shared" ca="1" si="99"/>
        <v>0.12282015180788103</v>
      </c>
    </row>
    <row r="5898" spans="6:7" x14ac:dyDescent="0.2">
      <c r="F5898" s="591">
        <v>5889</v>
      </c>
      <c r="G5898" s="420">
        <f t="shared" ca="1" si="99"/>
        <v>3.2055710446497715E-2</v>
      </c>
    </row>
    <row r="5899" spans="6:7" x14ac:dyDescent="0.2">
      <c r="F5899" s="591">
        <v>5890</v>
      </c>
      <c r="G5899" s="420">
        <f t="shared" ref="G5899:G5962" ca="1" si="100">_xlfn.NORM.INV(RAND(), $M$11,$M$12)</f>
        <v>-2.3388891320943173E-2</v>
      </c>
    </row>
    <row r="5900" spans="6:7" x14ac:dyDescent="0.2">
      <c r="F5900" s="591">
        <v>5891</v>
      </c>
      <c r="G5900" s="420">
        <f t="shared" ca="1" si="100"/>
        <v>0.19013724447189465</v>
      </c>
    </row>
    <row r="5901" spans="6:7" x14ac:dyDescent="0.2">
      <c r="F5901" s="591">
        <v>5892</v>
      </c>
      <c r="G5901" s="420">
        <f t="shared" ca="1" si="100"/>
        <v>4.9912844707067541E-2</v>
      </c>
    </row>
    <row r="5902" spans="6:7" x14ac:dyDescent="0.2">
      <c r="F5902" s="591">
        <v>5893</v>
      </c>
      <c r="G5902" s="420">
        <f t="shared" ca="1" si="100"/>
        <v>-4.7609629205145942E-2</v>
      </c>
    </row>
    <row r="5903" spans="6:7" x14ac:dyDescent="0.2">
      <c r="F5903" s="591">
        <v>5894</v>
      </c>
      <c r="G5903" s="420">
        <f t="shared" ca="1" si="100"/>
        <v>-0.12283923395284692</v>
      </c>
    </row>
    <row r="5904" spans="6:7" x14ac:dyDescent="0.2">
      <c r="F5904" s="591">
        <v>5895</v>
      </c>
      <c r="G5904" s="420">
        <f t="shared" ca="1" si="100"/>
        <v>-9.1925753141735386E-2</v>
      </c>
    </row>
    <row r="5905" spans="6:7" x14ac:dyDescent="0.2">
      <c r="F5905" s="591">
        <v>5896</v>
      </c>
      <c r="G5905" s="420">
        <f t="shared" ca="1" si="100"/>
        <v>6.7241208732232591E-2</v>
      </c>
    </row>
    <row r="5906" spans="6:7" x14ac:dyDescent="0.2">
      <c r="F5906" s="591">
        <v>5897</v>
      </c>
      <c r="G5906" s="420">
        <f t="shared" ca="1" si="100"/>
        <v>7.2437593631533237E-2</v>
      </c>
    </row>
    <row r="5907" spans="6:7" x14ac:dyDescent="0.2">
      <c r="F5907" s="591">
        <v>5898</v>
      </c>
      <c r="G5907" s="420">
        <f t="shared" ca="1" si="100"/>
        <v>-0.19945650395993331</v>
      </c>
    </row>
    <row r="5908" spans="6:7" x14ac:dyDescent="0.2">
      <c r="F5908" s="591">
        <v>5899</v>
      </c>
      <c r="G5908" s="420">
        <f t="shared" ca="1" si="100"/>
        <v>8.1093994638133562E-2</v>
      </c>
    </row>
    <row r="5909" spans="6:7" x14ac:dyDescent="0.2">
      <c r="F5909" s="591">
        <v>5900</v>
      </c>
      <c r="G5909" s="420">
        <f t="shared" ca="1" si="100"/>
        <v>2.0946951076486163E-2</v>
      </c>
    </row>
    <row r="5910" spans="6:7" x14ac:dyDescent="0.2">
      <c r="F5910" s="591">
        <v>5901</v>
      </c>
      <c r="G5910" s="420">
        <f t="shared" ca="1" si="100"/>
        <v>5.3482187399086417E-2</v>
      </c>
    </row>
    <row r="5911" spans="6:7" x14ac:dyDescent="0.2">
      <c r="F5911" s="591">
        <v>5902</v>
      </c>
      <c r="G5911" s="420">
        <f t="shared" ca="1" si="100"/>
        <v>-4.673488416630682E-2</v>
      </c>
    </row>
    <row r="5912" spans="6:7" x14ac:dyDescent="0.2">
      <c r="F5912" s="591">
        <v>5903</v>
      </c>
      <c r="G5912" s="420">
        <f t="shared" ca="1" si="100"/>
        <v>-8.5579076528044945E-2</v>
      </c>
    </row>
    <row r="5913" spans="6:7" x14ac:dyDescent="0.2">
      <c r="F5913" s="591">
        <v>5904</v>
      </c>
      <c r="G5913" s="420">
        <f t="shared" ca="1" si="100"/>
        <v>1.3324124884585849E-2</v>
      </c>
    </row>
    <row r="5914" spans="6:7" x14ac:dyDescent="0.2">
      <c r="F5914" s="591">
        <v>5905</v>
      </c>
      <c r="G5914" s="420">
        <f t="shared" ca="1" si="100"/>
        <v>-8.005059552312354E-3</v>
      </c>
    </row>
    <row r="5915" spans="6:7" x14ac:dyDescent="0.2">
      <c r="F5915" s="591">
        <v>5906</v>
      </c>
      <c r="G5915" s="420">
        <f t="shared" ca="1" si="100"/>
        <v>8.4104549827782024E-2</v>
      </c>
    </row>
    <row r="5916" spans="6:7" x14ac:dyDescent="0.2">
      <c r="F5916" s="591">
        <v>5907</v>
      </c>
      <c r="G5916" s="420">
        <f t="shared" ca="1" si="100"/>
        <v>-6.1841685438180277E-2</v>
      </c>
    </row>
    <row r="5917" spans="6:7" x14ac:dyDescent="0.2">
      <c r="F5917" s="591">
        <v>5908</v>
      </c>
      <c r="G5917" s="420">
        <f t="shared" ca="1" si="100"/>
        <v>3.9947994854387929E-2</v>
      </c>
    </row>
    <row r="5918" spans="6:7" x14ac:dyDescent="0.2">
      <c r="F5918" s="591">
        <v>5909</v>
      </c>
      <c r="G5918" s="420">
        <f t="shared" ca="1" si="100"/>
        <v>1.730944012034432E-2</v>
      </c>
    </row>
    <row r="5919" spans="6:7" x14ac:dyDescent="0.2">
      <c r="F5919" s="591">
        <v>5910</v>
      </c>
      <c r="G5919" s="420">
        <f t="shared" ca="1" si="100"/>
        <v>6.8414098358395362E-2</v>
      </c>
    </row>
    <row r="5920" spans="6:7" x14ac:dyDescent="0.2">
      <c r="F5920" s="591">
        <v>5911</v>
      </c>
      <c r="G5920" s="420">
        <f t="shared" ca="1" si="100"/>
        <v>-0.1002032073618335</v>
      </c>
    </row>
    <row r="5921" spans="6:7" x14ac:dyDescent="0.2">
      <c r="F5921" s="591">
        <v>5912</v>
      </c>
      <c r="G5921" s="420">
        <f t="shared" ca="1" si="100"/>
        <v>-3.9085697794472865E-2</v>
      </c>
    </row>
    <row r="5922" spans="6:7" x14ac:dyDescent="0.2">
      <c r="F5922" s="591">
        <v>5913</v>
      </c>
      <c r="G5922" s="420">
        <f t="shared" ca="1" si="100"/>
        <v>7.7937548750505164E-3</v>
      </c>
    </row>
    <row r="5923" spans="6:7" x14ac:dyDescent="0.2">
      <c r="F5923" s="591">
        <v>5914</v>
      </c>
      <c r="G5923" s="420">
        <f t="shared" ca="1" si="100"/>
        <v>-1.8088022834708346E-2</v>
      </c>
    </row>
    <row r="5924" spans="6:7" x14ac:dyDescent="0.2">
      <c r="F5924" s="591">
        <v>5915</v>
      </c>
      <c r="G5924" s="420">
        <f t="shared" ca="1" si="100"/>
        <v>6.5374285401799362E-2</v>
      </c>
    </row>
    <row r="5925" spans="6:7" x14ac:dyDescent="0.2">
      <c r="F5925" s="591">
        <v>5916</v>
      </c>
      <c r="G5925" s="420">
        <f t="shared" ca="1" si="100"/>
        <v>-5.1398674119049595E-2</v>
      </c>
    </row>
    <row r="5926" spans="6:7" x14ac:dyDescent="0.2">
      <c r="F5926" s="591">
        <v>5917</v>
      </c>
      <c r="G5926" s="420">
        <f t="shared" ca="1" si="100"/>
        <v>-5.3148820896592938E-2</v>
      </c>
    </row>
    <row r="5927" spans="6:7" x14ac:dyDescent="0.2">
      <c r="F5927" s="591">
        <v>5918</v>
      </c>
      <c r="G5927" s="420">
        <f t="shared" ca="1" si="100"/>
        <v>-0.16095865955623911</v>
      </c>
    </row>
    <row r="5928" spans="6:7" x14ac:dyDescent="0.2">
      <c r="F5928" s="591">
        <v>5919</v>
      </c>
      <c r="G5928" s="420">
        <f t="shared" ca="1" si="100"/>
        <v>9.0606812934323266E-2</v>
      </c>
    </row>
    <row r="5929" spans="6:7" x14ac:dyDescent="0.2">
      <c r="F5929" s="591">
        <v>5920</v>
      </c>
      <c r="G5929" s="420">
        <f t="shared" ca="1" si="100"/>
        <v>6.0159440791453703E-2</v>
      </c>
    </row>
    <row r="5930" spans="6:7" x14ac:dyDescent="0.2">
      <c r="F5930" s="591">
        <v>5921</v>
      </c>
      <c r="G5930" s="420">
        <f t="shared" ca="1" si="100"/>
        <v>0.12517103484671455</v>
      </c>
    </row>
    <row r="5931" spans="6:7" x14ac:dyDescent="0.2">
      <c r="F5931" s="591">
        <v>5922</v>
      </c>
      <c r="G5931" s="420">
        <f t="shared" ca="1" si="100"/>
        <v>-7.3556636285072224E-2</v>
      </c>
    </row>
    <row r="5932" spans="6:7" x14ac:dyDescent="0.2">
      <c r="F5932" s="591">
        <v>5923</v>
      </c>
      <c r="G5932" s="420">
        <f t="shared" ca="1" si="100"/>
        <v>0.19722259383077578</v>
      </c>
    </row>
    <row r="5933" spans="6:7" x14ac:dyDescent="0.2">
      <c r="F5933" s="591">
        <v>5924</v>
      </c>
      <c r="G5933" s="420">
        <f t="shared" ca="1" si="100"/>
        <v>-4.4929659104338784E-2</v>
      </c>
    </row>
    <row r="5934" spans="6:7" x14ac:dyDescent="0.2">
      <c r="F5934" s="591">
        <v>5925</v>
      </c>
      <c r="G5934" s="420">
        <f t="shared" ca="1" si="100"/>
        <v>-2.1908959833896364E-2</v>
      </c>
    </row>
    <row r="5935" spans="6:7" x14ac:dyDescent="0.2">
      <c r="F5935" s="591">
        <v>5926</v>
      </c>
      <c r="G5935" s="420">
        <f t="shared" ca="1" si="100"/>
        <v>-6.3956868916799137E-2</v>
      </c>
    </row>
    <row r="5936" spans="6:7" x14ac:dyDescent="0.2">
      <c r="F5936" s="591">
        <v>5927</v>
      </c>
      <c r="G5936" s="420">
        <f t="shared" ca="1" si="100"/>
        <v>0.11014973888977961</v>
      </c>
    </row>
    <row r="5937" spans="6:7" x14ac:dyDescent="0.2">
      <c r="F5937" s="591">
        <v>5928</v>
      </c>
      <c r="G5937" s="420">
        <f t="shared" ca="1" si="100"/>
        <v>-6.2005004757291413E-2</v>
      </c>
    </row>
    <row r="5938" spans="6:7" x14ac:dyDescent="0.2">
      <c r="F5938" s="591">
        <v>5929</v>
      </c>
      <c r="G5938" s="420">
        <f t="shared" ca="1" si="100"/>
        <v>-3.6153103080260485E-2</v>
      </c>
    </row>
    <row r="5939" spans="6:7" x14ac:dyDescent="0.2">
      <c r="F5939" s="591">
        <v>5930</v>
      </c>
      <c r="G5939" s="420">
        <f t="shared" ca="1" si="100"/>
        <v>-2.1981302375699598E-3</v>
      </c>
    </row>
    <row r="5940" spans="6:7" x14ac:dyDescent="0.2">
      <c r="F5940" s="591">
        <v>5931</v>
      </c>
      <c r="G5940" s="420">
        <f t="shared" ca="1" si="100"/>
        <v>7.4743511466958623E-2</v>
      </c>
    </row>
    <row r="5941" spans="6:7" x14ac:dyDescent="0.2">
      <c r="F5941" s="591">
        <v>5932</v>
      </c>
      <c r="G5941" s="420">
        <f t="shared" ca="1" si="100"/>
        <v>-7.9718839730877233E-2</v>
      </c>
    </row>
    <row r="5942" spans="6:7" x14ac:dyDescent="0.2">
      <c r="F5942" s="591">
        <v>5933</v>
      </c>
      <c r="G5942" s="420">
        <f t="shared" ca="1" si="100"/>
        <v>0.11929203428313981</v>
      </c>
    </row>
    <row r="5943" spans="6:7" x14ac:dyDescent="0.2">
      <c r="F5943" s="591">
        <v>5934</v>
      </c>
      <c r="G5943" s="420">
        <f t="shared" ca="1" si="100"/>
        <v>8.6493680987037871E-2</v>
      </c>
    </row>
    <row r="5944" spans="6:7" x14ac:dyDescent="0.2">
      <c r="F5944" s="591">
        <v>5935</v>
      </c>
      <c r="G5944" s="420">
        <f t="shared" ca="1" si="100"/>
        <v>-8.8443650104487945E-3</v>
      </c>
    </row>
    <row r="5945" spans="6:7" x14ac:dyDescent="0.2">
      <c r="F5945" s="591">
        <v>5936</v>
      </c>
      <c r="G5945" s="420">
        <f t="shared" ca="1" si="100"/>
        <v>6.1187090764167326E-2</v>
      </c>
    </row>
    <row r="5946" spans="6:7" x14ac:dyDescent="0.2">
      <c r="F5946" s="591">
        <v>5937</v>
      </c>
      <c r="G5946" s="420">
        <f t="shared" ca="1" si="100"/>
        <v>-1.6395332685811784E-2</v>
      </c>
    </row>
    <row r="5947" spans="6:7" x14ac:dyDescent="0.2">
      <c r="F5947" s="591">
        <v>5938</v>
      </c>
      <c r="G5947" s="420">
        <f t="shared" ca="1" si="100"/>
        <v>7.9753776347814151E-2</v>
      </c>
    </row>
    <row r="5948" spans="6:7" x14ac:dyDescent="0.2">
      <c r="F5948" s="591">
        <v>5939</v>
      </c>
      <c r="G5948" s="420">
        <f t="shared" ca="1" si="100"/>
        <v>6.6120596335132661E-2</v>
      </c>
    </row>
    <row r="5949" spans="6:7" x14ac:dyDescent="0.2">
      <c r="F5949" s="591">
        <v>5940</v>
      </c>
      <c r="G5949" s="420">
        <f t="shared" ca="1" si="100"/>
        <v>-3.595468676225623E-2</v>
      </c>
    </row>
    <row r="5950" spans="6:7" x14ac:dyDescent="0.2">
      <c r="F5950" s="591">
        <v>5941</v>
      </c>
      <c r="G5950" s="420">
        <f t="shared" ca="1" si="100"/>
        <v>-3.4571320705248682E-2</v>
      </c>
    </row>
    <row r="5951" spans="6:7" x14ac:dyDescent="0.2">
      <c r="F5951" s="591">
        <v>5942</v>
      </c>
      <c r="G5951" s="420">
        <f t="shared" ca="1" si="100"/>
        <v>8.9123534779738584E-2</v>
      </c>
    </row>
    <row r="5952" spans="6:7" x14ac:dyDescent="0.2">
      <c r="F5952" s="591">
        <v>5943</v>
      </c>
      <c r="G5952" s="420">
        <f t="shared" ca="1" si="100"/>
        <v>-2.184360473309473E-2</v>
      </c>
    </row>
    <row r="5953" spans="6:7" x14ac:dyDescent="0.2">
      <c r="F5953" s="591">
        <v>5944</v>
      </c>
      <c r="G5953" s="420">
        <f t="shared" ca="1" si="100"/>
        <v>1.0328945604683731E-2</v>
      </c>
    </row>
    <row r="5954" spans="6:7" x14ac:dyDescent="0.2">
      <c r="F5954" s="591">
        <v>5945</v>
      </c>
      <c r="G5954" s="420">
        <f t="shared" ca="1" si="100"/>
        <v>5.1035133027731217E-2</v>
      </c>
    </row>
    <row r="5955" spans="6:7" x14ac:dyDescent="0.2">
      <c r="F5955" s="591">
        <v>5946</v>
      </c>
      <c r="G5955" s="420">
        <f t="shared" ca="1" si="100"/>
        <v>9.8779300259767513E-2</v>
      </c>
    </row>
    <row r="5956" spans="6:7" x14ac:dyDescent="0.2">
      <c r="F5956" s="591">
        <v>5947</v>
      </c>
      <c r="G5956" s="420">
        <f t="shared" ca="1" si="100"/>
        <v>0.19725285255060523</v>
      </c>
    </row>
    <row r="5957" spans="6:7" x14ac:dyDescent="0.2">
      <c r="F5957" s="591">
        <v>5948</v>
      </c>
      <c r="G5957" s="420">
        <f t="shared" ca="1" si="100"/>
        <v>8.0290405377234211E-2</v>
      </c>
    </row>
    <row r="5958" spans="6:7" x14ac:dyDescent="0.2">
      <c r="F5958" s="591">
        <v>5949</v>
      </c>
      <c r="G5958" s="420">
        <f t="shared" ca="1" si="100"/>
        <v>-4.3212807081683013E-2</v>
      </c>
    </row>
    <row r="5959" spans="6:7" x14ac:dyDescent="0.2">
      <c r="F5959" s="591">
        <v>5950</v>
      </c>
      <c r="G5959" s="420">
        <f t="shared" ca="1" si="100"/>
        <v>-0.1111214222884892</v>
      </c>
    </row>
    <row r="5960" spans="6:7" x14ac:dyDescent="0.2">
      <c r="F5960" s="591">
        <v>5951</v>
      </c>
      <c r="G5960" s="420">
        <f t="shared" ca="1" si="100"/>
        <v>1.9633217755939004E-3</v>
      </c>
    </row>
    <row r="5961" spans="6:7" x14ac:dyDescent="0.2">
      <c r="F5961" s="591">
        <v>5952</v>
      </c>
      <c r="G5961" s="420">
        <f t="shared" ca="1" si="100"/>
        <v>0.10189139836478439</v>
      </c>
    </row>
    <row r="5962" spans="6:7" x14ac:dyDescent="0.2">
      <c r="F5962" s="591">
        <v>5953</v>
      </c>
      <c r="G5962" s="420">
        <f t="shared" ca="1" si="100"/>
        <v>-1.8193234995817983E-2</v>
      </c>
    </row>
    <row r="5963" spans="6:7" x14ac:dyDescent="0.2">
      <c r="F5963" s="591">
        <v>5954</v>
      </c>
      <c r="G5963" s="420">
        <f t="shared" ref="G5963:G6026" ca="1" si="101">_xlfn.NORM.INV(RAND(), $M$11,$M$12)</f>
        <v>-0.10604783462624069</v>
      </c>
    </row>
    <row r="5964" spans="6:7" x14ac:dyDescent="0.2">
      <c r="F5964" s="591">
        <v>5955</v>
      </c>
      <c r="G5964" s="420">
        <f t="shared" ca="1" si="101"/>
        <v>-8.9489335785988444E-2</v>
      </c>
    </row>
    <row r="5965" spans="6:7" x14ac:dyDescent="0.2">
      <c r="F5965" s="591">
        <v>5956</v>
      </c>
      <c r="G5965" s="420">
        <f t="shared" ca="1" si="101"/>
        <v>4.2296930195929736E-3</v>
      </c>
    </row>
    <row r="5966" spans="6:7" x14ac:dyDescent="0.2">
      <c r="F5966" s="591">
        <v>5957</v>
      </c>
      <c r="G5966" s="420">
        <f t="shared" ca="1" si="101"/>
        <v>0.10381923874981075</v>
      </c>
    </row>
    <row r="5967" spans="6:7" x14ac:dyDescent="0.2">
      <c r="F5967" s="591">
        <v>5958</v>
      </c>
      <c r="G5967" s="420">
        <f t="shared" ca="1" si="101"/>
        <v>1.7991670633884335E-2</v>
      </c>
    </row>
    <row r="5968" spans="6:7" x14ac:dyDescent="0.2">
      <c r="F5968" s="591">
        <v>5959</v>
      </c>
      <c r="G5968" s="420">
        <f t="shared" ca="1" si="101"/>
        <v>3.2667659808098493E-2</v>
      </c>
    </row>
    <row r="5969" spans="6:7" x14ac:dyDescent="0.2">
      <c r="F5969" s="591">
        <v>5960</v>
      </c>
      <c r="G5969" s="420">
        <f t="shared" ca="1" si="101"/>
        <v>-4.8388137064954193E-2</v>
      </c>
    </row>
    <row r="5970" spans="6:7" x14ac:dyDescent="0.2">
      <c r="F5970" s="591">
        <v>5961</v>
      </c>
      <c r="G5970" s="420">
        <f t="shared" ca="1" si="101"/>
        <v>-5.5445253840715733E-2</v>
      </c>
    </row>
    <row r="5971" spans="6:7" x14ac:dyDescent="0.2">
      <c r="F5971" s="591">
        <v>5962</v>
      </c>
      <c r="G5971" s="420">
        <f t="shared" ca="1" si="101"/>
        <v>3.7919847098287343E-2</v>
      </c>
    </row>
    <row r="5972" spans="6:7" x14ac:dyDescent="0.2">
      <c r="F5972" s="591">
        <v>5963</v>
      </c>
      <c r="G5972" s="420">
        <f t="shared" ca="1" si="101"/>
        <v>-3.0974648536240188E-2</v>
      </c>
    </row>
    <row r="5973" spans="6:7" x14ac:dyDescent="0.2">
      <c r="F5973" s="591">
        <v>5964</v>
      </c>
      <c r="G5973" s="420">
        <f t="shared" ca="1" si="101"/>
        <v>0.12076333397470432</v>
      </c>
    </row>
    <row r="5974" spans="6:7" x14ac:dyDescent="0.2">
      <c r="F5974" s="591">
        <v>5965</v>
      </c>
      <c r="G5974" s="420">
        <f t="shared" ca="1" si="101"/>
        <v>-2.7001718115451066E-4</v>
      </c>
    </row>
    <row r="5975" spans="6:7" x14ac:dyDescent="0.2">
      <c r="F5975" s="591">
        <v>5966</v>
      </c>
      <c r="G5975" s="420">
        <f t="shared" ca="1" si="101"/>
        <v>6.9670465252412633E-2</v>
      </c>
    </row>
    <row r="5976" spans="6:7" x14ac:dyDescent="0.2">
      <c r="F5976" s="591">
        <v>5967</v>
      </c>
      <c r="G5976" s="420">
        <f t="shared" ca="1" si="101"/>
        <v>7.2198843579698066E-2</v>
      </c>
    </row>
    <row r="5977" spans="6:7" x14ac:dyDescent="0.2">
      <c r="F5977" s="591">
        <v>5968</v>
      </c>
      <c r="G5977" s="420">
        <f t="shared" ca="1" si="101"/>
        <v>-4.0876798608649068E-2</v>
      </c>
    </row>
    <row r="5978" spans="6:7" x14ac:dyDescent="0.2">
      <c r="F5978" s="591">
        <v>5969</v>
      </c>
      <c r="G5978" s="420">
        <f t="shared" ca="1" si="101"/>
        <v>-6.4542296230638188E-2</v>
      </c>
    </row>
    <row r="5979" spans="6:7" x14ac:dyDescent="0.2">
      <c r="F5979" s="591">
        <v>5970</v>
      </c>
      <c r="G5979" s="420">
        <f t="shared" ca="1" si="101"/>
        <v>2.0242381140805132E-2</v>
      </c>
    </row>
    <row r="5980" spans="6:7" x14ac:dyDescent="0.2">
      <c r="F5980" s="591">
        <v>5971</v>
      </c>
      <c r="G5980" s="420">
        <f t="shared" ca="1" si="101"/>
        <v>-9.4125841502808658E-3</v>
      </c>
    </row>
    <row r="5981" spans="6:7" x14ac:dyDescent="0.2">
      <c r="F5981" s="591">
        <v>5972</v>
      </c>
      <c r="G5981" s="420">
        <f t="shared" ca="1" si="101"/>
        <v>1.208522034830356E-2</v>
      </c>
    </row>
    <row r="5982" spans="6:7" x14ac:dyDescent="0.2">
      <c r="F5982" s="591">
        <v>5973</v>
      </c>
      <c r="G5982" s="420">
        <f t="shared" ca="1" si="101"/>
        <v>4.1109631063868585E-2</v>
      </c>
    </row>
    <row r="5983" spans="6:7" x14ac:dyDescent="0.2">
      <c r="F5983" s="591">
        <v>5974</v>
      </c>
      <c r="G5983" s="420">
        <f t="shared" ca="1" si="101"/>
        <v>9.5594482012470977E-2</v>
      </c>
    </row>
    <row r="5984" spans="6:7" x14ac:dyDescent="0.2">
      <c r="F5984" s="591">
        <v>5975</v>
      </c>
      <c r="G5984" s="420">
        <f t="shared" ca="1" si="101"/>
        <v>0.13817492673137791</v>
      </c>
    </row>
    <row r="5985" spans="6:7" x14ac:dyDescent="0.2">
      <c r="F5985" s="591">
        <v>5976</v>
      </c>
      <c r="G5985" s="420">
        <f t="shared" ca="1" si="101"/>
        <v>5.5060847022671597E-2</v>
      </c>
    </row>
    <row r="5986" spans="6:7" x14ac:dyDescent="0.2">
      <c r="F5986" s="591">
        <v>5977</v>
      </c>
      <c r="G5986" s="420">
        <f t="shared" ca="1" si="101"/>
        <v>-1.9561436808700532E-2</v>
      </c>
    </row>
    <row r="5987" spans="6:7" x14ac:dyDescent="0.2">
      <c r="F5987" s="591">
        <v>5978</v>
      </c>
      <c r="G5987" s="420">
        <f t="shared" ca="1" si="101"/>
        <v>0.10010376974402592</v>
      </c>
    </row>
    <row r="5988" spans="6:7" x14ac:dyDescent="0.2">
      <c r="F5988" s="591">
        <v>5979</v>
      </c>
      <c r="G5988" s="420">
        <f t="shared" ca="1" si="101"/>
        <v>0.17931457315847585</v>
      </c>
    </row>
    <row r="5989" spans="6:7" x14ac:dyDescent="0.2">
      <c r="F5989" s="591">
        <v>5980</v>
      </c>
      <c r="G5989" s="420">
        <f t="shared" ca="1" si="101"/>
        <v>0.14170853341259526</v>
      </c>
    </row>
    <row r="5990" spans="6:7" x14ac:dyDescent="0.2">
      <c r="F5990" s="591">
        <v>5981</v>
      </c>
      <c r="G5990" s="420">
        <f t="shared" ca="1" si="101"/>
        <v>9.0912995242691929E-3</v>
      </c>
    </row>
    <row r="5991" spans="6:7" x14ac:dyDescent="0.2">
      <c r="F5991" s="591">
        <v>5982</v>
      </c>
      <c r="G5991" s="420">
        <f t="shared" ca="1" si="101"/>
        <v>2.2630553284122851E-3</v>
      </c>
    </row>
    <row r="5992" spans="6:7" x14ac:dyDescent="0.2">
      <c r="F5992" s="591">
        <v>5983</v>
      </c>
      <c r="G5992" s="420">
        <f t="shared" ca="1" si="101"/>
        <v>2.631713373053219E-2</v>
      </c>
    </row>
    <row r="5993" spans="6:7" x14ac:dyDescent="0.2">
      <c r="F5993" s="591">
        <v>5984</v>
      </c>
      <c r="G5993" s="420">
        <f t="shared" ca="1" si="101"/>
        <v>8.1012640055327968E-3</v>
      </c>
    </row>
    <row r="5994" spans="6:7" x14ac:dyDescent="0.2">
      <c r="F5994" s="591">
        <v>5985</v>
      </c>
      <c r="G5994" s="420">
        <f t="shared" ca="1" si="101"/>
        <v>5.6170790475944712E-2</v>
      </c>
    </row>
    <row r="5995" spans="6:7" x14ac:dyDescent="0.2">
      <c r="F5995" s="591">
        <v>5986</v>
      </c>
      <c r="G5995" s="420">
        <f t="shared" ca="1" si="101"/>
        <v>9.7937595541114614E-2</v>
      </c>
    </row>
    <row r="5996" spans="6:7" x14ac:dyDescent="0.2">
      <c r="F5996" s="591">
        <v>5987</v>
      </c>
      <c r="G5996" s="420">
        <f t="shared" ca="1" si="101"/>
        <v>2.0986096793763433E-2</v>
      </c>
    </row>
    <row r="5997" spans="6:7" x14ac:dyDescent="0.2">
      <c r="F5997" s="591">
        <v>5988</v>
      </c>
      <c r="G5997" s="420">
        <f t="shared" ca="1" si="101"/>
        <v>1.677474367463622E-2</v>
      </c>
    </row>
    <row r="5998" spans="6:7" x14ac:dyDescent="0.2">
      <c r="F5998" s="591">
        <v>5989</v>
      </c>
      <c r="G5998" s="420">
        <f t="shared" ca="1" si="101"/>
        <v>-3.1329696549082506E-2</v>
      </c>
    </row>
    <row r="5999" spans="6:7" x14ac:dyDescent="0.2">
      <c r="F5999" s="591">
        <v>5990</v>
      </c>
      <c r="G5999" s="420">
        <f t="shared" ca="1" si="101"/>
        <v>-4.8316703291446904E-3</v>
      </c>
    </row>
    <row r="6000" spans="6:7" x14ac:dyDescent="0.2">
      <c r="F6000" s="591">
        <v>5991</v>
      </c>
      <c r="G6000" s="420">
        <f t="shared" ca="1" si="101"/>
        <v>4.9610449850108651E-2</v>
      </c>
    </row>
    <row r="6001" spans="6:7" x14ac:dyDescent="0.2">
      <c r="F6001" s="591">
        <v>5992</v>
      </c>
      <c r="G6001" s="420">
        <f t="shared" ca="1" si="101"/>
        <v>-1.0947354660813945E-2</v>
      </c>
    </row>
    <row r="6002" spans="6:7" x14ac:dyDescent="0.2">
      <c r="F6002" s="591">
        <v>5993</v>
      </c>
      <c r="G6002" s="420">
        <f t="shared" ca="1" si="101"/>
        <v>-2.8467200897994521E-2</v>
      </c>
    </row>
    <row r="6003" spans="6:7" x14ac:dyDescent="0.2">
      <c r="F6003" s="591">
        <v>5994</v>
      </c>
      <c r="G6003" s="420">
        <f t="shared" ca="1" si="101"/>
        <v>8.4948736354189661E-2</v>
      </c>
    </row>
    <row r="6004" spans="6:7" x14ac:dyDescent="0.2">
      <c r="F6004" s="591">
        <v>5995</v>
      </c>
      <c r="G6004" s="420">
        <f t="shared" ca="1" si="101"/>
        <v>7.6626134806494243E-3</v>
      </c>
    </row>
    <row r="6005" spans="6:7" x14ac:dyDescent="0.2">
      <c r="F6005" s="591">
        <v>5996</v>
      </c>
      <c r="G6005" s="420">
        <f t="shared" ca="1" si="101"/>
        <v>-1.093214547372532E-2</v>
      </c>
    </row>
    <row r="6006" spans="6:7" x14ac:dyDescent="0.2">
      <c r="F6006" s="591">
        <v>5997</v>
      </c>
      <c r="G6006" s="420">
        <f t="shared" ca="1" si="101"/>
        <v>-3.7840455795915953E-2</v>
      </c>
    </row>
    <row r="6007" spans="6:7" x14ac:dyDescent="0.2">
      <c r="F6007" s="591">
        <v>5998</v>
      </c>
      <c r="G6007" s="420">
        <f t="shared" ca="1" si="101"/>
        <v>7.7636888724175622E-3</v>
      </c>
    </row>
    <row r="6008" spans="6:7" x14ac:dyDescent="0.2">
      <c r="F6008" s="591">
        <v>5999</v>
      </c>
      <c r="G6008" s="420">
        <f t="shared" ca="1" si="101"/>
        <v>8.0868089314344471E-2</v>
      </c>
    </row>
    <row r="6009" spans="6:7" x14ac:dyDescent="0.2">
      <c r="F6009" s="591">
        <v>6000</v>
      </c>
      <c r="G6009" s="420">
        <f t="shared" ca="1" si="101"/>
        <v>0.13618100437207178</v>
      </c>
    </row>
    <row r="6010" spans="6:7" x14ac:dyDescent="0.2">
      <c r="F6010" s="591">
        <v>6001</v>
      </c>
      <c r="G6010" s="420">
        <f t="shared" ca="1" si="101"/>
        <v>-1.6110553763116611E-2</v>
      </c>
    </row>
    <row r="6011" spans="6:7" x14ac:dyDescent="0.2">
      <c r="F6011" s="591">
        <v>6002</v>
      </c>
      <c r="G6011" s="420">
        <f t="shared" ca="1" si="101"/>
        <v>-2.523773315928526E-2</v>
      </c>
    </row>
    <row r="6012" spans="6:7" x14ac:dyDescent="0.2">
      <c r="F6012" s="591">
        <v>6003</v>
      </c>
      <c r="G6012" s="420">
        <f t="shared" ca="1" si="101"/>
        <v>-9.1478601306258622E-2</v>
      </c>
    </row>
    <row r="6013" spans="6:7" x14ac:dyDescent="0.2">
      <c r="F6013" s="591">
        <v>6004</v>
      </c>
      <c r="G6013" s="420">
        <f t="shared" ca="1" si="101"/>
        <v>-2.0304739191748977E-2</v>
      </c>
    </row>
    <row r="6014" spans="6:7" x14ac:dyDescent="0.2">
      <c r="F6014" s="591">
        <v>6005</v>
      </c>
      <c r="G6014" s="420">
        <f t="shared" ca="1" si="101"/>
        <v>8.746082243149722E-2</v>
      </c>
    </row>
    <row r="6015" spans="6:7" x14ac:dyDescent="0.2">
      <c r="F6015" s="591">
        <v>6006</v>
      </c>
      <c r="G6015" s="420">
        <f t="shared" ca="1" si="101"/>
        <v>-8.1989152730366152E-3</v>
      </c>
    </row>
    <row r="6016" spans="6:7" x14ac:dyDescent="0.2">
      <c r="F6016" s="591">
        <v>6007</v>
      </c>
      <c r="G6016" s="420">
        <f t="shared" ca="1" si="101"/>
        <v>4.4033290242930442E-2</v>
      </c>
    </row>
    <row r="6017" spans="6:7" x14ac:dyDescent="0.2">
      <c r="F6017" s="591">
        <v>6008</v>
      </c>
      <c r="G6017" s="420">
        <f t="shared" ca="1" si="101"/>
        <v>-9.6263363616576419E-2</v>
      </c>
    </row>
    <row r="6018" spans="6:7" x14ac:dyDescent="0.2">
      <c r="F6018" s="591">
        <v>6009</v>
      </c>
      <c r="G6018" s="420">
        <f t="shared" ca="1" si="101"/>
        <v>0.11947448399733382</v>
      </c>
    </row>
    <row r="6019" spans="6:7" x14ac:dyDescent="0.2">
      <c r="F6019" s="591">
        <v>6010</v>
      </c>
      <c r="G6019" s="420">
        <f t="shared" ca="1" si="101"/>
        <v>-1.1508105521520973E-2</v>
      </c>
    </row>
    <row r="6020" spans="6:7" x14ac:dyDescent="0.2">
      <c r="F6020" s="591">
        <v>6011</v>
      </c>
      <c r="G6020" s="420">
        <f t="shared" ca="1" si="101"/>
        <v>-3.0395650123724503E-2</v>
      </c>
    </row>
    <row r="6021" spans="6:7" x14ac:dyDescent="0.2">
      <c r="F6021" s="591">
        <v>6012</v>
      </c>
      <c r="G6021" s="420">
        <f t="shared" ca="1" si="101"/>
        <v>-3.8144745210538011E-2</v>
      </c>
    </row>
    <row r="6022" spans="6:7" x14ac:dyDescent="0.2">
      <c r="F6022" s="591">
        <v>6013</v>
      </c>
      <c r="G6022" s="420">
        <f t="shared" ca="1" si="101"/>
        <v>2.8368885864804728E-2</v>
      </c>
    </row>
    <row r="6023" spans="6:7" x14ac:dyDescent="0.2">
      <c r="F6023" s="591">
        <v>6014</v>
      </c>
      <c r="G6023" s="420">
        <f t="shared" ca="1" si="101"/>
        <v>-1.1018627505122738E-2</v>
      </c>
    </row>
    <row r="6024" spans="6:7" x14ac:dyDescent="0.2">
      <c r="F6024" s="591">
        <v>6015</v>
      </c>
      <c r="G6024" s="420">
        <f t="shared" ca="1" si="101"/>
        <v>2.3208903448356889E-2</v>
      </c>
    </row>
    <row r="6025" spans="6:7" x14ac:dyDescent="0.2">
      <c r="F6025" s="591">
        <v>6016</v>
      </c>
      <c r="G6025" s="420">
        <f t="shared" ca="1" si="101"/>
        <v>8.9681224311322513E-2</v>
      </c>
    </row>
    <row r="6026" spans="6:7" x14ac:dyDescent="0.2">
      <c r="F6026" s="591">
        <v>6017</v>
      </c>
      <c r="G6026" s="420">
        <f t="shared" ca="1" si="101"/>
        <v>-7.2542629570423484E-2</v>
      </c>
    </row>
    <row r="6027" spans="6:7" x14ac:dyDescent="0.2">
      <c r="F6027" s="591">
        <v>6018</v>
      </c>
      <c r="G6027" s="420">
        <f t="shared" ref="G6027:G6090" ca="1" si="102">_xlfn.NORM.INV(RAND(), $M$11,$M$12)</f>
        <v>0.13427919933175622</v>
      </c>
    </row>
    <row r="6028" spans="6:7" x14ac:dyDescent="0.2">
      <c r="F6028" s="591">
        <v>6019</v>
      </c>
      <c r="G6028" s="420">
        <f t="shared" ca="1" si="102"/>
        <v>3.9458417743510971E-2</v>
      </c>
    </row>
    <row r="6029" spans="6:7" x14ac:dyDescent="0.2">
      <c r="F6029" s="591">
        <v>6020</v>
      </c>
      <c r="G6029" s="420">
        <f t="shared" ca="1" si="102"/>
        <v>3.3781848328869907E-2</v>
      </c>
    </row>
    <row r="6030" spans="6:7" x14ac:dyDescent="0.2">
      <c r="F6030" s="591">
        <v>6021</v>
      </c>
      <c r="G6030" s="420">
        <f t="shared" ca="1" si="102"/>
        <v>1.5301341444523036E-2</v>
      </c>
    </row>
    <row r="6031" spans="6:7" x14ac:dyDescent="0.2">
      <c r="F6031" s="591">
        <v>6022</v>
      </c>
      <c r="G6031" s="420">
        <f t="shared" ca="1" si="102"/>
        <v>6.2416988765780406E-3</v>
      </c>
    </row>
    <row r="6032" spans="6:7" x14ac:dyDescent="0.2">
      <c r="F6032" s="591">
        <v>6023</v>
      </c>
      <c r="G6032" s="420">
        <f t="shared" ca="1" si="102"/>
        <v>4.7609745943589563E-2</v>
      </c>
    </row>
    <row r="6033" spans="6:7" x14ac:dyDescent="0.2">
      <c r="F6033" s="591">
        <v>6024</v>
      </c>
      <c r="G6033" s="420">
        <f t="shared" ca="1" si="102"/>
        <v>6.203547250157454E-4</v>
      </c>
    </row>
    <row r="6034" spans="6:7" x14ac:dyDescent="0.2">
      <c r="F6034" s="591">
        <v>6025</v>
      </c>
      <c r="G6034" s="420">
        <f t="shared" ca="1" si="102"/>
        <v>0.10044823192840123</v>
      </c>
    </row>
    <row r="6035" spans="6:7" x14ac:dyDescent="0.2">
      <c r="F6035" s="591">
        <v>6026</v>
      </c>
      <c r="G6035" s="420">
        <f t="shared" ca="1" si="102"/>
        <v>-6.8002843307177194E-2</v>
      </c>
    </row>
    <row r="6036" spans="6:7" x14ac:dyDescent="0.2">
      <c r="F6036" s="591">
        <v>6027</v>
      </c>
      <c r="G6036" s="420">
        <f t="shared" ca="1" si="102"/>
        <v>0.15438944538181601</v>
      </c>
    </row>
    <row r="6037" spans="6:7" x14ac:dyDescent="0.2">
      <c r="F6037" s="591">
        <v>6028</v>
      </c>
      <c r="G6037" s="420">
        <f t="shared" ca="1" si="102"/>
        <v>8.210846605536444E-2</v>
      </c>
    </row>
    <row r="6038" spans="6:7" x14ac:dyDescent="0.2">
      <c r="F6038" s="591">
        <v>6029</v>
      </c>
      <c r="G6038" s="420">
        <f t="shared" ca="1" si="102"/>
        <v>-9.7440970178010178E-3</v>
      </c>
    </row>
    <row r="6039" spans="6:7" x14ac:dyDescent="0.2">
      <c r="F6039" s="591">
        <v>6030</v>
      </c>
      <c r="G6039" s="420">
        <f t="shared" ca="1" si="102"/>
        <v>6.6301150472447778E-2</v>
      </c>
    </row>
    <row r="6040" spans="6:7" x14ac:dyDescent="0.2">
      <c r="F6040" s="591">
        <v>6031</v>
      </c>
      <c r="G6040" s="420">
        <f t="shared" ca="1" si="102"/>
        <v>2.8057125508466167E-2</v>
      </c>
    </row>
    <row r="6041" spans="6:7" x14ac:dyDescent="0.2">
      <c r="F6041" s="591">
        <v>6032</v>
      </c>
      <c r="G6041" s="420">
        <f t="shared" ca="1" si="102"/>
        <v>8.2646957555495351E-2</v>
      </c>
    </row>
    <row r="6042" spans="6:7" x14ac:dyDescent="0.2">
      <c r="F6042" s="591">
        <v>6033</v>
      </c>
      <c r="G6042" s="420">
        <f t="shared" ca="1" si="102"/>
        <v>1.6388256923169149E-2</v>
      </c>
    </row>
    <row r="6043" spans="6:7" x14ac:dyDescent="0.2">
      <c r="F6043" s="591">
        <v>6034</v>
      </c>
      <c r="G6043" s="420">
        <f t="shared" ca="1" si="102"/>
        <v>4.8887601282281964E-2</v>
      </c>
    </row>
    <row r="6044" spans="6:7" x14ac:dyDescent="0.2">
      <c r="F6044" s="591">
        <v>6035</v>
      </c>
      <c r="G6044" s="420">
        <f t="shared" ca="1" si="102"/>
        <v>-7.6051654191267498E-2</v>
      </c>
    </row>
    <row r="6045" spans="6:7" x14ac:dyDescent="0.2">
      <c r="F6045" s="591">
        <v>6036</v>
      </c>
      <c r="G6045" s="420">
        <f t="shared" ca="1" si="102"/>
        <v>-2.4802145665481796E-3</v>
      </c>
    </row>
    <row r="6046" spans="6:7" x14ac:dyDescent="0.2">
      <c r="F6046" s="591">
        <v>6037</v>
      </c>
      <c r="G6046" s="420">
        <f t="shared" ca="1" si="102"/>
        <v>-1.8351461984261307E-3</v>
      </c>
    </row>
    <row r="6047" spans="6:7" x14ac:dyDescent="0.2">
      <c r="F6047" s="591">
        <v>6038</v>
      </c>
      <c r="G6047" s="420">
        <f t="shared" ca="1" si="102"/>
        <v>-1.739187722151337E-2</v>
      </c>
    </row>
    <row r="6048" spans="6:7" x14ac:dyDescent="0.2">
      <c r="F6048" s="591">
        <v>6039</v>
      </c>
      <c r="G6048" s="420">
        <f t="shared" ca="1" si="102"/>
        <v>7.211710823714057E-2</v>
      </c>
    </row>
    <row r="6049" spans="6:7" x14ac:dyDescent="0.2">
      <c r="F6049" s="591">
        <v>6040</v>
      </c>
      <c r="G6049" s="420">
        <f t="shared" ca="1" si="102"/>
        <v>0.14403198155721886</v>
      </c>
    </row>
    <row r="6050" spans="6:7" x14ac:dyDescent="0.2">
      <c r="F6050" s="591">
        <v>6041</v>
      </c>
      <c r="G6050" s="420">
        <f t="shared" ca="1" si="102"/>
        <v>-1.7583252511035822E-3</v>
      </c>
    </row>
    <row r="6051" spans="6:7" x14ac:dyDescent="0.2">
      <c r="F6051" s="591">
        <v>6042</v>
      </c>
      <c r="G6051" s="420">
        <f t="shared" ca="1" si="102"/>
        <v>3.0965010775713016E-2</v>
      </c>
    </row>
    <row r="6052" spans="6:7" x14ac:dyDescent="0.2">
      <c r="F6052" s="591">
        <v>6043</v>
      </c>
      <c r="G6052" s="420">
        <f t="shared" ca="1" si="102"/>
        <v>4.0313411808672477E-2</v>
      </c>
    </row>
    <row r="6053" spans="6:7" x14ac:dyDescent="0.2">
      <c r="F6053" s="591">
        <v>6044</v>
      </c>
      <c r="G6053" s="420">
        <f t="shared" ca="1" si="102"/>
        <v>-3.6945073424415661E-3</v>
      </c>
    </row>
    <row r="6054" spans="6:7" x14ac:dyDescent="0.2">
      <c r="F6054" s="591">
        <v>6045</v>
      </c>
      <c r="G6054" s="420">
        <f t="shared" ca="1" si="102"/>
        <v>2.7691318245045022E-3</v>
      </c>
    </row>
    <row r="6055" spans="6:7" x14ac:dyDescent="0.2">
      <c r="F6055" s="591">
        <v>6046</v>
      </c>
      <c r="G6055" s="420">
        <f t="shared" ca="1" si="102"/>
        <v>5.3994232710646628E-2</v>
      </c>
    </row>
    <row r="6056" spans="6:7" x14ac:dyDescent="0.2">
      <c r="F6056" s="591">
        <v>6047</v>
      </c>
      <c r="G6056" s="420">
        <f t="shared" ca="1" si="102"/>
        <v>-3.3089248593781879E-4</v>
      </c>
    </row>
    <row r="6057" spans="6:7" x14ac:dyDescent="0.2">
      <c r="F6057" s="591">
        <v>6048</v>
      </c>
      <c r="G6057" s="420">
        <f t="shared" ca="1" si="102"/>
        <v>-8.4127428819205069E-2</v>
      </c>
    </row>
    <row r="6058" spans="6:7" x14ac:dyDescent="0.2">
      <c r="F6058" s="591">
        <v>6049</v>
      </c>
      <c r="G6058" s="420">
        <f t="shared" ca="1" si="102"/>
        <v>1.0710781609174469E-2</v>
      </c>
    </row>
    <row r="6059" spans="6:7" x14ac:dyDescent="0.2">
      <c r="F6059" s="591">
        <v>6050</v>
      </c>
      <c r="G6059" s="420">
        <f t="shared" ca="1" si="102"/>
        <v>8.3679387785703774E-2</v>
      </c>
    </row>
    <row r="6060" spans="6:7" x14ac:dyDescent="0.2">
      <c r="F6060" s="591">
        <v>6051</v>
      </c>
      <c r="G6060" s="420">
        <f t="shared" ca="1" si="102"/>
        <v>3.862488436159673E-2</v>
      </c>
    </row>
    <row r="6061" spans="6:7" x14ac:dyDescent="0.2">
      <c r="F6061" s="591">
        <v>6052</v>
      </c>
      <c r="G6061" s="420">
        <f t="shared" ca="1" si="102"/>
        <v>0.24159505308621859</v>
      </c>
    </row>
    <row r="6062" spans="6:7" x14ac:dyDescent="0.2">
      <c r="F6062" s="591">
        <v>6053</v>
      </c>
      <c r="G6062" s="420">
        <f t="shared" ca="1" si="102"/>
        <v>8.1789633408743831E-2</v>
      </c>
    </row>
    <row r="6063" spans="6:7" x14ac:dyDescent="0.2">
      <c r="F6063" s="591">
        <v>6054</v>
      </c>
      <c r="G6063" s="420">
        <f t="shared" ca="1" si="102"/>
        <v>0.10056343126799286</v>
      </c>
    </row>
    <row r="6064" spans="6:7" x14ac:dyDescent="0.2">
      <c r="F6064" s="591">
        <v>6055</v>
      </c>
      <c r="G6064" s="420">
        <f t="shared" ca="1" si="102"/>
        <v>-5.1158161071307925E-3</v>
      </c>
    </row>
    <row r="6065" spans="6:7" x14ac:dyDescent="0.2">
      <c r="F6065" s="591">
        <v>6056</v>
      </c>
      <c r="G6065" s="420">
        <f t="shared" ca="1" si="102"/>
        <v>-4.6988465511552835E-2</v>
      </c>
    </row>
    <row r="6066" spans="6:7" x14ac:dyDescent="0.2">
      <c r="F6066" s="591">
        <v>6057</v>
      </c>
      <c r="G6066" s="420">
        <f t="shared" ca="1" si="102"/>
        <v>-6.0010077456415754E-3</v>
      </c>
    </row>
    <row r="6067" spans="6:7" x14ac:dyDescent="0.2">
      <c r="F6067" s="591">
        <v>6058</v>
      </c>
      <c r="G6067" s="420">
        <f t="shared" ca="1" si="102"/>
        <v>9.0062302280650743E-3</v>
      </c>
    </row>
    <row r="6068" spans="6:7" x14ac:dyDescent="0.2">
      <c r="F6068" s="591">
        <v>6059</v>
      </c>
      <c r="G6068" s="420">
        <f t="shared" ca="1" si="102"/>
        <v>0.10894234766806879</v>
      </c>
    </row>
    <row r="6069" spans="6:7" x14ac:dyDescent="0.2">
      <c r="F6069" s="591">
        <v>6060</v>
      </c>
      <c r="G6069" s="420">
        <f t="shared" ca="1" si="102"/>
        <v>3.2239848897650525E-2</v>
      </c>
    </row>
    <row r="6070" spans="6:7" x14ac:dyDescent="0.2">
      <c r="F6070" s="591">
        <v>6061</v>
      </c>
      <c r="G6070" s="420">
        <f t="shared" ca="1" si="102"/>
        <v>9.3874557615194806E-3</v>
      </c>
    </row>
    <row r="6071" spans="6:7" x14ac:dyDescent="0.2">
      <c r="F6071" s="591">
        <v>6062</v>
      </c>
      <c r="G6071" s="420">
        <f t="shared" ca="1" si="102"/>
        <v>0.15341848742771605</v>
      </c>
    </row>
    <row r="6072" spans="6:7" x14ac:dyDescent="0.2">
      <c r="F6072" s="591">
        <v>6063</v>
      </c>
      <c r="G6072" s="420">
        <f t="shared" ca="1" si="102"/>
        <v>-1.1052179995144275E-2</v>
      </c>
    </row>
    <row r="6073" spans="6:7" x14ac:dyDescent="0.2">
      <c r="F6073" s="591">
        <v>6064</v>
      </c>
      <c r="G6073" s="420">
        <f t="shared" ca="1" si="102"/>
        <v>-2.8918650551091701E-2</v>
      </c>
    </row>
    <row r="6074" spans="6:7" x14ac:dyDescent="0.2">
      <c r="F6074" s="591">
        <v>6065</v>
      </c>
      <c r="G6074" s="420">
        <f t="shared" ca="1" si="102"/>
        <v>0.12025977509429761</v>
      </c>
    </row>
    <row r="6075" spans="6:7" x14ac:dyDescent="0.2">
      <c r="F6075" s="591">
        <v>6066</v>
      </c>
      <c r="G6075" s="420">
        <f t="shared" ca="1" si="102"/>
        <v>1.8402266953014293E-2</v>
      </c>
    </row>
    <row r="6076" spans="6:7" x14ac:dyDescent="0.2">
      <c r="F6076" s="591">
        <v>6067</v>
      </c>
      <c r="G6076" s="420">
        <f t="shared" ca="1" si="102"/>
        <v>2.8564641386430754E-2</v>
      </c>
    </row>
    <row r="6077" spans="6:7" x14ac:dyDescent="0.2">
      <c r="F6077" s="591">
        <v>6068</v>
      </c>
      <c r="G6077" s="420">
        <f t="shared" ca="1" si="102"/>
        <v>-2.2314505921987072E-2</v>
      </c>
    </row>
    <row r="6078" spans="6:7" x14ac:dyDescent="0.2">
      <c r="F6078" s="591">
        <v>6069</v>
      </c>
      <c r="G6078" s="420">
        <f t="shared" ca="1" si="102"/>
        <v>-1.7132180294516398E-3</v>
      </c>
    </row>
    <row r="6079" spans="6:7" x14ac:dyDescent="0.2">
      <c r="F6079" s="591">
        <v>6070</v>
      </c>
      <c r="G6079" s="420">
        <f t="shared" ca="1" si="102"/>
        <v>-1.3864446353655975E-2</v>
      </c>
    </row>
    <row r="6080" spans="6:7" x14ac:dyDescent="0.2">
      <c r="F6080" s="591">
        <v>6071</v>
      </c>
      <c r="G6080" s="420">
        <f t="shared" ca="1" si="102"/>
        <v>-3.3544013533096051E-2</v>
      </c>
    </row>
    <row r="6081" spans="6:7" x14ac:dyDescent="0.2">
      <c r="F6081" s="591">
        <v>6072</v>
      </c>
      <c r="G6081" s="420">
        <f t="shared" ca="1" si="102"/>
        <v>-8.5063744685939829E-2</v>
      </c>
    </row>
    <row r="6082" spans="6:7" x14ac:dyDescent="0.2">
      <c r="F6082" s="591">
        <v>6073</v>
      </c>
      <c r="G6082" s="420">
        <f t="shared" ca="1" si="102"/>
        <v>-5.2871468194292254E-3</v>
      </c>
    </row>
    <row r="6083" spans="6:7" x14ac:dyDescent="0.2">
      <c r="F6083" s="591">
        <v>6074</v>
      </c>
      <c r="G6083" s="420">
        <f t="shared" ca="1" si="102"/>
        <v>4.710785667495497E-2</v>
      </c>
    </row>
    <row r="6084" spans="6:7" x14ac:dyDescent="0.2">
      <c r="F6084" s="591">
        <v>6075</v>
      </c>
      <c r="G6084" s="420">
        <f t="shared" ca="1" si="102"/>
        <v>9.5628045301142175E-2</v>
      </c>
    </row>
    <row r="6085" spans="6:7" x14ac:dyDescent="0.2">
      <c r="F6085" s="591">
        <v>6076</v>
      </c>
      <c r="G6085" s="420">
        <f t="shared" ca="1" si="102"/>
        <v>-2.7107553512713909E-3</v>
      </c>
    </row>
    <row r="6086" spans="6:7" x14ac:dyDescent="0.2">
      <c r="F6086" s="591">
        <v>6077</v>
      </c>
      <c r="G6086" s="420">
        <f t="shared" ca="1" si="102"/>
        <v>2.9956478563185101E-2</v>
      </c>
    </row>
    <row r="6087" spans="6:7" x14ac:dyDescent="0.2">
      <c r="F6087" s="591">
        <v>6078</v>
      </c>
      <c r="G6087" s="420">
        <f t="shared" ca="1" si="102"/>
        <v>-5.1901424469710772E-2</v>
      </c>
    </row>
    <row r="6088" spans="6:7" x14ac:dyDescent="0.2">
      <c r="F6088" s="591">
        <v>6079</v>
      </c>
      <c r="G6088" s="420">
        <f t="shared" ca="1" si="102"/>
        <v>-3.0047303455867726E-2</v>
      </c>
    </row>
    <row r="6089" spans="6:7" x14ac:dyDescent="0.2">
      <c r="F6089" s="591">
        <v>6080</v>
      </c>
      <c r="G6089" s="420">
        <f t="shared" ca="1" si="102"/>
        <v>7.6368677319244779E-2</v>
      </c>
    </row>
    <row r="6090" spans="6:7" x14ac:dyDescent="0.2">
      <c r="F6090" s="591">
        <v>6081</v>
      </c>
      <c r="G6090" s="420">
        <f t="shared" ca="1" si="102"/>
        <v>7.2014538530824818E-2</v>
      </c>
    </row>
    <row r="6091" spans="6:7" x14ac:dyDescent="0.2">
      <c r="F6091" s="591">
        <v>6082</v>
      </c>
      <c r="G6091" s="420">
        <f t="shared" ref="G6091:G6154" ca="1" si="103">_xlfn.NORM.INV(RAND(), $M$11,$M$12)</f>
        <v>-1.9071517662849209E-2</v>
      </c>
    </row>
    <row r="6092" spans="6:7" x14ac:dyDescent="0.2">
      <c r="F6092" s="591">
        <v>6083</v>
      </c>
      <c r="G6092" s="420">
        <f t="shared" ca="1" si="103"/>
        <v>-1.4530897196447155E-2</v>
      </c>
    </row>
    <row r="6093" spans="6:7" x14ac:dyDescent="0.2">
      <c r="F6093" s="591">
        <v>6084</v>
      </c>
      <c r="G6093" s="420">
        <f t="shared" ca="1" si="103"/>
        <v>-6.0449646880515531E-2</v>
      </c>
    </row>
    <row r="6094" spans="6:7" x14ac:dyDescent="0.2">
      <c r="F6094" s="591">
        <v>6085</v>
      </c>
      <c r="G6094" s="420">
        <f t="shared" ca="1" si="103"/>
        <v>-8.448409476223627E-3</v>
      </c>
    </row>
    <row r="6095" spans="6:7" x14ac:dyDescent="0.2">
      <c r="F6095" s="591">
        <v>6086</v>
      </c>
      <c r="G6095" s="420">
        <f t="shared" ca="1" si="103"/>
        <v>0.15134870285755436</v>
      </c>
    </row>
    <row r="6096" spans="6:7" x14ac:dyDescent="0.2">
      <c r="F6096" s="591">
        <v>6087</v>
      </c>
      <c r="G6096" s="420">
        <f t="shared" ca="1" si="103"/>
        <v>0.11707705260250187</v>
      </c>
    </row>
    <row r="6097" spans="6:7" x14ac:dyDescent="0.2">
      <c r="F6097" s="591">
        <v>6088</v>
      </c>
      <c r="G6097" s="420">
        <f t="shared" ca="1" si="103"/>
        <v>6.2489584353780936E-2</v>
      </c>
    </row>
    <row r="6098" spans="6:7" x14ac:dyDescent="0.2">
      <c r="F6098" s="591">
        <v>6089</v>
      </c>
      <c r="G6098" s="420">
        <f t="shared" ca="1" si="103"/>
        <v>2.2853344399577858E-2</v>
      </c>
    </row>
    <row r="6099" spans="6:7" x14ac:dyDescent="0.2">
      <c r="F6099" s="591">
        <v>6090</v>
      </c>
      <c r="G6099" s="420">
        <f t="shared" ca="1" si="103"/>
        <v>1.4761892213095647E-2</v>
      </c>
    </row>
    <row r="6100" spans="6:7" x14ac:dyDescent="0.2">
      <c r="F6100" s="591">
        <v>6091</v>
      </c>
      <c r="G6100" s="420">
        <f t="shared" ca="1" si="103"/>
        <v>4.7910730931138264E-3</v>
      </c>
    </row>
    <row r="6101" spans="6:7" x14ac:dyDescent="0.2">
      <c r="F6101" s="591">
        <v>6092</v>
      </c>
      <c r="G6101" s="420">
        <f t="shared" ca="1" si="103"/>
        <v>3.3795166141890577E-2</v>
      </c>
    </row>
    <row r="6102" spans="6:7" x14ac:dyDescent="0.2">
      <c r="F6102" s="591">
        <v>6093</v>
      </c>
      <c r="G6102" s="420">
        <f t="shared" ca="1" si="103"/>
        <v>1.0342217398200147E-2</v>
      </c>
    </row>
    <row r="6103" spans="6:7" x14ac:dyDescent="0.2">
      <c r="F6103" s="591">
        <v>6094</v>
      </c>
      <c r="G6103" s="420">
        <f t="shared" ca="1" si="103"/>
        <v>3.5670306383144473E-2</v>
      </c>
    </row>
    <row r="6104" spans="6:7" x14ac:dyDescent="0.2">
      <c r="F6104" s="591">
        <v>6095</v>
      </c>
      <c r="G6104" s="420">
        <f t="shared" ca="1" si="103"/>
        <v>9.026337278237595E-3</v>
      </c>
    </row>
    <row r="6105" spans="6:7" x14ac:dyDescent="0.2">
      <c r="F6105" s="591">
        <v>6096</v>
      </c>
      <c r="G6105" s="420">
        <f t="shared" ca="1" si="103"/>
        <v>-1.7848104342648163E-3</v>
      </c>
    </row>
    <row r="6106" spans="6:7" x14ac:dyDescent="0.2">
      <c r="F6106" s="591">
        <v>6097</v>
      </c>
      <c r="G6106" s="420">
        <f t="shared" ca="1" si="103"/>
        <v>0.14059028958933506</v>
      </c>
    </row>
    <row r="6107" spans="6:7" x14ac:dyDescent="0.2">
      <c r="F6107" s="591">
        <v>6098</v>
      </c>
      <c r="G6107" s="420">
        <f t="shared" ca="1" si="103"/>
        <v>-1.8057264204152431E-2</v>
      </c>
    </row>
    <row r="6108" spans="6:7" x14ac:dyDescent="0.2">
      <c r="F6108" s="591">
        <v>6099</v>
      </c>
      <c r="G6108" s="420">
        <f t="shared" ca="1" si="103"/>
        <v>2.2918053373805272E-4</v>
      </c>
    </row>
    <row r="6109" spans="6:7" x14ac:dyDescent="0.2">
      <c r="F6109" s="591">
        <v>6100</v>
      </c>
      <c r="G6109" s="420">
        <f t="shared" ca="1" si="103"/>
        <v>1.7695396667750319E-2</v>
      </c>
    </row>
    <row r="6110" spans="6:7" x14ac:dyDescent="0.2">
      <c r="F6110" s="591">
        <v>6101</v>
      </c>
      <c r="G6110" s="420">
        <f t="shared" ca="1" si="103"/>
        <v>6.3538699960167852E-2</v>
      </c>
    </row>
    <row r="6111" spans="6:7" x14ac:dyDescent="0.2">
      <c r="F6111" s="591">
        <v>6102</v>
      </c>
      <c r="G6111" s="420">
        <f t="shared" ca="1" si="103"/>
        <v>-8.1299420293905189E-4</v>
      </c>
    </row>
    <row r="6112" spans="6:7" x14ac:dyDescent="0.2">
      <c r="F6112" s="591">
        <v>6103</v>
      </c>
      <c r="G6112" s="420">
        <f t="shared" ca="1" si="103"/>
        <v>-7.2385253585653966E-2</v>
      </c>
    </row>
    <row r="6113" spans="6:7" x14ac:dyDescent="0.2">
      <c r="F6113" s="591">
        <v>6104</v>
      </c>
      <c r="G6113" s="420">
        <f t="shared" ca="1" si="103"/>
        <v>5.1969732911656033E-2</v>
      </c>
    </row>
    <row r="6114" spans="6:7" x14ac:dyDescent="0.2">
      <c r="F6114" s="591">
        <v>6105</v>
      </c>
      <c r="G6114" s="420">
        <f t="shared" ca="1" si="103"/>
        <v>3.3615335861068754E-2</v>
      </c>
    </row>
    <row r="6115" spans="6:7" x14ac:dyDescent="0.2">
      <c r="F6115" s="591">
        <v>6106</v>
      </c>
      <c r="G6115" s="420">
        <f t="shared" ca="1" si="103"/>
        <v>-9.2038148156055564E-3</v>
      </c>
    </row>
    <row r="6116" spans="6:7" x14ac:dyDescent="0.2">
      <c r="F6116" s="591">
        <v>6107</v>
      </c>
      <c r="G6116" s="420">
        <f t="shared" ca="1" si="103"/>
        <v>1.6410302386102804E-2</v>
      </c>
    </row>
    <row r="6117" spans="6:7" x14ac:dyDescent="0.2">
      <c r="F6117" s="591">
        <v>6108</v>
      </c>
      <c r="G6117" s="420">
        <f t="shared" ca="1" si="103"/>
        <v>3.3941438808936755E-2</v>
      </c>
    </row>
    <row r="6118" spans="6:7" x14ac:dyDescent="0.2">
      <c r="F6118" s="591">
        <v>6109</v>
      </c>
      <c r="G6118" s="420">
        <f t="shared" ca="1" si="103"/>
        <v>8.1642954238876894E-2</v>
      </c>
    </row>
    <row r="6119" spans="6:7" x14ac:dyDescent="0.2">
      <c r="F6119" s="591">
        <v>6110</v>
      </c>
      <c r="G6119" s="420">
        <f t="shared" ca="1" si="103"/>
        <v>2.9666849415568849E-2</v>
      </c>
    </row>
    <row r="6120" spans="6:7" x14ac:dyDescent="0.2">
      <c r="F6120" s="591">
        <v>6111</v>
      </c>
      <c r="G6120" s="420">
        <f t="shared" ca="1" si="103"/>
        <v>2.2049473355246364E-3</v>
      </c>
    </row>
    <row r="6121" spans="6:7" x14ac:dyDescent="0.2">
      <c r="F6121" s="591">
        <v>6112</v>
      </c>
      <c r="G6121" s="420">
        <f t="shared" ca="1" si="103"/>
        <v>-1.4640135213997221E-2</v>
      </c>
    </row>
    <row r="6122" spans="6:7" x14ac:dyDescent="0.2">
      <c r="F6122" s="591">
        <v>6113</v>
      </c>
      <c r="G6122" s="420">
        <f t="shared" ca="1" si="103"/>
        <v>-3.1475905711255726E-4</v>
      </c>
    </row>
    <row r="6123" spans="6:7" x14ac:dyDescent="0.2">
      <c r="F6123" s="591">
        <v>6114</v>
      </c>
      <c r="G6123" s="420">
        <f t="shared" ca="1" si="103"/>
        <v>5.3778029076552977E-2</v>
      </c>
    </row>
    <row r="6124" spans="6:7" x14ac:dyDescent="0.2">
      <c r="F6124" s="591">
        <v>6115</v>
      </c>
      <c r="G6124" s="420">
        <f t="shared" ca="1" si="103"/>
        <v>-7.3354176799473106E-2</v>
      </c>
    </row>
    <row r="6125" spans="6:7" x14ac:dyDescent="0.2">
      <c r="F6125" s="591">
        <v>6116</v>
      </c>
      <c r="G6125" s="420">
        <f t="shared" ca="1" si="103"/>
        <v>0.10235525345183298</v>
      </c>
    </row>
    <row r="6126" spans="6:7" x14ac:dyDescent="0.2">
      <c r="F6126" s="591">
        <v>6117</v>
      </c>
      <c r="G6126" s="420">
        <f t="shared" ca="1" si="103"/>
        <v>-1.3044058458826006E-2</v>
      </c>
    </row>
    <row r="6127" spans="6:7" x14ac:dyDescent="0.2">
      <c r="F6127" s="591">
        <v>6118</v>
      </c>
      <c r="G6127" s="420">
        <f t="shared" ca="1" si="103"/>
        <v>4.4749068804656636E-2</v>
      </c>
    </row>
    <row r="6128" spans="6:7" x14ac:dyDescent="0.2">
      <c r="F6128" s="591">
        <v>6119</v>
      </c>
      <c r="G6128" s="420">
        <f t="shared" ca="1" si="103"/>
        <v>-8.357787796941582E-2</v>
      </c>
    </row>
    <row r="6129" spans="6:7" x14ac:dyDescent="0.2">
      <c r="F6129" s="591">
        <v>6120</v>
      </c>
      <c r="G6129" s="420">
        <f t="shared" ca="1" si="103"/>
        <v>-0.1390193576698969</v>
      </c>
    </row>
    <row r="6130" spans="6:7" x14ac:dyDescent="0.2">
      <c r="F6130" s="591">
        <v>6121</v>
      </c>
      <c r="G6130" s="420">
        <f t="shared" ca="1" si="103"/>
        <v>-3.2195982517162873E-3</v>
      </c>
    </row>
    <row r="6131" spans="6:7" x14ac:dyDescent="0.2">
      <c r="F6131" s="591">
        <v>6122</v>
      </c>
      <c r="G6131" s="420">
        <f t="shared" ca="1" si="103"/>
        <v>-5.3305359627471294E-2</v>
      </c>
    </row>
    <row r="6132" spans="6:7" x14ac:dyDescent="0.2">
      <c r="F6132" s="591">
        <v>6123</v>
      </c>
      <c r="G6132" s="420">
        <f t="shared" ca="1" si="103"/>
        <v>0.113126886501509</v>
      </c>
    </row>
    <row r="6133" spans="6:7" x14ac:dyDescent="0.2">
      <c r="F6133" s="591">
        <v>6124</v>
      </c>
      <c r="G6133" s="420">
        <f t="shared" ca="1" si="103"/>
        <v>-7.3776780862721408E-4</v>
      </c>
    </row>
    <row r="6134" spans="6:7" x14ac:dyDescent="0.2">
      <c r="F6134" s="591">
        <v>6125</v>
      </c>
      <c r="G6134" s="420">
        <f t="shared" ca="1" si="103"/>
        <v>-1.9874474556596518E-2</v>
      </c>
    </row>
    <row r="6135" spans="6:7" x14ac:dyDescent="0.2">
      <c r="F6135" s="591">
        <v>6126</v>
      </c>
      <c r="G6135" s="420">
        <f t="shared" ca="1" si="103"/>
        <v>-6.871698712792243E-2</v>
      </c>
    </row>
    <row r="6136" spans="6:7" x14ac:dyDescent="0.2">
      <c r="F6136" s="591">
        <v>6127</v>
      </c>
      <c r="G6136" s="420">
        <f t="shared" ca="1" si="103"/>
        <v>0.17604226747442445</v>
      </c>
    </row>
    <row r="6137" spans="6:7" x14ac:dyDescent="0.2">
      <c r="F6137" s="591">
        <v>6128</v>
      </c>
      <c r="G6137" s="420">
        <f t="shared" ca="1" si="103"/>
        <v>-1.3339781296973021E-2</v>
      </c>
    </row>
    <row r="6138" spans="6:7" x14ac:dyDescent="0.2">
      <c r="F6138" s="591">
        <v>6129</v>
      </c>
      <c r="G6138" s="420">
        <f t="shared" ca="1" si="103"/>
        <v>1.1950035427019024E-2</v>
      </c>
    </row>
    <row r="6139" spans="6:7" x14ac:dyDescent="0.2">
      <c r="F6139" s="591">
        <v>6130</v>
      </c>
      <c r="G6139" s="420">
        <f t="shared" ca="1" si="103"/>
        <v>-5.3945332489583359E-2</v>
      </c>
    </row>
    <row r="6140" spans="6:7" x14ac:dyDescent="0.2">
      <c r="F6140" s="591">
        <v>6131</v>
      </c>
      <c r="G6140" s="420">
        <f t="shared" ca="1" si="103"/>
        <v>-9.3329776029569475E-2</v>
      </c>
    </row>
    <row r="6141" spans="6:7" x14ac:dyDescent="0.2">
      <c r="F6141" s="591">
        <v>6132</v>
      </c>
      <c r="G6141" s="420">
        <f t="shared" ca="1" si="103"/>
        <v>-3.8364853155936296E-2</v>
      </c>
    </row>
    <row r="6142" spans="6:7" x14ac:dyDescent="0.2">
      <c r="F6142" s="591">
        <v>6133</v>
      </c>
      <c r="G6142" s="420">
        <f t="shared" ca="1" si="103"/>
        <v>2.5249368029588902E-2</v>
      </c>
    </row>
    <row r="6143" spans="6:7" x14ac:dyDescent="0.2">
      <c r="F6143" s="591">
        <v>6134</v>
      </c>
      <c r="G6143" s="420">
        <f t="shared" ca="1" si="103"/>
        <v>0.15040780966876863</v>
      </c>
    </row>
    <row r="6144" spans="6:7" x14ac:dyDescent="0.2">
      <c r="F6144" s="591">
        <v>6135</v>
      </c>
      <c r="G6144" s="420">
        <f t="shared" ca="1" si="103"/>
        <v>6.1049986577532203E-2</v>
      </c>
    </row>
    <row r="6145" spans="6:7" x14ac:dyDescent="0.2">
      <c r="F6145" s="591">
        <v>6136</v>
      </c>
      <c r="G6145" s="420">
        <f t="shared" ca="1" si="103"/>
        <v>6.0089055693422724E-2</v>
      </c>
    </row>
    <row r="6146" spans="6:7" x14ac:dyDescent="0.2">
      <c r="F6146" s="591">
        <v>6137</v>
      </c>
      <c r="G6146" s="420">
        <f t="shared" ca="1" si="103"/>
        <v>0.10343339526716798</v>
      </c>
    </row>
    <row r="6147" spans="6:7" x14ac:dyDescent="0.2">
      <c r="F6147" s="591">
        <v>6138</v>
      </c>
      <c r="G6147" s="420">
        <f t="shared" ca="1" si="103"/>
        <v>-2.795372942145494E-2</v>
      </c>
    </row>
    <row r="6148" spans="6:7" x14ac:dyDescent="0.2">
      <c r="F6148" s="591">
        <v>6139</v>
      </c>
      <c r="G6148" s="420">
        <f t="shared" ca="1" si="103"/>
        <v>8.7863904139457119E-2</v>
      </c>
    </row>
    <row r="6149" spans="6:7" x14ac:dyDescent="0.2">
      <c r="F6149" s="591">
        <v>6140</v>
      </c>
      <c r="G6149" s="420">
        <f t="shared" ca="1" si="103"/>
        <v>-8.9387810563379445E-3</v>
      </c>
    </row>
    <row r="6150" spans="6:7" x14ac:dyDescent="0.2">
      <c r="F6150" s="591">
        <v>6141</v>
      </c>
      <c r="G6150" s="420">
        <f t="shared" ca="1" si="103"/>
        <v>-0.10333575661922581</v>
      </c>
    </row>
    <row r="6151" spans="6:7" x14ac:dyDescent="0.2">
      <c r="F6151" s="591">
        <v>6142</v>
      </c>
      <c r="G6151" s="420">
        <f t="shared" ca="1" si="103"/>
        <v>-5.8076320614849103E-2</v>
      </c>
    </row>
    <row r="6152" spans="6:7" x14ac:dyDescent="0.2">
      <c r="F6152" s="591">
        <v>6143</v>
      </c>
      <c r="G6152" s="420">
        <f t="shared" ca="1" si="103"/>
        <v>8.3340353741136339E-2</v>
      </c>
    </row>
    <row r="6153" spans="6:7" x14ac:dyDescent="0.2">
      <c r="F6153" s="591">
        <v>6144</v>
      </c>
      <c r="G6153" s="420">
        <f t="shared" ca="1" si="103"/>
        <v>0.16476780372810529</v>
      </c>
    </row>
    <row r="6154" spans="6:7" x14ac:dyDescent="0.2">
      <c r="F6154" s="591">
        <v>6145</v>
      </c>
      <c r="G6154" s="420">
        <f t="shared" ca="1" si="103"/>
        <v>8.0090796587048319E-2</v>
      </c>
    </row>
    <row r="6155" spans="6:7" x14ac:dyDescent="0.2">
      <c r="F6155" s="591">
        <v>6146</v>
      </c>
      <c r="G6155" s="420">
        <f t="shared" ref="G6155:G6218" ca="1" si="104">_xlfn.NORM.INV(RAND(), $M$11,$M$12)</f>
        <v>1.1771105774275703E-2</v>
      </c>
    </row>
    <row r="6156" spans="6:7" x14ac:dyDescent="0.2">
      <c r="F6156" s="591">
        <v>6147</v>
      </c>
      <c r="G6156" s="420">
        <f t="shared" ca="1" si="104"/>
        <v>-4.4231325234639615E-2</v>
      </c>
    </row>
    <row r="6157" spans="6:7" x14ac:dyDescent="0.2">
      <c r="F6157" s="591">
        <v>6148</v>
      </c>
      <c r="G6157" s="420">
        <f t="shared" ca="1" si="104"/>
        <v>0.13428217216098834</v>
      </c>
    </row>
    <row r="6158" spans="6:7" x14ac:dyDescent="0.2">
      <c r="F6158" s="591">
        <v>6149</v>
      </c>
      <c r="G6158" s="420">
        <f t="shared" ca="1" si="104"/>
        <v>-9.1878958692126728E-2</v>
      </c>
    </row>
    <row r="6159" spans="6:7" x14ac:dyDescent="0.2">
      <c r="F6159" s="591">
        <v>6150</v>
      </c>
      <c r="G6159" s="420">
        <f t="shared" ca="1" si="104"/>
        <v>1.4340443112680838E-2</v>
      </c>
    </row>
    <row r="6160" spans="6:7" x14ac:dyDescent="0.2">
      <c r="F6160" s="591">
        <v>6151</v>
      </c>
      <c r="G6160" s="420">
        <f t="shared" ca="1" si="104"/>
        <v>4.3363095921076553E-2</v>
      </c>
    </row>
    <row r="6161" spans="6:7" x14ac:dyDescent="0.2">
      <c r="F6161" s="591">
        <v>6152</v>
      </c>
      <c r="G6161" s="420">
        <f t="shared" ca="1" si="104"/>
        <v>5.4639436459663238E-2</v>
      </c>
    </row>
    <row r="6162" spans="6:7" x14ac:dyDescent="0.2">
      <c r="F6162" s="591">
        <v>6153</v>
      </c>
      <c r="G6162" s="420">
        <f t="shared" ca="1" si="104"/>
        <v>2.5322086255682875E-3</v>
      </c>
    </row>
    <row r="6163" spans="6:7" x14ac:dyDescent="0.2">
      <c r="F6163" s="591">
        <v>6154</v>
      </c>
      <c r="G6163" s="420">
        <f t="shared" ca="1" si="104"/>
        <v>5.2422605812605341E-2</v>
      </c>
    </row>
    <row r="6164" spans="6:7" x14ac:dyDescent="0.2">
      <c r="F6164" s="591">
        <v>6155</v>
      </c>
      <c r="G6164" s="420">
        <f t="shared" ca="1" si="104"/>
        <v>9.0288026584838699E-2</v>
      </c>
    </row>
    <row r="6165" spans="6:7" x14ac:dyDescent="0.2">
      <c r="F6165" s="591">
        <v>6156</v>
      </c>
      <c r="G6165" s="420">
        <f t="shared" ca="1" si="104"/>
        <v>-3.9840892956712101E-2</v>
      </c>
    </row>
    <row r="6166" spans="6:7" x14ac:dyDescent="0.2">
      <c r="F6166" s="591">
        <v>6157</v>
      </c>
      <c r="G6166" s="420">
        <f t="shared" ca="1" si="104"/>
        <v>5.9840017404741486E-2</v>
      </c>
    </row>
    <row r="6167" spans="6:7" x14ac:dyDescent="0.2">
      <c r="F6167" s="591">
        <v>6158</v>
      </c>
      <c r="G6167" s="420">
        <f t="shared" ca="1" si="104"/>
        <v>4.9279159910380552E-2</v>
      </c>
    </row>
    <row r="6168" spans="6:7" x14ac:dyDescent="0.2">
      <c r="F6168" s="591">
        <v>6159</v>
      </c>
      <c r="G6168" s="420">
        <f t="shared" ca="1" si="104"/>
        <v>-8.3362449382991075E-2</v>
      </c>
    </row>
    <row r="6169" spans="6:7" x14ac:dyDescent="0.2">
      <c r="F6169" s="591">
        <v>6160</v>
      </c>
      <c r="G6169" s="420">
        <f t="shared" ca="1" si="104"/>
        <v>-0.10058138431040166</v>
      </c>
    </row>
    <row r="6170" spans="6:7" x14ac:dyDescent="0.2">
      <c r="F6170" s="591">
        <v>6161</v>
      </c>
      <c r="G6170" s="420">
        <f t="shared" ca="1" si="104"/>
        <v>6.0066516626755884E-2</v>
      </c>
    </row>
    <row r="6171" spans="6:7" x14ac:dyDescent="0.2">
      <c r="F6171" s="591">
        <v>6162</v>
      </c>
      <c r="G6171" s="420">
        <f t="shared" ca="1" si="104"/>
        <v>5.1297497730865352E-2</v>
      </c>
    </row>
    <row r="6172" spans="6:7" x14ac:dyDescent="0.2">
      <c r="F6172" s="591">
        <v>6163</v>
      </c>
      <c r="G6172" s="420">
        <f t="shared" ca="1" si="104"/>
        <v>6.6699986027055264E-2</v>
      </c>
    </row>
    <row r="6173" spans="6:7" x14ac:dyDescent="0.2">
      <c r="F6173" s="591">
        <v>6164</v>
      </c>
      <c r="G6173" s="420">
        <f t="shared" ca="1" si="104"/>
        <v>-4.9614935125689416E-2</v>
      </c>
    </row>
    <row r="6174" spans="6:7" x14ac:dyDescent="0.2">
      <c r="F6174" s="591">
        <v>6165</v>
      </c>
      <c r="G6174" s="420">
        <f t="shared" ca="1" si="104"/>
        <v>-8.697745850500628E-2</v>
      </c>
    </row>
    <row r="6175" spans="6:7" x14ac:dyDescent="0.2">
      <c r="F6175" s="591">
        <v>6166</v>
      </c>
      <c r="G6175" s="420">
        <f t="shared" ca="1" si="104"/>
        <v>-1.6535620810238572E-2</v>
      </c>
    </row>
    <row r="6176" spans="6:7" x14ac:dyDescent="0.2">
      <c r="F6176" s="591">
        <v>6167</v>
      </c>
      <c r="G6176" s="420">
        <f t="shared" ca="1" si="104"/>
        <v>0.11658734511358074</v>
      </c>
    </row>
    <row r="6177" spans="6:7" x14ac:dyDescent="0.2">
      <c r="F6177" s="591">
        <v>6168</v>
      </c>
      <c r="G6177" s="420">
        <f t="shared" ca="1" si="104"/>
        <v>3.2157441793671297E-2</v>
      </c>
    </row>
    <row r="6178" spans="6:7" x14ac:dyDescent="0.2">
      <c r="F6178" s="591">
        <v>6169</v>
      </c>
      <c r="G6178" s="420">
        <f t="shared" ca="1" si="104"/>
        <v>7.9961367562965971E-2</v>
      </c>
    </row>
    <row r="6179" spans="6:7" x14ac:dyDescent="0.2">
      <c r="F6179" s="591">
        <v>6170</v>
      </c>
      <c r="G6179" s="420">
        <f t="shared" ca="1" si="104"/>
        <v>3.1644477113662084E-2</v>
      </c>
    </row>
    <row r="6180" spans="6:7" x14ac:dyDescent="0.2">
      <c r="F6180" s="591">
        <v>6171</v>
      </c>
      <c r="G6180" s="420">
        <f t="shared" ca="1" si="104"/>
        <v>-1.0617326468877204E-2</v>
      </c>
    </row>
    <row r="6181" spans="6:7" x14ac:dyDescent="0.2">
      <c r="F6181" s="591">
        <v>6172</v>
      </c>
      <c r="G6181" s="420">
        <f t="shared" ca="1" si="104"/>
        <v>1.7810407299138173E-2</v>
      </c>
    </row>
    <row r="6182" spans="6:7" x14ac:dyDescent="0.2">
      <c r="F6182" s="591">
        <v>6173</v>
      </c>
      <c r="G6182" s="420">
        <f t="shared" ca="1" si="104"/>
        <v>-3.5996462723335856E-2</v>
      </c>
    </row>
    <row r="6183" spans="6:7" x14ac:dyDescent="0.2">
      <c r="F6183" s="591">
        <v>6174</v>
      </c>
      <c r="G6183" s="420">
        <f t="shared" ca="1" si="104"/>
        <v>-3.1136561230742033E-2</v>
      </c>
    </row>
    <row r="6184" spans="6:7" x14ac:dyDescent="0.2">
      <c r="F6184" s="591">
        <v>6175</v>
      </c>
      <c r="G6184" s="420">
        <f t="shared" ca="1" si="104"/>
        <v>8.1279065289301539E-3</v>
      </c>
    </row>
    <row r="6185" spans="6:7" x14ac:dyDescent="0.2">
      <c r="F6185" s="591">
        <v>6176</v>
      </c>
      <c r="G6185" s="420">
        <f t="shared" ca="1" si="104"/>
        <v>-3.3325829470917695E-2</v>
      </c>
    </row>
    <row r="6186" spans="6:7" x14ac:dyDescent="0.2">
      <c r="F6186" s="591">
        <v>6177</v>
      </c>
      <c r="G6186" s="420">
        <f t="shared" ca="1" si="104"/>
        <v>5.5835315439232258E-2</v>
      </c>
    </row>
    <row r="6187" spans="6:7" x14ac:dyDescent="0.2">
      <c r="F6187" s="591">
        <v>6178</v>
      </c>
      <c r="G6187" s="420">
        <f t="shared" ca="1" si="104"/>
        <v>0.12189099376959034</v>
      </c>
    </row>
    <row r="6188" spans="6:7" x14ac:dyDescent="0.2">
      <c r="F6188" s="591">
        <v>6179</v>
      </c>
      <c r="G6188" s="420">
        <f t="shared" ca="1" si="104"/>
        <v>-2.2537875975631807E-2</v>
      </c>
    </row>
    <row r="6189" spans="6:7" x14ac:dyDescent="0.2">
      <c r="F6189" s="591">
        <v>6180</v>
      </c>
      <c r="G6189" s="420">
        <f t="shared" ca="1" si="104"/>
        <v>8.7332638954666628E-2</v>
      </c>
    </row>
    <row r="6190" spans="6:7" x14ac:dyDescent="0.2">
      <c r="F6190" s="591">
        <v>6181</v>
      </c>
      <c r="G6190" s="420">
        <f t="shared" ca="1" si="104"/>
        <v>-6.4090646698769238E-2</v>
      </c>
    </row>
    <row r="6191" spans="6:7" x14ac:dyDescent="0.2">
      <c r="F6191" s="591">
        <v>6182</v>
      </c>
      <c r="G6191" s="420">
        <f t="shared" ca="1" si="104"/>
        <v>5.1006923680172428E-2</v>
      </c>
    </row>
    <row r="6192" spans="6:7" x14ac:dyDescent="0.2">
      <c r="F6192" s="591">
        <v>6183</v>
      </c>
      <c r="G6192" s="420">
        <f t="shared" ca="1" si="104"/>
        <v>-3.7666008142440838E-2</v>
      </c>
    </row>
    <row r="6193" spans="6:7" x14ac:dyDescent="0.2">
      <c r="F6193" s="591">
        <v>6184</v>
      </c>
      <c r="G6193" s="420">
        <f t="shared" ca="1" si="104"/>
        <v>7.5560450480115629E-2</v>
      </c>
    </row>
    <row r="6194" spans="6:7" x14ac:dyDescent="0.2">
      <c r="F6194" s="591">
        <v>6185</v>
      </c>
      <c r="G6194" s="420">
        <f t="shared" ca="1" si="104"/>
        <v>6.2715507546827851E-2</v>
      </c>
    </row>
    <row r="6195" spans="6:7" x14ac:dyDescent="0.2">
      <c r="F6195" s="591">
        <v>6186</v>
      </c>
      <c r="G6195" s="420">
        <f t="shared" ca="1" si="104"/>
        <v>-2.3342137395695486E-2</v>
      </c>
    </row>
    <row r="6196" spans="6:7" x14ac:dyDescent="0.2">
      <c r="F6196" s="591">
        <v>6187</v>
      </c>
      <c r="G6196" s="420">
        <f t="shared" ca="1" si="104"/>
        <v>5.5213353145537089E-2</v>
      </c>
    </row>
    <row r="6197" spans="6:7" x14ac:dyDescent="0.2">
      <c r="F6197" s="591">
        <v>6188</v>
      </c>
      <c r="G6197" s="420">
        <f t="shared" ca="1" si="104"/>
        <v>0.17395916500593295</v>
      </c>
    </row>
    <row r="6198" spans="6:7" x14ac:dyDescent="0.2">
      <c r="F6198" s="591">
        <v>6189</v>
      </c>
      <c r="G6198" s="420">
        <f t="shared" ca="1" si="104"/>
        <v>0.11881387006736845</v>
      </c>
    </row>
    <row r="6199" spans="6:7" x14ac:dyDescent="0.2">
      <c r="F6199" s="591">
        <v>6190</v>
      </c>
      <c r="G6199" s="420">
        <f t="shared" ca="1" si="104"/>
        <v>-8.3674223721203894E-2</v>
      </c>
    </row>
    <row r="6200" spans="6:7" x14ac:dyDescent="0.2">
      <c r="F6200" s="591">
        <v>6191</v>
      </c>
      <c r="G6200" s="420">
        <f t="shared" ca="1" si="104"/>
        <v>4.8361054055280267E-2</v>
      </c>
    </row>
    <row r="6201" spans="6:7" x14ac:dyDescent="0.2">
      <c r="F6201" s="591">
        <v>6192</v>
      </c>
      <c r="G6201" s="420">
        <f t="shared" ca="1" si="104"/>
        <v>0.13594801352157199</v>
      </c>
    </row>
    <row r="6202" spans="6:7" x14ac:dyDescent="0.2">
      <c r="F6202" s="591">
        <v>6193</v>
      </c>
      <c r="G6202" s="420">
        <f t="shared" ca="1" si="104"/>
        <v>3.0707894534960176E-2</v>
      </c>
    </row>
    <row r="6203" spans="6:7" x14ac:dyDescent="0.2">
      <c r="F6203" s="591">
        <v>6194</v>
      </c>
      <c r="G6203" s="420">
        <f t="shared" ca="1" si="104"/>
        <v>4.8321900083434189E-3</v>
      </c>
    </row>
    <row r="6204" spans="6:7" x14ac:dyDescent="0.2">
      <c r="F6204" s="591">
        <v>6195</v>
      </c>
      <c r="G6204" s="420">
        <f t="shared" ca="1" si="104"/>
        <v>0.1623725413890626</v>
      </c>
    </row>
    <row r="6205" spans="6:7" x14ac:dyDescent="0.2">
      <c r="F6205" s="591">
        <v>6196</v>
      </c>
      <c r="G6205" s="420">
        <f t="shared" ca="1" si="104"/>
        <v>8.9507372516940367E-2</v>
      </c>
    </row>
    <row r="6206" spans="6:7" x14ac:dyDescent="0.2">
      <c r="F6206" s="591">
        <v>6197</v>
      </c>
      <c r="G6206" s="420">
        <f t="shared" ca="1" si="104"/>
        <v>2.5776772162898712E-2</v>
      </c>
    </row>
    <row r="6207" spans="6:7" x14ac:dyDescent="0.2">
      <c r="F6207" s="591">
        <v>6198</v>
      </c>
      <c r="G6207" s="420">
        <f t="shared" ca="1" si="104"/>
        <v>-5.919121190511227E-2</v>
      </c>
    </row>
    <row r="6208" spans="6:7" x14ac:dyDescent="0.2">
      <c r="F6208" s="591">
        <v>6199</v>
      </c>
      <c r="G6208" s="420">
        <f t="shared" ca="1" si="104"/>
        <v>-3.2357178510739812E-2</v>
      </c>
    </row>
    <row r="6209" spans="6:7" x14ac:dyDescent="0.2">
      <c r="F6209" s="591">
        <v>6200</v>
      </c>
      <c r="G6209" s="420">
        <f t="shared" ca="1" si="104"/>
        <v>3.9370916483216598E-2</v>
      </c>
    </row>
    <row r="6210" spans="6:7" x14ac:dyDescent="0.2">
      <c r="F6210" s="591">
        <v>6201</v>
      </c>
      <c r="G6210" s="420">
        <f t="shared" ca="1" si="104"/>
        <v>-7.706477307318188E-2</v>
      </c>
    </row>
    <row r="6211" spans="6:7" x14ac:dyDescent="0.2">
      <c r="F6211" s="591">
        <v>6202</v>
      </c>
      <c r="G6211" s="420">
        <f t="shared" ca="1" si="104"/>
        <v>3.6729836786243704E-2</v>
      </c>
    </row>
    <row r="6212" spans="6:7" x14ac:dyDescent="0.2">
      <c r="F6212" s="591">
        <v>6203</v>
      </c>
      <c r="G6212" s="420">
        <f t="shared" ca="1" si="104"/>
        <v>3.4573528733313867E-3</v>
      </c>
    </row>
    <row r="6213" spans="6:7" x14ac:dyDescent="0.2">
      <c r="F6213" s="591">
        <v>6204</v>
      </c>
      <c r="G6213" s="420">
        <f t="shared" ca="1" si="104"/>
        <v>0.12248122350681068</v>
      </c>
    </row>
    <row r="6214" spans="6:7" x14ac:dyDescent="0.2">
      <c r="F6214" s="591">
        <v>6205</v>
      </c>
      <c r="G6214" s="420">
        <f t="shared" ca="1" si="104"/>
        <v>2.0728573133282129E-2</v>
      </c>
    </row>
    <row r="6215" spans="6:7" x14ac:dyDescent="0.2">
      <c r="F6215" s="591">
        <v>6206</v>
      </c>
      <c r="G6215" s="420">
        <f t="shared" ca="1" si="104"/>
        <v>-1.6969571437311193E-2</v>
      </c>
    </row>
    <row r="6216" spans="6:7" x14ac:dyDescent="0.2">
      <c r="F6216" s="591">
        <v>6207</v>
      </c>
      <c r="G6216" s="420">
        <f t="shared" ca="1" si="104"/>
        <v>-4.0515981171877061E-2</v>
      </c>
    </row>
    <row r="6217" spans="6:7" x14ac:dyDescent="0.2">
      <c r="F6217" s="591">
        <v>6208</v>
      </c>
      <c r="G6217" s="420">
        <f t="shared" ca="1" si="104"/>
        <v>9.0413546573373332E-2</v>
      </c>
    </row>
    <row r="6218" spans="6:7" x14ac:dyDescent="0.2">
      <c r="F6218" s="591">
        <v>6209</v>
      </c>
      <c r="G6218" s="420">
        <f t="shared" ca="1" si="104"/>
        <v>7.1691511009970316E-2</v>
      </c>
    </row>
    <row r="6219" spans="6:7" x14ac:dyDescent="0.2">
      <c r="F6219" s="591">
        <v>6210</v>
      </c>
      <c r="G6219" s="420">
        <f t="shared" ref="G6219:G6282" ca="1" si="105">_xlfn.NORM.INV(RAND(), $M$11,$M$12)</f>
        <v>0.10296273710477709</v>
      </c>
    </row>
    <row r="6220" spans="6:7" x14ac:dyDescent="0.2">
      <c r="F6220" s="591">
        <v>6211</v>
      </c>
      <c r="G6220" s="420">
        <f t="shared" ca="1" si="105"/>
        <v>-2.2467108920777332E-2</v>
      </c>
    </row>
    <row r="6221" spans="6:7" x14ac:dyDescent="0.2">
      <c r="F6221" s="591">
        <v>6212</v>
      </c>
      <c r="G6221" s="420">
        <f t="shared" ca="1" si="105"/>
        <v>-7.5287333725858108E-2</v>
      </c>
    </row>
    <row r="6222" spans="6:7" x14ac:dyDescent="0.2">
      <c r="F6222" s="591">
        <v>6213</v>
      </c>
      <c r="G6222" s="420">
        <f t="shared" ca="1" si="105"/>
        <v>8.6626741974660124E-2</v>
      </c>
    </row>
    <row r="6223" spans="6:7" x14ac:dyDescent="0.2">
      <c r="F6223" s="591">
        <v>6214</v>
      </c>
      <c r="G6223" s="420">
        <f t="shared" ca="1" si="105"/>
        <v>3.063341252568445E-2</v>
      </c>
    </row>
    <row r="6224" spans="6:7" x14ac:dyDescent="0.2">
      <c r="F6224" s="591">
        <v>6215</v>
      </c>
      <c r="G6224" s="420">
        <f t="shared" ca="1" si="105"/>
        <v>-2.2164511272064053E-2</v>
      </c>
    </row>
    <row r="6225" spans="6:7" x14ac:dyDescent="0.2">
      <c r="F6225" s="591">
        <v>6216</v>
      </c>
      <c r="G6225" s="420">
        <f t="shared" ca="1" si="105"/>
        <v>-8.3938471716184904E-2</v>
      </c>
    </row>
    <row r="6226" spans="6:7" x14ac:dyDescent="0.2">
      <c r="F6226" s="591">
        <v>6217</v>
      </c>
      <c r="G6226" s="420">
        <f t="shared" ca="1" si="105"/>
        <v>-0.17224143527628649</v>
      </c>
    </row>
    <row r="6227" spans="6:7" x14ac:dyDescent="0.2">
      <c r="F6227" s="591">
        <v>6218</v>
      </c>
      <c r="G6227" s="420">
        <f t="shared" ca="1" si="105"/>
        <v>-0.17419936429227342</v>
      </c>
    </row>
    <row r="6228" spans="6:7" x14ac:dyDescent="0.2">
      <c r="F6228" s="591">
        <v>6219</v>
      </c>
      <c r="G6228" s="420">
        <f t="shared" ca="1" si="105"/>
        <v>-4.2336832892846347E-3</v>
      </c>
    </row>
    <row r="6229" spans="6:7" x14ac:dyDescent="0.2">
      <c r="F6229" s="591">
        <v>6220</v>
      </c>
      <c r="G6229" s="420">
        <f t="shared" ca="1" si="105"/>
        <v>0.14659750636632685</v>
      </c>
    </row>
    <row r="6230" spans="6:7" x14ac:dyDescent="0.2">
      <c r="F6230" s="591">
        <v>6221</v>
      </c>
      <c r="G6230" s="420">
        <f t="shared" ca="1" si="105"/>
        <v>-5.852659637768301E-2</v>
      </c>
    </row>
    <row r="6231" spans="6:7" x14ac:dyDescent="0.2">
      <c r="F6231" s="591">
        <v>6222</v>
      </c>
      <c r="G6231" s="420">
        <f t="shared" ca="1" si="105"/>
        <v>-1.6735462045625486E-2</v>
      </c>
    </row>
    <row r="6232" spans="6:7" x14ac:dyDescent="0.2">
      <c r="F6232" s="591">
        <v>6223</v>
      </c>
      <c r="G6232" s="420">
        <f t="shared" ca="1" si="105"/>
        <v>-4.0893097129370254E-2</v>
      </c>
    </row>
    <row r="6233" spans="6:7" x14ac:dyDescent="0.2">
      <c r="F6233" s="591">
        <v>6224</v>
      </c>
      <c r="G6233" s="420">
        <f t="shared" ca="1" si="105"/>
        <v>0.15849917365697525</v>
      </c>
    </row>
    <row r="6234" spans="6:7" x14ac:dyDescent="0.2">
      <c r="F6234" s="591">
        <v>6225</v>
      </c>
      <c r="G6234" s="420">
        <f t="shared" ca="1" si="105"/>
        <v>2.6337105994820677E-2</v>
      </c>
    </row>
    <row r="6235" spans="6:7" x14ac:dyDescent="0.2">
      <c r="F6235" s="591">
        <v>6226</v>
      </c>
      <c r="G6235" s="420">
        <f t="shared" ca="1" si="105"/>
        <v>-6.4653492602874521E-2</v>
      </c>
    </row>
    <row r="6236" spans="6:7" x14ac:dyDescent="0.2">
      <c r="F6236" s="591">
        <v>6227</v>
      </c>
      <c r="G6236" s="420">
        <f t="shared" ca="1" si="105"/>
        <v>-5.0196717799408458E-2</v>
      </c>
    </row>
    <row r="6237" spans="6:7" x14ac:dyDescent="0.2">
      <c r="F6237" s="591">
        <v>6228</v>
      </c>
      <c r="G6237" s="420">
        <f t="shared" ca="1" si="105"/>
        <v>2.3326320735755583E-2</v>
      </c>
    </row>
    <row r="6238" spans="6:7" x14ac:dyDescent="0.2">
      <c r="F6238" s="591">
        <v>6229</v>
      </c>
      <c r="G6238" s="420">
        <f t="shared" ca="1" si="105"/>
        <v>3.9984049267920818E-2</v>
      </c>
    </row>
    <row r="6239" spans="6:7" x14ac:dyDescent="0.2">
      <c r="F6239" s="591">
        <v>6230</v>
      </c>
      <c r="G6239" s="420">
        <f t="shared" ca="1" si="105"/>
        <v>0.19678362748758177</v>
      </c>
    </row>
    <row r="6240" spans="6:7" x14ac:dyDescent="0.2">
      <c r="F6240" s="591">
        <v>6231</v>
      </c>
      <c r="G6240" s="420">
        <f t="shared" ca="1" si="105"/>
        <v>-0.11498589083418993</v>
      </c>
    </row>
    <row r="6241" spans="6:7" x14ac:dyDescent="0.2">
      <c r="F6241" s="591">
        <v>6232</v>
      </c>
      <c r="G6241" s="420">
        <f t="shared" ca="1" si="105"/>
        <v>3.5523031894952782E-2</v>
      </c>
    </row>
    <row r="6242" spans="6:7" x14ac:dyDescent="0.2">
      <c r="F6242" s="591">
        <v>6233</v>
      </c>
      <c r="G6242" s="420">
        <f t="shared" ca="1" si="105"/>
        <v>3.8400050142207251E-2</v>
      </c>
    </row>
    <row r="6243" spans="6:7" x14ac:dyDescent="0.2">
      <c r="F6243" s="591">
        <v>6234</v>
      </c>
      <c r="G6243" s="420">
        <f t="shared" ca="1" si="105"/>
        <v>1.1013631236092041E-2</v>
      </c>
    </row>
    <row r="6244" spans="6:7" x14ac:dyDescent="0.2">
      <c r="F6244" s="591">
        <v>6235</v>
      </c>
      <c r="G6244" s="420">
        <f t="shared" ca="1" si="105"/>
        <v>-0.16416648660981586</v>
      </c>
    </row>
    <row r="6245" spans="6:7" x14ac:dyDescent="0.2">
      <c r="F6245" s="591">
        <v>6236</v>
      </c>
      <c r="G6245" s="420">
        <f t="shared" ca="1" si="105"/>
        <v>4.2794826551539348E-3</v>
      </c>
    </row>
    <row r="6246" spans="6:7" x14ac:dyDescent="0.2">
      <c r="F6246" s="591">
        <v>6237</v>
      </c>
      <c r="G6246" s="420">
        <f t="shared" ca="1" si="105"/>
        <v>-4.6618835476672726E-2</v>
      </c>
    </row>
    <row r="6247" spans="6:7" x14ac:dyDescent="0.2">
      <c r="F6247" s="591">
        <v>6238</v>
      </c>
      <c r="G6247" s="420">
        <f t="shared" ca="1" si="105"/>
        <v>-6.901876662684156E-2</v>
      </c>
    </row>
    <row r="6248" spans="6:7" x14ac:dyDescent="0.2">
      <c r="F6248" s="591">
        <v>6239</v>
      </c>
      <c r="G6248" s="420">
        <f t="shared" ca="1" si="105"/>
        <v>-4.3625799230936832E-2</v>
      </c>
    </row>
    <row r="6249" spans="6:7" x14ac:dyDescent="0.2">
      <c r="F6249" s="591">
        <v>6240</v>
      </c>
      <c r="G6249" s="420">
        <f t="shared" ca="1" si="105"/>
        <v>2.5381489581170095E-2</v>
      </c>
    </row>
    <row r="6250" spans="6:7" x14ac:dyDescent="0.2">
      <c r="F6250" s="591">
        <v>6241</v>
      </c>
      <c r="G6250" s="420">
        <f t="shared" ca="1" si="105"/>
        <v>0.17361871708195178</v>
      </c>
    </row>
    <row r="6251" spans="6:7" x14ac:dyDescent="0.2">
      <c r="F6251" s="591">
        <v>6242</v>
      </c>
      <c r="G6251" s="420">
        <f t="shared" ca="1" si="105"/>
        <v>-0.10000121595619887</v>
      </c>
    </row>
    <row r="6252" spans="6:7" x14ac:dyDescent="0.2">
      <c r="F6252" s="591">
        <v>6243</v>
      </c>
      <c r="G6252" s="420">
        <f t="shared" ca="1" si="105"/>
        <v>-1.6342088801838527E-2</v>
      </c>
    </row>
    <row r="6253" spans="6:7" x14ac:dyDescent="0.2">
      <c r="F6253" s="591">
        <v>6244</v>
      </c>
      <c r="G6253" s="420">
        <f t="shared" ca="1" si="105"/>
        <v>8.3095285902733303E-3</v>
      </c>
    </row>
    <row r="6254" spans="6:7" x14ac:dyDescent="0.2">
      <c r="F6254" s="591">
        <v>6245</v>
      </c>
      <c r="G6254" s="420">
        <f t="shared" ca="1" si="105"/>
        <v>7.3740637741513224E-2</v>
      </c>
    </row>
    <row r="6255" spans="6:7" x14ac:dyDescent="0.2">
      <c r="F6255" s="591">
        <v>6246</v>
      </c>
      <c r="G6255" s="420">
        <f t="shared" ca="1" si="105"/>
        <v>-1.2662567122493865E-2</v>
      </c>
    </row>
    <row r="6256" spans="6:7" x14ac:dyDescent="0.2">
      <c r="F6256" s="591">
        <v>6247</v>
      </c>
      <c r="G6256" s="420">
        <f t="shared" ca="1" si="105"/>
        <v>-8.3498097934297619E-2</v>
      </c>
    </row>
    <row r="6257" spans="6:7" x14ac:dyDescent="0.2">
      <c r="F6257" s="591">
        <v>6248</v>
      </c>
      <c r="G6257" s="420">
        <f t="shared" ca="1" si="105"/>
        <v>-5.8540287860240417E-3</v>
      </c>
    </row>
    <row r="6258" spans="6:7" x14ac:dyDescent="0.2">
      <c r="F6258" s="591">
        <v>6249</v>
      </c>
      <c r="G6258" s="420">
        <f t="shared" ca="1" si="105"/>
        <v>-2.6649000383086405E-2</v>
      </c>
    </row>
    <row r="6259" spans="6:7" x14ac:dyDescent="0.2">
      <c r="F6259" s="591">
        <v>6250</v>
      </c>
      <c r="G6259" s="420">
        <f t="shared" ca="1" si="105"/>
        <v>7.8056765846416278E-4</v>
      </c>
    </row>
    <row r="6260" spans="6:7" x14ac:dyDescent="0.2">
      <c r="F6260" s="591">
        <v>6251</v>
      </c>
      <c r="G6260" s="420">
        <f t="shared" ca="1" si="105"/>
        <v>5.915357440919633E-2</v>
      </c>
    </row>
    <row r="6261" spans="6:7" x14ac:dyDescent="0.2">
      <c r="F6261" s="591">
        <v>6252</v>
      </c>
      <c r="G6261" s="420">
        <f t="shared" ca="1" si="105"/>
        <v>-5.2035618853405227E-2</v>
      </c>
    </row>
    <row r="6262" spans="6:7" x14ac:dyDescent="0.2">
      <c r="F6262" s="591">
        <v>6253</v>
      </c>
      <c r="G6262" s="420">
        <f t="shared" ca="1" si="105"/>
        <v>-0.13798107661076658</v>
      </c>
    </row>
    <row r="6263" spans="6:7" x14ac:dyDescent="0.2">
      <c r="F6263" s="591">
        <v>6254</v>
      </c>
      <c r="G6263" s="420">
        <f t="shared" ca="1" si="105"/>
        <v>-1.8204217160864854E-2</v>
      </c>
    </row>
    <row r="6264" spans="6:7" x14ac:dyDescent="0.2">
      <c r="F6264" s="591">
        <v>6255</v>
      </c>
      <c r="G6264" s="420">
        <f t="shared" ca="1" si="105"/>
        <v>-1.7759670547956907E-2</v>
      </c>
    </row>
    <row r="6265" spans="6:7" x14ac:dyDescent="0.2">
      <c r="F6265" s="591">
        <v>6256</v>
      </c>
      <c r="G6265" s="420">
        <f t="shared" ca="1" si="105"/>
        <v>1.0676490249022187E-2</v>
      </c>
    </row>
    <row r="6266" spans="6:7" x14ac:dyDescent="0.2">
      <c r="F6266" s="591">
        <v>6257</v>
      </c>
      <c r="G6266" s="420">
        <f t="shared" ca="1" si="105"/>
        <v>0.17666057313150818</v>
      </c>
    </row>
    <row r="6267" spans="6:7" x14ac:dyDescent="0.2">
      <c r="F6267" s="591">
        <v>6258</v>
      </c>
      <c r="G6267" s="420">
        <f t="shared" ca="1" si="105"/>
        <v>-3.5251841400833664E-2</v>
      </c>
    </row>
    <row r="6268" spans="6:7" x14ac:dyDescent="0.2">
      <c r="F6268" s="591">
        <v>6259</v>
      </c>
      <c r="G6268" s="420">
        <f t="shared" ca="1" si="105"/>
        <v>-8.0924135128749408E-2</v>
      </c>
    </row>
    <row r="6269" spans="6:7" x14ac:dyDescent="0.2">
      <c r="F6269" s="591">
        <v>6260</v>
      </c>
      <c r="G6269" s="420">
        <f t="shared" ca="1" si="105"/>
        <v>-1.8202989938804696E-2</v>
      </c>
    </row>
    <row r="6270" spans="6:7" x14ac:dyDescent="0.2">
      <c r="F6270" s="591">
        <v>6261</v>
      </c>
      <c r="G6270" s="420">
        <f t="shared" ca="1" si="105"/>
        <v>1.7015862983138882E-2</v>
      </c>
    </row>
    <row r="6271" spans="6:7" x14ac:dyDescent="0.2">
      <c r="F6271" s="591">
        <v>6262</v>
      </c>
      <c r="G6271" s="420">
        <f t="shared" ca="1" si="105"/>
        <v>-4.5641973784855419E-2</v>
      </c>
    </row>
    <row r="6272" spans="6:7" x14ac:dyDescent="0.2">
      <c r="F6272" s="591">
        <v>6263</v>
      </c>
      <c r="G6272" s="420">
        <f t="shared" ca="1" si="105"/>
        <v>-3.5152272143982824E-2</v>
      </c>
    </row>
    <row r="6273" spans="6:7" x14ac:dyDescent="0.2">
      <c r="F6273" s="591">
        <v>6264</v>
      </c>
      <c r="G6273" s="420">
        <f t="shared" ca="1" si="105"/>
        <v>7.353441284127675E-2</v>
      </c>
    </row>
    <row r="6274" spans="6:7" x14ac:dyDescent="0.2">
      <c r="F6274" s="591">
        <v>6265</v>
      </c>
      <c r="G6274" s="420">
        <f t="shared" ca="1" si="105"/>
        <v>1.995226219935553E-2</v>
      </c>
    </row>
    <row r="6275" spans="6:7" x14ac:dyDescent="0.2">
      <c r="F6275" s="591">
        <v>6266</v>
      </c>
      <c r="G6275" s="420">
        <f t="shared" ca="1" si="105"/>
        <v>5.3499079660478182E-3</v>
      </c>
    </row>
    <row r="6276" spans="6:7" x14ac:dyDescent="0.2">
      <c r="F6276" s="591">
        <v>6267</v>
      </c>
      <c r="G6276" s="420">
        <f t="shared" ca="1" si="105"/>
        <v>1.3679088310542089E-2</v>
      </c>
    </row>
    <row r="6277" spans="6:7" x14ac:dyDescent="0.2">
      <c r="F6277" s="591">
        <v>6268</v>
      </c>
      <c r="G6277" s="420">
        <f t="shared" ca="1" si="105"/>
        <v>7.4347543000598801E-2</v>
      </c>
    </row>
    <row r="6278" spans="6:7" x14ac:dyDescent="0.2">
      <c r="F6278" s="591">
        <v>6269</v>
      </c>
      <c r="G6278" s="420">
        <f t="shared" ca="1" si="105"/>
        <v>-6.4532810840797261E-2</v>
      </c>
    </row>
    <row r="6279" spans="6:7" x14ac:dyDescent="0.2">
      <c r="F6279" s="591">
        <v>6270</v>
      </c>
      <c r="G6279" s="420">
        <f t="shared" ca="1" si="105"/>
        <v>9.1459710731180574E-2</v>
      </c>
    </row>
    <row r="6280" spans="6:7" x14ac:dyDescent="0.2">
      <c r="F6280" s="591">
        <v>6271</v>
      </c>
      <c r="G6280" s="420">
        <f t="shared" ca="1" si="105"/>
        <v>3.8261633578253115E-3</v>
      </c>
    </row>
    <row r="6281" spans="6:7" x14ac:dyDescent="0.2">
      <c r="F6281" s="591">
        <v>6272</v>
      </c>
      <c r="G6281" s="420">
        <f t="shared" ca="1" si="105"/>
        <v>-4.5671659947645382E-2</v>
      </c>
    </row>
    <row r="6282" spans="6:7" x14ac:dyDescent="0.2">
      <c r="F6282" s="591">
        <v>6273</v>
      </c>
      <c r="G6282" s="420">
        <f t="shared" ca="1" si="105"/>
        <v>2.246855131439935E-2</v>
      </c>
    </row>
    <row r="6283" spans="6:7" x14ac:dyDescent="0.2">
      <c r="F6283" s="591">
        <v>6274</v>
      </c>
      <c r="G6283" s="420">
        <f t="shared" ref="G6283:G6346" ca="1" si="106">_xlfn.NORM.INV(RAND(), $M$11,$M$12)</f>
        <v>0.14523160537682325</v>
      </c>
    </row>
    <row r="6284" spans="6:7" x14ac:dyDescent="0.2">
      <c r="F6284" s="591">
        <v>6275</v>
      </c>
      <c r="G6284" s="420">
        <f t="shared" ca="1" si="106"/>
        <v>9.1068563225671209E-2</v>
      </c>
    </row>
    <row r="6285" spans="6:7" x14ac:dyDescent="0.2">
      <c r="F6285" s="591">
        <v>6276</v>
      </c>
      <c r="G6285" s="420">
        <f t="shared" ca="1" si="106"/>
        <v>-6.3776874472622883E-2</v>
      </c>
    </row>
    <row r="6286" spans="6:7" x14ac:dyDescent="0.2">
      <c r="F6286" s="591">
        <v>6277</v>
      </c>
      <c r="G6286" s="420">
        <f t="shared" ca="1" si="106"/>
        <v>8.9044937977023925E-2</v>
      </c>
    </row>
    <row r="6287" spans="6:7" x14ac:dyDescent="0.2">
      <c r="F6287" s="591">
        <v>6278</v>
      </c>
      <c r="G6287" s="420">
        <f t="shared" ca="1" si="106"/>
        <v>-7.3816594575445635E-3</v>
      </c>
    </row>
    <row r="6288" spans="6:7" x14ac:dyDescent="0.2">
      <c r="F6288" s="591">
        <v>6279</v>
      </c>
      <c r="G6288" s="420">
        <f t="shared" ca="1" si="106"/>
        <v>8.8520180826092296E-2</v>
      </c>
    </row>
    <row r="6289" spans="6:7" x14ac:dyDescent="0.2">
      <c r="F6289" s="591">
        <v>6280</v>
      </c>
      <c r="G6289" s="420">
        <f t="shared" ca="1" si="106"/>
        <v>-0.14459227972359004</v>
      </c>
    </row>
    <row r="6290" spans="6:7" x14ac:dyDescent="0.2">
      <c r="F6290" s="591">
        <v>6281</v>
      </c>
      <c r="G6290" s="420">
        <f t="shared" ca="1" si="106"/>
        <v>-6.6361961478960035E-2</v>
      </c>
    </row>
    <row r="6291" spans="6:7" x14ac:dyDescent="0.2">
      <c r="F6291" s="591">
        <v>6282</v>
      </c>
      <c r="G6291" s="420">
        <f t="shared" ca="1" si="106"/>
        <v>-4.8412684983360446E-2</v>
      </c>
    </row>
    <row r="6292" spans="6:7" x14ac:dyDescent="0.2">
      <c r="F6292" s="591">
        <v>6283</v>
      </c>
      <c r="G6292" s="420">
        <f t="shared" ca="1" si="106"/>
        <v>-6.7803414891508942E-2</v>
      </c>
    </row>
    <row r="6293" spans="6:7" x14ac:dyDescent="0.2">
      <c r="F6293" s="591">
        <v>6284</v>
      </c>
      <c r="G6293" s="420">
        <f t="shared" ca="1" si="106"/>
        <v>9.7838533382513353E-3</v>
      </c>
    </row>
    <row r="6294" spans="6:7" x14ac:dyDescent="0.2">
      <c r="F6294" s="591">
        <v>6285</v>
      </c>
      <c r="G6294" s="420">
        <f t="shared" ca="1" si="106"/>
        <v>8.3066178454811776E-2</v>
      </c>
    </row>
    <row r="6295" spans="6:7" x14ac:dyDescent="0.2">
      <c r="F6295" s="591">
        <v>6286</v>
      </c>
      <c r="G6295" s="420">
        <f t="shared" ca="1" si="106"/>
        <v>-1.3771866722272187E-2</v>
      </c>
    </row>
    <row r="6296" spans="6:7" x14ac:dyDescent="0.2">
      <c r="F6296" s="591">
        <v>6287</v>
      </c>
      <c r="G6296" s="420">
        <f t="shared" ca="1" si="106"/>
        <v>6.8531585562842806E-2</v>
      </c>
    </row>
    <row r="6297" spans="6:7" x14ac:dyDescent="0.2">
      <c r="F6297" s="591">
        <v>6288</v>
      </c>
      <c r="G6297" s="420">
        <f t="shared" ca="1" si="106"/>
        <v>-1.8165237123338639E-2</v>
      </c>
    </row>
    <row r="6298" spans="6:7" x14ac:dyDescent="0.2">
      <c r="F6298" s="591">
        <v>6289</v>
      </c>
      <c r="G6298" s="420">
        <f t="shared" ca="1" si="106"/>
        <v>-1.7995705117573875E-2</v>
      </c>
    </row>
    <row r="6299" spans="6:7" x14ac:dyDescent="0.2">
      <c r="F6299" s="591">
        <v>6290</v>
      </c>
      <c r="G6299" s="420">
        <f t="shared" ca="1" si="106"/>
        <v>-2.5302969220788004E-2</v>
      </c>
    </row>
    <row r="6300" spans="6:7" x14ac:dyDescent="0.2">
      <c r="F6300" s="591">
        <v>6291</v>
      </c>
      <c r="G6300" s="420">
        <f t="shared" ca="1" si="106"/>
        <v>-1.3711991743801225E-2</v>
      </c>
    </row>
    <row r="6301" spans="6:7" x14ac:dyDescent="0.2">
      <c r="F6301" s="591">
        <v>6292</v>
      </c>
      <c r="G6301" s="420">
        <f t="shared" ca="1" si="106"/>
        <v>1.1138519150904962E-2</v>
      </c>
    </row>
    <row r="6302" spans="6:7" x14ac:dyDescent="0.2">
      <c r="F6302" s="591">
        <v>6293</v>
      </c>
      <c r="G6302" s="420">
        <f t="shared" ca="1" si="106"/>
        <v>-9.0057999268174718E-3</v>
      </c>
    </row>
    <row r="6303" spans="6:7" x14ac:dyDescent="0.2">
      <c r="F6303" s="591">
        <v>6294</v>
      </c>
      <c r="G6303" s="420">
        <f t="shared" ca="1" si="106"/>
        <v>6.4158874199538155E-2</v>
      </c>
    </row>
    <row r="6304" spans="6:7" x14ac:dyDescent="0.2">
      <c r="F6304" s="591">
        <v>6295</v>
      </c>
      <c r="G6304" s="420">
        <f t="shared" ca="1" si="106"/>
        <v>8.845359237056373E-2</v>
      </c>
    </row>
    <row r="6305" spans="6:7" x14ac:dyDescent="0.2">
      <c r="F6305" s="591">
        <v>6296</v>
      </c>
      <c r="G6305" s="420">
        <f t="shared" ca="1" si="106"/>
        <v>5.7486328718404464E-2</v>
      </c>
    </row>
    <row r="6306" spans="6:7" x14ac:dyDescent="0.2">
      <c r="F6306" s="591">
        <v>6297</v>
      </c>
      <c r="G6306" s="420">
        <f t="shared" ca="1" si="106"/>
        <v>9.9655938012331233E-2</v>
      </c>
    </row>
    <row r="6307" spans="6:7" x14ac:dyDescent="0.2">
      <c r="F6307" s="591">
        <v>6298</v>
      </c>
      <c r="G6307" s="420">
        <f t="shared" ca="1" si="106"/>
        <v>6.8720911319393674E-2</v>
      </c>
    </row>
    <row r="6308" spans="6:7" x14ac:dyDescent="0.2">
      <c r="F6308" s="591">
        <v>6299</v>
      </c>
      <c r="G6308" s="420">
        <f t="shared" ca="1" si="106"/>
        <v>-5.2085558639360832E-2</v>
      </c>
    </row>
    <row r="6309" spans="6:7" x14ac:dyDescent="0.2">
      <c r="F6309" s="591">
        <v>6300</v>
      </c>
      <c r="G6309" s="420">
        <f t="shared" ca="1" si="106"/>
        <v>-5.0170044487567636E-2</v>
      </c>
    </row>
    <row r="6310" spans="6:7" x14ac:dyDescent="0.2">
      <c r="F6310" s="591">
        <v>6301</v>
      </c>
      <c r="G6310" s="420">
        <f t="shared" ca="1" si="106"/>
        <v>-7.8592562035305721E-2</v>
      </c>
    </row>
    <row r="6311" spans="6:7" x14ac:dyDescent="0.2">
      <c r="F6311" s="591">
        <v>6302</v>
      </c>
      <c r="G6311" s="420">
        <f t="shared" ca="1" si="106"/>
        <v>-1.0440036547586996E-2</v>
      </c>
    </row>
    <row r="6312" spans="6:7" x14ac:dyDescent="0.2">
      <c r="F6312" s="591">
        <v>6303</v>
      </c>
      <c r="G6312" s="420">
        <f t="shared" ca="1" si="106"/>
        <v>8.3546248722859595E-2</v>
      </c>
    </row>
    <row r="6313" spans="6:7" x14ac:dyDescent="0.2">
      <c r="F6313" s="591">
        <v>6304</v>
      </c>
      <c r="G6313" s="420">
        <f t="shared" ca="1" si="106"/>
        <v>3.1138491250768268E-2</v>
      </c>
    </row>
    <row r="6314" spans="6:7" x14ac:dyDescent="0.2">
      <c r="F6314" s="591">
        <v>6305</v>
      </c>
      <c r="G6314" s="420">
        <f t="shared" ca="1" si="106"/>
        <v>3.4953895204653009E-3</v>
      </c>
    </row>
    <row r="6315" spans="6:7" x14ac:dyDescent="0.2">
      <c r="F6315" s="591">
        <v>6306</v>
      </c>
      <c r="G6315" s="420">
        <f t="shared" ca="1" si="106"/>
        <v>1.7479613593719932E-2</v>
      </c>
    </row>
    <row r="6316" spans="6:7" x14ac:dyDescent="0.2">
      <c r="F6316" s="591">
        <v>6307</v>
      </c>
      <c r="G6316" s="420">
        <f t="shared" ca="1" si="106"/>
        <v>-9.2681812902256452E-2</v>
      </c>
    </row>
    <row r="6317" spans="6:7" x14ac:dyDescent="0.2">
      <c r="F6317" s="591">
        <v>6308</v>
      </c>
      <c r="G6317" s="420">
        <f t="shared" ca="1" si="106"/>
        <v>4.5332989078205779E-2</v>
      </c>
    </row>
    <row r="6318" spans="6:7" x14ac:dyDescent="0.2">
      <c r="F6318" s="591">
        <v>6309</v>
      </c>
      <c r="G6318" s="420">
        <f t="shared" ca="1" si="106"/>
        <v>5.1964639799988818E-2</v>
      </c>
    </row>
    <row r="6319" spans="6:7" x14ac:dyDescent="0.2">
      <c r="F6319" s="591">
        <v>6310</v>
      </c>
      <c r="G6319" s="420">
        <f t="shared" ca="1" si="106"/>
        <v>0.11654125795486497</v>
      </c>
    </row>
    <row r="6320" spans="6:7" x14ac:dyDescent="0.2">
      <c r="F6320" s="591">
        <v>6311</v>
      </c>
      <c r="G6320" s="420">
        <f t="shared" ca="1" si="106"/>
        <v>2.6865843184124848E-2</v>
      </c>
    </row>
    <row r="6321" spans="6:7" x14ac:dyDescent="0.2">
      <c r="F6321" s="591">
        <v>6312</v>
      </c>
      <c r="G6321" s="420">
        <f t="shared" ca="1" si="106"/>
        <v>4.4037484675970004E-2</v>
      </c>
    </row>
    <row r="6322" spans="6:7" x14ac:dyDescent="0.2">
      <c r="F6322" s="591">
        <v>6313</v>
      </c>
      <c r="G6322" s="420">
        <f t="shared" ca="1" si="106"/>
        <v>-6.1794420855025678E-2</v>
      </c>
    </row>
    <row r="6323" spans="6:7" x14ac:dyDescent="0.2">
      <c r="F6323" s="591">
        <v>6314</v>
      </c>
      <c r="G6323" s="420">
        <f t="shared" ca="1" si="106"/>
        <v>-3.3901929834301736E-2</v>
      </c>
    </row>
    <row r="6324" spans="6:7" x14ac:dyDescent="0.2">
      <c r="F6324" s="591">
        <v>6315</v>
      </c>
      <c r="G6324" s="420">
        <f t="shared" ca="1" si="106"/>
        <v>-0.15615058332210968</v>
      </c>
    </row>
    <row r="6325" spans="6:7" x14ac:dyDescent="0.2">
      <c r="F6325" s="591">
        <v>6316</v>
      </c>
      <c r="G6325" s="420">
        <f t="shared" ca="1" si="106"/>
        <v>-7.649228345650444E-2</v>
      </c>
    </row>
    <row r="6326" spans="6:7" x14ac:dyDescent="0.2">
      <c r="F6326" s="591">
        <v>6317</v>
      </c>
      <c r="G6326" s="420">
        <f t="shared" ca="1" si="106"/>
        <v>-2.6278156229422856E-2</v>
      </c>
    </row>
    <row r="6327" spans="6:7" x14ac:dyDescent="0.2">
      <c r="F6327" s="591">
        <v>6318</v>
      </c>
      <c r="G6327" s="420">
        <f t="shared" ca="1" si="106"/>
        <v>-5.2741456631890705E-3</v>
      </c>
    </row>
    <row r="6328" spans="6:7" x14ac:dyDescent="0.2">
      <c r="F6328" s="591">
        <v>6319</v>
      </c>
      <c r="G6328" s="420">
        <f t="shared" ca="1" si="106"/>
        <v>3.7829848706852475E-3</v>
      </c>
    </row>
    <row r="6329" spans="6:7" x14ac:dyDescent="0.2">
      <c r="F6329" s="591">
        <v>6320</v>
      </c>
      <c r="G6329" s="420">
        <f t="shared" ca="1" si="106"/>
        <v>5.2475332895863896E-2</v>
      </c>
    </row>
    <row r="6330" spans="6:7" x14ac:dyDescent="0.2">
      <c r="F6330" s="591">
        <v>6321</v>
      </c>
      <c r="G6330" s="420">
        <f t="shared" ca="1" si="106"/>
        <v>-0.13865265312866101</v>
      </c>
    </row>
    <row r="6331" spans="6:7" x14ac:dyDescent="0.2">
      <c r="F6331" s="591">
        <v>6322</v>
      </c>
      <c r="G6331" s="420">
        <f t="shared" ca="1" si="106"/>
        <v>-0.19709297772738954</v>
      </c>
    </row>
    <row r="6332" spans="6:7" x14ac:dyDescent="0.2">
      <c r="F6332" s="591">
        <v>6323</v>
      </c>
      <c r="G6332" s="420">
        <f t="shared" ca="1" si="106"/>
        <v>-4.568290831122454E-2</v>
      </c>
    </row>
    <row r="6333" spans="6:7" x14ac:dyDescent="0.2">
      <c r="F6333" s="591">
        <v>6324</v>
      </c>
      <c r="G6333" s="420">
        <f t="shared" ca="1" si="106"/>
        <v>4.3192522440963249E-2</v>
      </c>
    </row>
    <row r="6334" spans="6:7" x14ac:dyDescent="0.2">
      <c r="F6334" s="591">
        <v>6325</v>
      </c>
      <c r="G6334" s="420">
        <f t="shared" ca="1" si="106"/>
        <v>-3.8480198075395693E-3</v>
      </c>
    </row>
    <row r="6335" spans="6:7" x14ac:dyDescent="0.2">
      <c r="F6335" s="591">
        <v>6326</v>
      </c>
      <c r="G6335" s="420">
        <f t="shared" ca="1" si="106"/>
        <v>1.2214193011695613E-2</v>
      </c>
    </row>
    <row r="6336" spans="6:7" x14ac:dyDescent="0.2">
      <c r="F6336" s="591">
        <v>6327</v>
      </c>
      <c r="G6336" s="420">
        <f t="shared" ca="1" si="106"/>
        <v>-1.4962371170673325E-3</v>
      </c>
    </row>
    <row r="6337" spans="6:7" x14ac:dyDescent="0.2">
      <c r="F6337" s="591">
        <v>6328</v>
      </c>
      <c r="G6337" s="420">
        <f t="shared" ca="1" si="106"/>
        <v>-7.4944889222453695E-2</v>
      </c>
    </row>
    <row r="6338" spans="6:7" x14ac:dyDescent="0.2">
      <c r="F6338" s="591">
        <v>6329</v>
      </c>
      <c r="G6338" s="420">
        <f t="shared" ca="1" si="106"/>
        <v>-5.9171866067138465E-2</v>
      </c>
    </row>
    <row r="6339" spans="6:7" x14ac:dyDescent="0.2">
      <c r="F6339" s="591">
        <v>6330</v>
      </c>
      <c r="G6339" s="420">
        <f t="shared" ca="1" si="106"/>
        <v>7.3119351583379608E-2</v>
      </c>
    </row>
    <row r="6340" spans="6:7" x14ac:dyDescent="0.2">
      <c r="F6340" s="591">
        <v>6331</v>
      </c>
      <c r="G6340" s="420">
        <f t="shared" ca="1" si="106"/>
        <v>-3.9646151415650588E-2</v>
      </c>
    </row>
    <row r="6341" spans="6:7" x14ac:dyDescent="0.2">
      <c r="F6341" s="591">
        <v>6332</v>
      </c>
      <c r="G6341" s="420">
        <f t="shared" ca="1" si="106"/>
        <v>-3.4037617341435122E-2</v>
      </c>
    </row>
    <row r="6342" spans="6:7" x14ac:dyDescent="0.2">
      <c r="F6342" s="591">
        <v>6333</v>
      </c>
      <c r="G6342" s="420">
        <f t="shared" ca="1" si="106"/>
        <v>0.11057695585415071</v>
      </c>
    </row>
    <row r="6343" spans="6:7" x14ac:dyDescent="0.2">
      <c r="F6343" s="591">
        <v>6334</v>
      </c>
      <c r="G6343" s="420">
        <f t="shared" ca="1" si="106"/>
        <v>3.4149943459316434E-2</v>
      </c>
    </row>
    <row r="6344" spans="6:7" x14ac:dyDescent="0.2">
      <c r="F6344" s="591">
        <v>6335</v>
      </c>
      <c r="G6344" s="420">
        <f t="shared" ca="1" si="106"/>
        <v>-2.3539351533821001E-3</v>
      </c>
    </row>
    <row r="6345" spans="6:7" x14ac:dyDescent="0.2">
      <c r="F6345" s="591">
        <v>6336</v>
      </c>
      <c r="G6345" s="420">
        <f t="shared" ca="1" si="106"/>
        <v>2.3642999903482807E-2</v>
      </c>
    </row>
    <row r="6346" spans="6:7" x14ac:dyDescent="0.2">
      <c r="F6346" s="591">
        <v>6337</v>
      </c>
      <c r="G6346" s="420">
        <f t="shared" ca="1" si="106"/>
        <v>2.6636508436729368E-2</v>
      </c>
    </row>
    <row r="6347" spans="6:7" x14ac:dyDescent="0.2">
      <c r="F6347" s="591">
        <v>6338</v>
      </c>
      <c r="G6347" s="420">
        <f t="shared" ref="G6347:G6410" ca="1" si="107">_xlfn.NORM.INV(RAND(), $M$11,$M$12)</f>
        <v>4.6087730409228853E-2</v>
      </c>
    </row>
    <row r="6348" spans="6:7" x14ac:dyDescent="0.2">
      <c r="F6348" s="591">
        <v>6339</v>
      </c>
      <c r="G6348" s="420">
        <f t="shared" ca="1" si="107"/>
        <v>1.7972708812218588E-2</v>
      </c>
    </row>
    <row r="6349" spans="6:7" x14ac:dyDescent="0.2">
      <c r="F6349" s="591">
        <v>6340</v>
      </c>
      <c r="G6349" s="420">
        <f t="shared" ca="1" si="107"/>
        <v>1.3886953698945506E-2</v>
      </c>
    </row>
    <row r="6350" spans="6:7" x14ac:dyDescent="0.2">
      <c r="F6350" s="591">
        <v>6341</v>
      </c>
      <c r="G6350" s="420">
        <f t="shared" ca="1" si="107"/>
        <v>4.9718440561676916E-2</v>
      </c>
    </row>
    <row r="6351" spans="6:7" x14ac:dyDescent="0.2">
      <c r="F6351" s="591">
        <v>6342</v>
      </c>
      <c r="G6351" s="420">
        <f t="shared" ca="1" si="107"/>
        <v>-5.8775721165606476E-2</v>
      </c>
    </row>
    <row r="6352" spans="6:7" x14ac:dyDescent="0.2">
      <c r="F6352" s="591">
        <v>6343</v>
      </c>
      <c r="G6352" s="420">
        <f t="shared" ca="1" si="107"/>
        <v>-3.0319136382521952E-2</v>
      </c>
    </row>
    <row r="6353" spans="6:7" x14ac:dyDescent="0.2">
      <c r="F6353" s="591">
        <v>6344</v>
      </c>
      <c r="G6353" s="420">
        <f t="shared" ca="1" si="107"/>
        <v>1.2642041842274901E-2</v>
      </c>
    </row>
    <row r="6354" spans="6:7" x14ac:dyDescent="0.2">
      <c r="F6354" s="591">
        <v>6345</v>
      </c>
      <c r="G6354" s="420">
        <f t="shared" ca="1" si="107"/>
        <v>4.8742953079551482E-3</v>
      </c>
    </row>
    <row r="6355" spans="6:7" x14ac:dyDescent="0.2">
      <c r="F6355" s="591">
        <v>6346</v>
      </c>
      <c r="G6355" s="420">
        <f t="shared" ca="1" si="107"/>
        <v>-3.5881413857920527E-2</v>
      </c>
    </row>
    <row r="6356" spans="6:7" x14ac:dyDescent="0.2">
      <c r="F6356" s="591">
        <v>6347</v>
      </c>
      <c r="G6356" s="420">
        <f t="shared" ca="1" si="107"/>
        <v>3.2795300089919384E-3</v>
      </c>
    </row>
    <row r="6357" spans="6:7" x14ac:dyDescent="0.2">
      <c r="F6357" s="591">
        <v>6348</v>
      </c>
      <c r="G6357" s="420">
        <f t="shared" ca="1" si="107"/>
        <v>-4.5331755143683317E-2</v>
      </c>
    </row>
    <row r="6358" spans="6:7" x14ac:dyDescent="0.2">
      <c r="F6358" s="591">
        <v>6349</v>
      </c>
      <c r="G6358" s="420">
        <f t="shared" ca="1" si="107"/>
        <v>-0.13978756328568404</v>
      </c>
    </row>
    <row r="6359" spans="6:7" x14ac:dyDescent="0.2">
      <c r="F6359" s="591">
        <v>6350</v>
      </c>
      <c r="G6359" s="420">
        <f t="shared" ca="1" si="107"/>
        <v>2.8943702310972461E-2</v>
      </c>
    </row>
    <row r="6360" spans="6:7" x14ac:dyDescent="0.2">
      <c r="F6360" s="591">
        <v>6351</v>
      </c>
      <c r="G6360" s="420">
        <f t="shared" ca="1" si="107"/>
        <v>0.12219290765090972</v>
      </c>
    </row>
    <row r="6361" spans="6:7" x14ac:dyDescent="0.2">
      <c r="F6361" s="591">
        <v>6352</v>
      </c>
      <c r="G6361" s="420">
        <f t="shared" ca="1" si="107"/>
        <v>-2.1497633917686613E-2</v>
      </c>
    </row>
    <row r="6362" spans="6:7" x14ac:dyDescent="0.2">
      <c r="F6362" s="591">
        <v>6353</v>
      </c>
      <c r="G6362" s="420">
        <f t="shared" ca="1" si="107"/>
        <v>-9.9291620499701E-2</v>
      </c>
    </row>
    <row r="6363" spans="6:7" x14ac:dyDescent="0.2">
      <c r="F6363" s="591">
        <v>6354</v>
      </c>
      <c r="G6363" s="420">
        <f t="shared" ca="1" si="107"/>
        <v>-1.065240731578623E-2</v>
      </c>
    </row>
    <row r="6364" spans="6:7" x14ac:dyDescent="0.2">
      <c r="F6364" s="591">
        <v>6355</v>
      </c>
      <c r="G6364" s="420">
        <f t="shared" ca="1" si="107"/>
        <v>-1.8252505963681678E-2</v>
      </c>
    </row>
    <row r="6365" spans="6:7" x14ac:dyDescent="0.2">
      <c r="F6365" s="591">
        <v>6356</v>
      </c>
      <c r="G6365" s="420">
        <f t="shared" ca="1" si="107"/>
        <v>-0.13743092964184911</v>
      </c>
    </row>
    <row r="6366" spans="6:7" x14ac:dyDescent="0.2">
      <c r="F6366" s="591">
        <v>6357</v>
      </c>
      <c r="G6366" s="420">
        <f t="shared" ca="1" si="107"/>
        <v>-1.5744840587411262E-2</v>
      </c>
    </row>
    <row r="6367" spans="6:7" x14ac:dyDescent="0.2">
      <c r="F6367" s="591">
        <v>6358</v>
      </c>
      <c r="G6367" s="420">
        <f t="shared" ca="1" si="107"/>
        <v>0.13235810124287439</v>
      </c>
    </row>
    <row r="6368" spans="6:7" x14ac:dyDescent="0.2">
      <c r="F6368" s="591">
        <v>6359</v>
      </c>
      <c r="G6368" s="420">
        <f t="shared" ca="1" si="107"/>
        <v>-4.064746758130787E-2</v>
      </c>
    </row>
    <row r="6369" spans="6:7" x14ac:dyDescent="0.2">
      <c r="F6369" s="591">
        <v>6360</v>
      </c>
      <c r="G6369" s="420">
        <f t="shared" ca="1" si="107"/>
        <v>6.5851473796663243E-2</v>
      </c>
    </row>
    <row r="6370" spans="6:7" x14ac:dyDescent="0.2">
      <c r="F6370" s="591">
        <v>6361</v>
      </c>
      <c r="G6370" s="420">
        <f t="shared" ca="1" si="107"/>
        <v>-2.955243391391766E-3</v>
      </c>
    </row>
    <row r="6371" spans="6:7" x14ac:dyDescent="0.2">
      <c r="F6371" s="591">
        <v>6362</v>
      </c>
      <c r="G6371" s="420">
        <f t="shared" ca="1" si="107"/>
        <v>9.4364793105032499E-2</v>
      </c>
    </row>
    <row r="6372" spans="6:7" x14ac:dyDescent="0.2">
      <c r="F6372" s="591">
        <v>6363</v>
      </c>
      <c r="G6372" s="420">
        <f t="shared" ca="1" si="107"/>
        <v>8.967018142621094E-3</v>
      </c>
    </row>
    <row r="6373" spans="6:7" x14ac:dyDescent="0.2">
      <c r="F6373" s="591">
        <v>6364</v>
      </c>
      <c r="G6373" s="420">
        <f t="shared" ca="1" si="107"/>
        <v>-7.6501800258745173E-2</v>
      </c>
    </row>
    <row r="6374" spans="6:7" x14ac:dyDescent="0.2">
      <c r="F6374" s="591">
        <v>6365</v>
      </c>
      <c r="G6374" s="420">
        <f t="shared" ca="1" si="107"/>
        <v>3.5154586264159141E-2</v>
      </c>
    </row>
    <row r="6375" spans="6:7" x14ac:dyDescent="0.2">
      <c r="F6375" s="591">
        <v>6366</v>
      </c>
      <c r="G6375" s="420">
        <f t="shared" ca="1" si="107"/>
        <v>3.450900860667741E-2</v>
      </c>
    </row>
    <row r="6376" spans="6:7" x14ac:dyDescent="0.2">
      <c r="F6376" s="591">
        <v>6367</v>
      </c>
      <c r="G6376" s="420">
        <f t="shared" ca="1" si="107"/>
        <v>-0.10699369038432076</v>
      </c>
    </row>
    <row r="6377" spans="6:7" x14ac:dyDescent="0.2">
      <c r="F6377" s="591">
        <v>6368</v>
      </c>
      <c r="G6377" s="420">
        <f t="shared" ca="1" si="107"/>
        <v>-5.1649326059736211E-2</v>
      </c>
    </row>
    <row r="6378" spans="6:7" x14ac:dyDescent="0.2">
      <c r="F6378" s="591">
        <v>6369</v>
      </c>
      <c r="G6378" s="420">
        <f t="shared" ca="1" si="107"/>
        <v>-6.5407259166475717E-2</v>
      </c>
    </row>
    <row r="6379" spans="6:7" x14ac:dyDescent="0.2">
      <c r="F6379" s="591">
        <v>6370</v>
      </c>
      <c r="G6379" s="420">
        <f t="shared" ca="1" si="107"/>
        <v>2.790030720096557E-2</v>
      </c>
    </row>
    <row r="6380" spans="6:7" x14ac:dyDescent="0.2">
      <c r="F6380" s="591">
        <v>6371</v>
      </c>
      <c r="G6380" s="420">
        <f t="shared" ca="1" si="107"/>
        <v>-1.1512331526856694E-2</v>
      </c>
    </row>
    <row r="6381" spans="6:7" x14ac:dyDescent="0.2">
      <c r="F6381" s="591">
        <v>6372</v>
      </c>
      <c r="G6381" s="420">
        <f t="shared" ca="1" si="107"/>
        <v>1.9786404355810146E-2</v>
      </c>
    </row>
    <row r="6382" spans="6:7" x14ac:dyDescent="0.2">
      <c r="F6382" s="591">
        <v>6373</v>
      </c>
      <c r="G6382" s="420">
        <f t="shared" ca="1" si="107"/>
        <v>-0.13324997505271452</v>
      </c>
    </row>
    <row r="6383" spans="6:7" x14ac:dyDescent="0.2">
      <c r="F6383" s="591">
        <v>6374</v>
      </c>
      <c r="G6383" s="420">
        <f t="shared" ca="1" si="107"/>
        <v>0.11988320196943242</v>
      </c>
    </row>
    <row r="6384" spans="6:7" x14ac:dyDescent="0.2">
      <c r="F6384" s="591">
        <v>6375</v>
      </c>
      <c r="G6384" s="420">
        <f t="shared" ca="1" si="107"/>
        <v>-4.2212563255239546E-3</v>
      </c>
    </row>
    <row r="6385" spans="6:7" x14ac:dyDescent="0.2">
      <c r="F6385" s="591">
        <v>6376</v>
      </c>
      <c r="G6385" s="420">
        <f t="shared" ca="1" si="107"/>
        <v>3.6966181956915076E-2</v>
      </c>
    </row>
    <row r="6386" spans="6:7" x14ac:dyDescent="0.2">
      <c r="F6386" s="591">
        <v>6377</v>
      </c>
      <c r="G6386" s="420">
        <f t="shared" ca="1" si="107"/>
        <v>3.3743923612365799E-2</v>
      </c>
    </row>
    <row r="6387" spans="6:7" x14ac:dyDescent="0.2">
      <c r="F6387" s="591">
        <v>6378</v>
      </c>
      <c r="G6387" s="420">
        <f t="shared" ca="1" si="107"/>
        <v>3.4043171534275954E-2</v>
      </c>
    </row>
    <row r="6388" spans="6:7" x14ac:dyDescent="0.2">
      <c r="F6388" s="591">
        <v>6379</v>
      </c>
      <c r="G6388" s="420">
        <f t="shared" ca="1" si="107"/>
        <v>-5.9410132482712472E-2</v>
      </c>
    </row>
    <row r="6389" spans="6:7" x14ac:dyDescent="0.2">
      <c r="F6389" s="591">
        <v>6380</v>
      </c>
      <c r="G6389" s="420">
        <f t="shared" ca="1" si="107"/>
        <v>4.1394111861506946E-2</v>
      </c>
    </row>
    <row r="6390" spans="6:7" x14ac:dyDescent="0.2">
      <c r="F6390" s="591">
        <v>6381</v>
      </c>
      <c r="G6390" s="420">
        <f t="shared" ca="1" si="107"/>
        <v>-6.4319492746820861E-2</v>
      </c>
    </row>
    <row r="6391" spans="6:7" x14ac:dyDescent="0.2">
      <c r="F6391" s="591">
        <v>6382</v>
      </c>
      <c r="G6391" s="420">
        <f t="shared" ca="1" si="107"/>
        <v>1.948581014534085E-2</v>
      </c>
    </row>
    <row r="6392" spans="6:7" x14ac:dyDescent="0.2">
      <c r="F6392" s="591">
        <v>6383</v>
      </c>
      <c r="G6392" s="420">
        <f t="shared" ca="1" si="107"/>
        <v>-2.1753937042704907E-2</v>
      </c>
    </row>
    <row r="6393" spans="6:7" x14ac:dyDescent="0.2">
      <c r="F6393" s="591">
        <v>6384</v>
      </c>
      <c r="G6393" s="420">
        <f t="shared" ca="1" si="107"/>
        <v>-2.2311376833954084E-2</v>
      </c>
    </row>
    <row r="6394" spans="6:7" x14ac:dyDescent="0.2">
      <c r="F6394" s="591">
        <v>6385</v>
      </c>
      <c r="G6394" s="420">
        <f t="shared" ca="1" si="107"/>
        <v>2.2044626983771711E-3</v>
      </c>
    </row>
    <row r="6395" spans="6:7" x14ac:dyDescent="0.2">
      <c r="F6395" s="591">
        <v>6386</v>
      </c>
      <c r="G6395" s="420">
        <f t="shared" ca="1" si="107"/>
        <v>6.1258621679190717E-2</v>
      </c>
    </row>
    <row r="6396" spans="6:7" x14ac:dyDescent="0.2">
      <c r="F6396" s="591">
        <v>6387</v>
      </c>
      <c r="G6396" s="420">
        <f t="shared" ca="1" si="107"/>
        <v>7.7773144664237293E-2</v>
      </c>
    </row>
    <row r="6397" spans="6:7" x14ac:dyDescent="0.2">
      <c r="F6397" s="591">
        <v>6388</v>
      </c>
      <c r="G6397" s="420">
        <f t="shared" ca="1" si="107"/>
        <v>-2.4663205645975909E-2</v>
      </c>
    </row>
    <row r="6398" spans="6:7" x14ac:dyDescent="0.2">
      <c r="F6398" s="591">
        <v>6389</v>
      </c>
      <c r="G6398" s="420">
        <f t="shared" ca="1" si="107"/>
        <v>-1.4363606861714534E-2</v>
      </c>
    </row>
    <row r="6399" spans="6:7" x14ac:dyDescent="0.2">
      <c r="F6399" s="591">
        <v>6390</v>
      </c>
      <c r="G6399" s="420">
        <f t="shared" ca="1" si="107"/>
        <v>-1.9037276427924382E-2</v>
      </c>
    </row>
    <row r="6400" spans="6:7" x14ac:dyDescent="0.2">
      <c r="F6400" s="591">
        <v>6391</v>
      </c>
      <c r="G6400" s="420">
        <f t="shared" ca="1" si="107"/>
        <v>-1.7737389650572619E-2</v>
      </c>
    </row>
    <row r="6401" spans="6:7" x14ac:dyDescent="0.2">
      <c r="F6401" s="591">
        <v>6392</v>
      </c>
      <c r="G6401" s="420">
        <f t="shared" ca="1" si="107"/>
        <v>-6.6521957529080591E-2</v>
      </c>
    </row>
    <row r="6402" spans="6:7" x14ac:dyDescent="0.2">
      <c r="F6402" s="591">
        <v>6393</v>
      </c>
      <c r="G6402" s="420">
        <f t="shared" ca="1" si="107"/>
        <v>-5.0295767859255922E-2</v>
      </c>
    </row>
    <row r="6403" spans="6:7" x14ac:dyDescent="0.2">
      <c r="F6403" s="591">
        <v>6394</v>
      </c>
      <c r="G6403" s="420">
        <f t="shared" ca="1" si="107"/>
        <v>4.7041204845849657E-2</v>
      </c>
    </row>
    <row r="6404" spans="6:7" x14ac:dyDescent="0.2">
      <c r="F6404" s="591">
        <v>6395</v>
      </c>
      <c r="G6404" s="420">
        <f t="shared" ca="1" si="107"/>
        <v>0.24236970177091322</v>
      </c>
    </row>
    <row r="6405" spans="6:7" x14ac:dyDescent="0.2">
      <c r="F6405" s="591">
        <v>6396</v>
      </c>
      <c r="G6405" s="420">
        <f t="shared" ca="1" si="107"/>
        <v>-9.1922669739920096E-3</v>
      </c>
    </row>
    <row r="6406" spans="6:7" x14ac:dyDescent="0.2">
      <c r="F6406" s="591">
        <v>6397</v>
      </c>
      <c r="G6406" s="420">
        <f t="shared" ca="1" si="107"/>
        <v>-0.11924760370937228</v>
      </c>
    </row>
    <row r="6407" spans="6:7" x14ac:dyDescent="0.2">
      <c r="F6407" s="591">
        <v>6398</v>
      </c>
      <c r="G6407" s="420">
        <f t="shared" ca="1" si="107"/>
        <v>3.9769475542288463E-2</v>
      </c>
    </row>
    <row r="6408" spans="6:7" x14ac:dyDescent="0.2">
      <c r="F6408" s="591">
        <v>6399</v>
      </c>
      <c r="G6408" s="420">
        <f t="shared" ca="1" si="107"/>
        <v>-3.5559385871264657E-2</v>
      </c>
    </row>
    <row r="6409" spans="6:7" x14ac:dyDescent="0.2">
      <c r="F6409" s="591">
        <v>6400</v>
      </c>
      <c r="G6409" s="420">
        <f t="shared" ca="1" si="107"/>
        <v>7.0657245144051702E-3</v>
      </c>
    </row>
    <row r="6410" spans="6:7" x14ac:dyDescent="0.2">
      <c r="F6410" s="591">
        <v>6401</v>
      </c>
      <c r="G6410" s="420">
        <f t="shared" ca="1" si="107"/>
        <v>7.5973676549517394E-2</v>
      </c>
    </row>
    <row r="6411" spans="6:7" x14ac:dyDescent="0.2">
      <c r="F6411" s="591">
        <v>6402</v>
      </c>
      <c r="G6411" s="420">
        <f t="shared" ref="G6411:G6474" ca="1" si="108">_xlfn.NORM.INV(RAND(), $M$11,$M$12)</f>
        <v>6.1797830950596723E-3</v>
      </c>
    </row>
    <row r="6412" spans="6:7" x14ac:dyDescent="0.2">
      <c r="F6412" s="591">
        <v>6403</v>
      </c>
      <c r="G6412" s="420">
        <f t="shared" ca="1" si="108"/>
        <v>3.5177301576103798E-2</v>
      </c>
    </row>
    <row r="6413" spans="6:7" x14ac:dyDescent="0.2">
      <c r="F6413" s="591">
        <v>6404</v>
      </c>
      <c r="G6413" s="420">
        <f t="shared" ca="1" si="108"/>
        <v>-3.5302408689288148E-3</v>
      </c>
    </row>
    <row r="6414" spans="6:7" x14ac:dyDescent="0.2">
      <c r="F6414" s="591">
        <v>6405</v>
      </c>
      <c r="G6414" s="420">
        <f t="shared" ca="1" si="108"/>
        <v>-7.0038073911572629E-2</v>
      </c>
    </row>
    <row r="6415" spans="6:7" x14ac:dyDescent="0.2">
      <c r="F6415" s="591">
        <v>6406</v>
      </c>
      <c r="G6415" s="420">
        <f t="shared" ca="1" si="108"/>
        <v>5.1166917540876192E-3</v>
      </c>
    </row>
    <row r="6416" spans="6:7" x14ac:dyDescent="0.2">
      <c r="F6416" s="591">
        <v>6407</v>
      </c>
      <c r="G6416" s="420">
        <f t="shared" ca="1" si="108"/>
        <v>0.16815712224437332</v>
      </c>
    </row>
    <row r="6417" spans="6:7" x14ac:dyDescent="0.2">
      <c r="F6417" s="591">
        <v>6408</v>
      </c>
      <c r="G6417" s="420">
        <f t="shared" ca="1" si="108"/>
        <v>9.3917301180857747E-3</v>
      </c>
    </row>
    <row r="6418" spans="6:7" x14ac:dyDescent="0.2">
      <c r="F6418" s="591">
        <v>6409</v>
      </c>
      <c r="G6418" s="420">
        <f t="shared" ca="1" si="108"/>
        <v>5.7978516428752624E-2</v>
      </c>
    </row>
    <row r="6419" spans="6:7" x14ac:dyDescent="0.2">
      <c r="F6419" s="591">
        <v>6410</v>
      </c>
      <c r="G6419" s="420">
        <f t="shared" ca="1" si="108"/>
        <v>5.2913461681023712E-4</v>
      </c>
    </row>
    <row r="6420" spans="6:7" x14ac:dyDescent="0.2">
      <c r="F6420" s="591">
        <v>6411</v>
      </c>
      <c r="G6420" s="420">
        <f t="shared" ca="1" si="108"/>
        <v>7.7884277315652603E-2</v>
      </c>
    </row>
    <row r="6421" spans="6:7" x14ac:dyDescent="0.2">
      <c r="F6421" s="591">
        <v>6412</v>
      </c>
      <c r="G6421" s="420">
        <f t="shared" ca="1" si="108"/>
        <v>-2.098280101888023E-2</v>
      </c>
    </row>
    <row r="6422" spans="6:7" x14ac:dyDescent="0.2">
      <c r="F6422" s="591">
        <v>6413</v>
      </c>
      <c r="G6422" s="420">
        <f t="shared" ca="1" si="108"/>
        <v>6.2913481123345757E-2</v>
      </c>
    </row>
    <row r="6423" spans="6:7" x14ac:dyDescent="0.2">
      <c r="F6423" s="591">
        <v>6414</v>
      </c>
      <c r="G6423" s="420">
        <f t="shared" ca="1" si="108"/>
        <v>5.7801451075178784E-2</v>
      </c>
    </row>
    <row r="6424" spans="6:7" x14ac:dyDescent="0.2">
      <c r="F6424" s="591">
        <v>6415</v>
      </c>
      <c r="G6424" s="420">
        <f t="shared" ca="1" si="108"/>
        <v>3.8976313585738505E-2</v>
      </c>
    </row>
    <row r="6425" spans="6:7" x14ac:dyDescent="0.2">
      <c r="F6425" s="591">
        <v>6416</v>
      </c>
      <c r="G6425" s="420">
        <f t="shared" ca="1" si="108"/>
        <v>-6.3428725771902644E-2</v>
      </c>
    </row>
    <row r="6426" spans="6:7" x14ac:dyDescent="0.2">
      <c r="F6426" s="591">
        <v>6417</v>
      </c>
      <c r="G6426" s="420">
        <f t="shared" ca="1" si="108"/>
        <v>-3.3507640591863647E-2</v>
      </c>
    </row>
    <row r="6427" spans="6:7" x14ac:dyDescent="0.2">
      <c r="F6427" s="591">
        <v>6418</v>
      </c>
      <c r="G6427" s="420">
        <f t="shared" ca="1" si="108"/>
        <v>6.0520821808930356E-2</v>
      </c>
    </row>
    <row r="6428" spans="6:7" x14ac:dyDescent="0.2">
      <c r="F6428" s="591">
        <v>6419</v>
      </c>
      <c r="G6428" s="420">
        <f t="shared" ca="1" si="108"/>
        <v>-5.0057481716304655E-2</v>
      </c>
    </row>
    <row r="6429" spans="6:7" x14ac:dyDescent="0.2">
      <c r="F6429" s="591">
        <v>6420</v>
      </c>
      <c r="G6429" s="420">
        <f t="shared" ca="1" si="108"/>
        <v>-5.7677878846566763E-2</v>
      </c>
    </row>
    <row r="6430" spans="6:7" x14ac:dyDescent="0.2">
      <c r="F6430" s="591">
        <v>6421</v>
      </c>
      <c r="G6430" s="420">
        <f t="shared" ca="1" si="108"/>
        <v>4.0006443156469215E-2</v>
      </c>
    </row>
    <row r="6431" spans="6:7" x14ac:dyDescent="0.2">
      <c r="F6431" s="591">
        <v>6422</v>
      </c>
      <c r="G6431" s="420">
        <f t="shared" ca="1" si="108"/>
        <v>0.11220733265076883</v>
      </c>
    </row>
    <row r="6432" spans="6:7" x14ac:dyDescent="0.2">
      <c r="F6432" s="591">
        <v>6423</v>
      </c>
      <c r="G6432" s="420">
        <f t="shared" ca="1" si="108"/>
        <v>6.9125236404660867E-4</v>
      </c>
    </row>
    <row r="6433" spans="6:7" x14ac:dyDescent="0.2">
      <c r="F6433" s="591">
        <v>6424</v>
      </c>
      <c r="G6433" s="420">
        <f t="shared" ca="1" si="108"/>
        <v>3.1093097846398566E-2</v>
      </c>
    </row>
    <row r="6434" spans="6:7" x14ac:dyDescent="0.2">
      <c r="F6434" s="591">
        <v>6425</v>
      </c>
      <c r="G6434" s="420">
        <f t="shared" ca="1" si="108"/>
        <v>0.13732509262571213</v>
      </c>
    </row>
    <row r="6435" spans="6:7" x14ac:dyDescent="0.2">
      <c r="F6435" s="591">
        <v>6426</v>
      </c>
      <c r="G6435" s="420">
        <f t="shared" ca="1" si="108"/>
        <v>-1.7850313751041187E-2</v>
      </c>
    </row>
    <row r="6436" spans="6:7" x14ac:dyDescent="0.2">
      <c r="F6436" s="591">
        <v>6427</v>
      </c>
      <c r="G6436" s="420">
        <f t="shared" ca="1" si="108"/>
        <v>1.8783729740753711E-2</v>
      </c>
    </row>
    <row r="6437" spans="6:7" x14ac:dyDescent="0.2">
      <c r="F6437" s="591">
        <v>6428</v>
      </c>
      <c r="G6437" s="420">
        <f t="shared" ca="1" si="108"/>
        <v>0.10812610145376191</v>
      </c>
    </row>
    <row r="6438" spans="6:7" x14ac:dyDescent="0.2">
      <c r="F6438" s="591">
        <v>6429</v>
      </c>
      <c r="G6438" s="420">
        <f t="shared" ca="1" si="108"/>
        <v>7.6547591936039827E-2</v>
      </c>
    </row>
    <row r="6439" spans="6:7" x14ac:dyDescent="0.2">
      <c r="F6439" s="591">
        <v>6430</v>
      </c>
      <c r="G6439" s="420">
        <f t="shared" ca="1" si="108"/>
        <v>0.11062694946242835</v>
      </c>
    </row>
    <row r="6440" spans="6:7" x14ac:dyDescent="0.2">
      <c r="F6440" s="591">
        <v>6431</v>
      </c>
      <c r="G6440" s="420">
        <f t="shared" ca="1" si="108"/>
        <v>-4.7385446709114709E-2</v>
      </c>
    </row>
    <row r="6441" spans="6:7" x14ac:dyDescent="0.2">
      <c r="F6441" s="591">
        <v>6432</v>
      </c>
      <c r="G6441" s="420">
        <f t="shared" ca="1" si="108"/>
        <v>-8.6753626878541087E-2</v>
      </c>
    </row>
    <row r="6442" spans="6:7" x14ac:dyDescent="0.2">
      <c r="F6442" s="591">
        <v>6433</v>
      </c>
      <c r="G6442" s="420">
        <f t="shared" ca="1" si="108"/>
        <v>7.6709138764827253E-2</v>
      </c>
    </row>
    <row r="6443" spans="6:7" x14ac:dyDescent="0.2">
      <c r="F6443" s="591">
        <v>6434</v>
      </c>
      <c r="G6443" s="420">
        <f t="shared" ca="1" si="108"/>
        <v>-7.6909166902131496E-2</v>
      </c>
    </row>
    <row r="6444" spans="6:7" x14ac:dyDescent="0.2">
      <c r="F6444" s="591">
        <v>6435</v>
      </c>
      <c r="G6444" s="420">
        <f t="shared" ca="1" si="108"/>
        <v>3.7135087030480317E-2</v>
      </c>
    </row>
    <row r="6445" spans="6:7" x14ac:dyDescent="0.2">
      <c r="F6445" s="591">
        <v>6436</v>
      </c>
      <c r="G6445" s="420">
        <f t="shared" ca="1" si="108"/>
        <v>-2.1028629120183748E-2</v>
      </c>
    </row>
    <row r="6446" spans="6:7" x14ac:dyDescent="0.2">
      <c r="F6446" s="591">
        <v>6437</v>
      </c>
      <c r="G6446" s="420">
        <f t="shared" ca="1" si="108"/>
        <v>0.11738643810111199</v>
      </c>
    </row>
    <row r="6447" spans="6:7" x14ac:dyDescent="0.2">
      <c r="F6447" s="591">
        <v>6438</v>
      </c>
      <c r="G6447" s="420">
        <f t="shared" ca="1" si="108"/>
        <v>-3.2921827067332488E-2</v>
      </c>
    </row>
    <row r="6448" spans="6:7" x14ac:dyDescent="0.2">
      <c r="F6448" s="591">
        <v>6439</v>
      </c>
      <c r="G6448" s="420">
        <f t="shared" ca="1" si="108"/>
        <v>9.2468508220680951E-3</v>
      </c>
    </row>
    <row r="6449" spans="6:7" x14ac:dyDescent="0.2">
      <c r="F6449" s="591">
        <v>6440</v>
      </c>
      <c r="G6449" s="420">
        <f t="shared" ca="1" si="108"/>
        <v>0.15291952790623273</v>
      </c>
    </row>
    <row r="6450" spans="6:7" x14ac:dyDescent="0.2">
      <c r="F6450" s="591">
        <v>6441</v>
      </c>
      <c r="G6450" s="420">
        <f t="shared" ca="1" si="108"/>
        <v>-0.18901882828393382</v>
      </c>
    </row>
    <row r="6451" spans="6:7" x14ac:dyDescent="0.2">
      <c r="F6451" s="591">
        <v>6442</v>
      </c>
      <c r="G6451" s="420">
        <f t="shared" ca="1" si="108"/>
        <v>2.7063369585271949E-2</v>
      </c>
    </row>
    <row r="6452" spans="6:7" x14ac:dyDescent="0.2">
      <c r="F6452" s="591">
        <v>6443</v>
      </c>
      <c r="G6452" s="420">
        <f t="shared" ca="1" si="108"/>
        <v>8.7371998882460333E-2</v>
      </c>
    </row>
    <row r="6453" spans="6:7" x14ac:dyDescent="0.2">
      <c r="F6453" s="591">
        <v>6444</v>
      </c>
      <c r="G6453" s="420">
        <f t="shared" ca="1" si="108"/>
        <v>8.3150649585307643E-2</v>
      </c>
    </row>
    <row r="6454" spans="6:7" x14ac:dyDescent="0.2">
      <c r="F6454" s="591">
        <v>6445</v>
      </c>
      <c r="G6454" s="420">
        <f t="shared" ca="1" si="108"/>
        <v>0.1681613512927238</v>
      </c>
    </row>
    <row r="6455" spans="6:7" x14ac:dyDescent="0.2">
      <c r="F6455" s="591">
        <v>6446</v>
      </c>
      <c r="G6455" s="420">
        <f t="shared" ca="1" si="108"/>
        <v>2.8990142262092389E-2</v>
      </c>
    </row>
    <row r="6456" spans="6:7" x14ac:dyDescent="0.2">
      <c r="F6456" s="591">
        <v>6447</v>
      </c>
      <c r="G6456" s="420">
        <f t="shared" ca="1" si="108"/>
        <v>-6.2300450378910507E-2</v>
      </c>
    </row>
    <row r="6457" spans="6:7" x14ac:dyDescent="0.2">
      <c r="F6457" s="591">
        <v>6448</v>
      </c>
      <c r="G6457" s="420">
        <f t="shared" ca="1" si="108"/>
        <v>-7.7168585439476495E-2</v>
      </c>
    </row>
    <row r="6458" spans="6:7" x14ac:dyDescent="0.2">
      <c r="F6458" s="591">
        <v>6449</v>
      </c>
      <c r="G6458" s="420">
        <f t="shared" ca="1" si="108"/>
        <v>-3.0217491529754375E-2</v>
      </c>
    </row>
    <row r="6459" spans="6:7" x14ac:dyDescent="0.2">
      <c r="F6459" s="591">
        <v>6450</v>
      </c>
      <c r="G6459" s="420">
        <f t="shared" ca="1" si="108"/>
        <v>5.6615413539679735E-2</v>
      </c>
    </row>
    <row r="6460" spans="6:7" x14ac:dyDescent="0.2">
      <c r="F6460" s="591">
        <v>6451</v>
      </c>
      <c r="G6460" s="420">
        <f t="shared" ca="1" si="108"/>
        <v>3.3624369822118277E-2</v>
      </c>
    </row>
    <row r="6461" spans="6:7" x14ac:dyDescent="0.2">
      <c r="F6461" s="591">
        <v>6452</v>
      </c>
      <c r="G6461" s="420">
        <f t="shared" ca="1" si="108"/>
        <v>6.6824419381798549E-3</v>
      </c>
    </row>
    <row r="6462" spans="6:7" x14ac:dyDescent="0.2">
      <c r="F6462" s="591">
        <v>6453</v>
      </c>
      <c r="G6462" s="420">
        <f t="shared" ca="1" si="108"/>
        <v>-1.0876068073536634E-2</v>
      </c>
    </row>
    <row r="6463" spans="6:7" x14ac:dyDescent="0.2">
      <c r="F6463" s="591">
        <v>6454</v>
      </c>
      <c r="G6463" s="420">
        <f t="shared" ca="1" si="108"/>
        <v>6.7895427138905048E-2</v>
      </c>
    </row>
    <row r="6464" spans="6:7" x14ac:dyDescent="0.2">
      <c r="F6464" s="591">
        <v>6455</v>
      </c>
      <c r="G6464" s="420">
        <f t="shared" ca="1" si="108"/>
        <v>1.5272836517072461E-2</v>
      </c>
    </row>
    <row r="6465" spans="6:7" x14ac:dyDescent="0.2">
      <c r="F6465" s="591">
        <v>6456</v>
      </c>
      <c r="G6465" s="420">
        <f t="shared" ca="1" si="108"/>
        <v>-2.052199769011807E-2</v>
      </c>
    </row>
    <row r="6466" spans="6:7" x14ac:dyDescent="0.2">
      <c r="F6466" s="591">
        <v>6457</v>
      </c>
      <c r="G6466" s="420">
        <f t="shared" ca="1" si="108"/>
        <v>-6.4264665091189721E-2</v>
      </c>
    </row>
    <row r="6467" spans="6:7" x14ac:dyDescent="0.2">
      <c r="F6467" s="591">
        <v>6458</v>
      </c>
      <c r="G6467" s="420">
        <f t="shared" ca="1" si="108"/>
        <v>-9.3042728411074187E-3</v>
      </c>
    </row>
    <row r="6468" spans="6:7" x14ac:dyDescent="0.2">
      <c r="F6468" s="591">
        <v>6459</v>
      </c>
      <c r="G6468" s="420">
        <f t="shared" ca="1" si="108"/>
        <v>-1.1747316253518918E-2</v>
      </c>
    </row>
    <row r="6469" spans="6:7" x14ac:dyDescent="0.2">
      <c r="F6469" s="591">
        <v>6460</v>
      </c>
      <c r="G6469" s="420">
        <f t="shared" ca="1" si="108"/>
        <v>6.3202662370610493E-2</v>
      </c>
    </row>
    <row r="6470" spans="6:7" x14ac:dyDescent="0.2">
      <c r="F6470" s="591">
        <v>6461</v>
      </c>
      <c r="G6470" s="420">
        <f t="shared" ca="1" si="108"/>
        <v>7.4423850100120439E-2</v>
      </c>
    </row>
    <row r="6471" spans="6:7" x14ac:dyDescent="0.2">
      <c r="F6471" s="591">
        <v>6462</v>
      </c>
      <c r="G6471" s="420">
        <f t="shared" ca="1" si="108"/>
        <v>-4.335862159802284E-2</v>
      </c>
    </row>
    <row r="6472" spans="6:7" x14ac:dyDescent="0.2">
      <c r="F6472" s="591">
        <v>6463</v>
      </c>
      <c r="G6472" s="420">
        <f t="shared" ca="1" si="108"/>
        <v>5.6837900172029485E-2</v>
      </c>
    </row>
    <row r="6473" spans="6:7" x14ac:dyDescent="0.2">
      <c r="F6473" s="591">
        <v>6464</v>
      </c>
      <c r="G6473" s="420">
        <f t="shared" ca="1" si="108"/>
        <v>-6.5611309859782446E-2</v>
      </c>
    </row>
    <row r="6474" spans="6:7" x14ac:dyDescent="0.2">
      <c r="F6474" s="591">
        <v>6465</v>
      </c>
      <c r="G6474" s="420">
        <f t="shared" ca="1" si="108"/>
        <v>4.17506162656354E-2</v>
      </c>
    </row>
    <row r="6475" spans="6:7" x14ac:dyDescent="0.2">
      <c r="F6475" s="591">
        <v>6466</v>
      </c>
      <c r="G6475" s="420">
        <f t="shared" ref="G6475:G6538" ca="1" si="109">_xlfn.NORM.INV(RAND(), $M$11,$M$12)</f>
        <v>-4.4676318147634647E-2</v>
      </c>
    </row>
    <row r="6476" spans="6:7" x14ac:dyDescent="0.2">
      <c r="F6476" s="591">
        <v>6467</v>
      </c>
      <c r="G6476" s="420">
        <f t="shared" ca="1" si="109"/>
        <v>3.7056145251324075E-3</v>
      </c>
    </row>
    <row r="6477" spans="6:7" x14ac:dyDescent="0.2">
      <c r="F6477" s="591">
        <v>6468</v>
      </c>
      <c r="G6477" s="420">
        <f t="shared" ca="1" si="109"/>
        <v>1.0969186158508178E-2</v>
      </c>
    </row>
    <row r="6478" spans="6:7" x14ac:dyDescent="0.2">
      <c r="F6478" s="591">
        <v>6469</v>
      </c>
      <c r="G6478" s="420">
        <f t="shared" ca="1" si="109"/>
        <v>2.3721643308851896E-2</v>
      </c>
    </row>
    <row r="6479" spans="6:7" x14ac:dyDescent="0.2">
      <c r="F6479" s="591">
        <v>6470</v>
      </c>
      <c r="G6479" s="420">
        <f t="shared" ca="1" si="109"/>
        <v>-3.1777591388471818E-2</v>
      </c>
    </row>
    <row r="6480" spans="6:7" x14ac:dyDescent="0.2">
      <c r="F6480" s="591">
        <v>6471</v>
      </c>
      <c r="G6480" s="420">
        <f t="shared" ca="1" si="109"/>
        <v>-1.2104634055333116E-2</v>
      </c>
    </row>
    <row r="6481" spans="6:7" x14ac:dyDescent="0.2">
      <c r="F6481" s="591">
        <v>6472</v>
      </c>
      <c r="G6481" s="420">
        <f t="shared" ca="1" si="109"/>
        <v>-2.9228597336709728E-2</v>
      </c>
    </row>
    <row r="6482" spans="6:7" x14ac:dyDescent="0.2">
      <c r="F6482" s="591">
        <v>6473</v>
      </c>
      <c r="G6482" s="420">
        <f t="shared" ca="1" si="109"/>
        <v>-4.2112373544530152E-2</v>
      </c>
    </row>
    <row r="6483" spans="6:7" x14ac:dyDescent="0.2">
      <c r="F6483" s="591">
        <v>6474</v>
      </c>
      <c r="G6483" s="420">
        <f t="shared" ca="1" si="109"/>
        <v>7.8030031196396676E-2</v>
      </c>
    </row>
    <row r="6484" spans="6:7" x14ac:dyDescent="0.2">
      <c r="F6484" s="591">
        <v>6475</v>
      </c>
      <c r="G6484" s="420">
        <f t="shared" ca="1" si="109"/>
        <v>-1.7385884088820767E-2</v>
      </c>
    </row>
    <row r="6485" spans="6:7" x14ac:dyDescent="0.2">
      <c r="F6485" s="591">
        <v>6476</v>
      </c>
      <c r="G6485" s="420">
        <f t="shared" ca="1" si="109"/>
        <v>8.8294031043223975E-2</v>
      </c>
    </row>
    <row r="6486" spans="6:7" x14ac:dyDescent="0.2">
      <c r="F6486" s="591">
        <v>6477</v>
      </c>
      <c r="G6486" s="420">
        <f t="shared" ca="1" si="109"/>
        <v>-7.2649070803378471E-2</v>
      </c>
    </row>
    <row r="6487" spans="6:7" x14ac:dyDescent="0.2">
      <c r="F6487" s="591">
        <v>6478</v>
      </c>
      <c r="G6487" s="420">
        <f t="shared" ca="1" si="109"/>
        <v>2.4659185425074157E-2</v>
      </c>
    </row>
    <row r="6488" spans="6:7" x14ac:dyDescent="0.2">
      <c r="F6488" s="591">
        <v>6479</v>
      </c>
      <c r="G6488" s="420">
        <f t="shared" ca="1" si="109"/>
        <v>-2.7113291565925787E-2</v>
      </c>
    </row>
    <row r="6489" spans="6:7" x14ac:dyDescent="0.2">
      <c r="F6489" s="591">
        <v>6480</v>
      </c>
      <c r="G6489" s="420">
        <f t="shared" ca="1" si="109"/>
        <v>-9.1933602884529994E-2</v>
      </c>
    </row>
    <row r="6490" spans="6:7" x14ac:dyDescent="0.2">
      <c r="F6490" s="591">
        <v>6481</v>
      </c>
      <c r="G6490" s="420">
        <f t="shared" ca="1" si="109"/>
        <v>7.4450497535539659E-2</v>
      </c>
    </row>
    <row r="6491" spans="6:7" x14ac:dyDescent="0.2">
      <c r="F6491" s="591">
        <v>6482</v>
      </c>
      <c r="G6491" s="420">
        <f t="shared" ca="1" si="109"/>
        <v>-0.14297916033985328</v>
      </c>
    </row>
    <row r="6492" spans="6:7" x14ac:dyDescent="0.2">
      <c r="F6492" s="591">
        <v>6483</v>
      </c>
      <c r="G6492" s="420">
        <f t="shared" ca="1" si="109"/>
        <v>1.673797238063815E-2</v>
      </c>
    </row>
    <row r="6493" spans="6:7" x14ac:dyDescent="0.2">
      <c r="F6493" s="591">
        <v>6484</v>
      </c>
      <c r="G6493" s="420">
        <f t="shared" ca="1" si="109"/>
        <v>-2.1216864018301893E-2</v>
      </c>
    </row>
    <row r="6494" spans="6:7" x14ac:dyDescent="0.2">
      <c r="F6494" s="591">
        <v>6485</v>
      </c>
      <c r="G6494" s="420">
        <f t="shared" ca="1" si="109"/>
        <v>1.3791797131331105E-2</v>
      </c>
    </row>
    <row r="6495" spans="6:7" x14ac:dyDescent="0.2">
      <c r="F6495" s="591">
        <v>6486</v>
      </c>
      <c r="G6495" s="420">
        <f t="shared" ca="1" si="109"/>
        <v>0.12676574518034919</v>
      </c>
    </row>
    <row r="6496" spans="6:7" x14ac:dyDescent="0.2">
      <c r="F6496" s="591">
        <v>6487</v>
      </c>
      <c r="G6496" s="420">
        <f t="shared" ca="1" si="109"/>
        <v>-5.0823142936322369E-2</v>
      </c>
    </row>
    <row r="6497" spans="6:7" x14ac:dyDescent="0.2">
      <c r="F6497" s="591">
        <v>6488</v>
      </c>
      <c r="G6497" s="420">
        <f t="shared" ca="1" si="109"/>
        <v>-7.0130816476629027E-2</v>
      </c>
    </row>
    <row r="6498" spans="6:7" x14ac:dyDescent="0.2">
      <c r="F6498" s="591">
        <v>6489</v>
      </c>
      <c r="G6498" s="420">
        <f t="shared" ca="1" si="109"/>
        <v>2.825062379131045E-2</v>
      </c>
    </row>
    <row r="6499" spans="6:7" x14ac:dyDescent="0.2">
      <c r="F6499" s="591">
        <v>6490</v>
      </c>
      <c r="G6499" s="420">
        <f t="shared" ca="1" si="109"/>
        <v>-1.2240463793955474E-3</v>
      </c>
    </row>
    <row r="6500" spans="6:7" x14ac:dyDescent="0.2">
      <c r="F6500" s="591">
        <v>6491</v>
      </c>
      <c r="G6500" s="420">
        <f t="shared" ca="1" si="109"/>
        <v>7.3714116195610649E-2</v>
      </c>
    </row>
    <row r="6501" spans="6:7" x14ac:dyDescent="0.2">
      <c r="F6501" s="591">
        <v>6492</v>
      </c>
      <c r="G6501" s="420">
        <f t="shared" ca="1" si="109"/>
        <v>3.0754906645434656E-2</v>
      </c>
    </row>
    <row r="6502" spans="6:7" x14ac:dyDescent="0.2">
      <c r="F6502" s="591">
        <v>6493</v>
      </c>
      <c r="G6502" s="420">
        <f t="shared" ca="1" si="109"/>
        <v>-4.7849568659540959E-2</v>
      </c>
    </row>
    <row r="6503" spans="6:7" x14ac:dyDescent="0.2">
      <c r="F6503" s="591">
        <v>6494</v>
      </c>
      <c r="G6503" s="420">
        <f t="shared" ca="1" si="109"/>
        <v>5.3564757987522679E-2</v>
      </c>
    </row>
    <row r="6504" spans="6:7" x14ac:dyDescent="0.2">
      <c r="F6504" s="591">
        <v>6495</v>
      </c>
      <c r="G6504" s="420">
        <f t="shared" ca="1" si="109"/>
        <v>0.10373315076723839</v>
      </c>
    </row>
    <row r="6505" spans="6:7" x14ac:dyDescent="0.2">
      <c r="F6505" s="591">
        <v>6496</v>
      </c>
      <c r="G6505" s="420">
        <f t="shared" ca="1" si="109"/>
        <v>5.7559673464318978E-2</v>
      </c>
    </row>
    <row r="6506" spans="6:7" x14ac:dyDescent="0.2">
      <c r="F6506" s="591">
        <v>6497</v>
      </c>
      <c r="G6506" s="420">
        <f t="shared" ca="1" si="109"/>
        <v>-5.2216042526882743E-3</v>
      </c>
    </row>
    <row r="6507" spans="6:7" x14ac:dyDescent="0.2">
      <c r="F6507" s="591">
        <v>6498</v>
      </c>
      <c r="G6507" s="420">
        <f t="shared" ca="1" si="109"/>
        <v>9.5976225111128223E-3</v>
      </c>
    </row>
    <row r="6508" spans="6:7" x14ac:dyDescent="0.2">
      <c r="F6508" s="591">
        <v>6499</v>
      </c>
      <c r="G6508" s="420">
        <f t="shared" ca="1" si="109"/>
        <v>6.123310339697112E-2</v>
      </c>
    </row>
    <row r="6509" spans="6:7" x14ac:dyDescent="0.2">
      <c r="F6509" s="591">
        <v>6500</v>
      </c>
      <c r="G6509" s="420">
        <f t="shared" ca="1" si="109"/>
        <v>-1.4609227725787162E-2</v>
      </c>
    </row>
    <row r="6510" spans="6:7" x14ac:dyDescent="0.2">
      <c r="F6510" s="591">
        <v>6501</v>
      </c>
      <c r="G6510" s="420">
        <f t="shared" ca="1" si="109"/>
        <v>-6.6733746865867818E-2</v>
      </c>
    </row>
    <row r="6511" spans="6:7" x14ac:dyDescent="0.2">
      <c r="F6511" s="591">
        <v>6502</v>
      </c>
      <c r="G6511" s="420">
        <f t="shared" ca="1" si="109"/>
        <v>1.6094045713153142E-2</v>
      </c>
    </row>
    <row r="6512" spans="6:7" x14ac:dyDescent="0.2">
      <c r="F6512" s="591">
        <v>6503</v>
      </c>
      <c r="G6512" s="420">
        <f t="shared" ca="1" si="109"/>
        <v>5.1685792628943086E-2</v>
      </c>
    </row>
    <row r="6513" spans="6:7" x14ac:dyDescent="0.2">
      <c r="F6513" s="591">
        <v>6504</v>
      </c>
      <c r="G6513" s="420">
        <f t="shared" ca="1" si="109"/>
        <v>3.6178790484626765E-2</v>
      </c>
    </row>
    <row r="6514" spans="6:7" x14ac:dyDescent="0.2">
      <c r="F6514" s="591">
        <v>6505</v>
      </c>
      <c r="G6514" s="420">
        <f t="shared" ca="1" si="109"/>
        <v>-0.11010288964543309</v>
      </c>
    </row>
    <row r="6515" spans="6:7" x14ac:dyDescent="0.2">
      <c r="F6515" s="591">
        <v>6506</v>
      </c>
      <c r="G6515" s="420">
        <f t="shared" ca="1" si="109"/>
        <v>8.0043072628866216E-2</v>
      </c>
    </row>
    <row r="6516" spans="6:7" x14ac:dyDescent="0.2">
      <c r="F6516" s="591">
        <v>6507</v>
      </c>
      <c r="G6516" s="420">
        <f t="shared" ca="1" si="109"/>
        <v>-8.287100532850096E-3</v>
      </c>
    </row>
    <row r="6517" spans="6:7" x14ac:dyDescent="0.2">
      <c r="F6517" s="591">
        <v>6508</v>
      </c>
      <c r="G6517" s="420">
        <f t="shared" ca="1" si="109"/>
        <v>-5.7401662727347022E-2</v>
      </c>
    </row>
    <row r="6518" spans="6:7" x14ac:dyDescent="0.2">
      <c r="F6518" s="591">
        <v>6509</v>
      </c>
      <c r="G6518" s="420">
        <f t="shared" ca="1" si="109"/>
        <v>0.10439098613393032</v>
      </c>
    </row>
    <row r="6519" spans="6:7" x14ac:dyDescent="0.2">
      <c r="F6519" s="591">
        <v>6510</v>
      </c>
      <c r="G6519" s="420">
        <f t="shared" ca="1" si="109"/>
        <v>1.0916128049197267E-2</v>
      </c>
    </row>
    <row r="6520" spans="6:7" x14ac:dyDescent="0.2">
      <c r="F6520" s="591">
        <v>6511</v>
      </c>
      <c r="G6520" s="420">
        <f t="shared" ca="1" si="109"/>
        <v>8.9407389561543052E-2</v>
      </c>
    </row>
    <row r="6521" spans="6:7" x14ac:dyDescent="0.2">
      <c r="F6521" s="591">
        <v>6512</v>
      </c>
      <c r="G6521" s="420">
        <f t="shared" ca="1" si="109"/>
        <v>-4.6451947172439043E-2</v>
      </c>
    </row>
    <row r="6522" spans="6:7" x14ac:dyDescent="0.2">
      <c r="F6522" s="591">
        <v>6513</v>
      </c>
      <c r="G6522" s="420">
        <f t="shared" ca="1" si="109"/>
        <v>-8.2260120330730449E-2</v>
      </c>
    </row>
    <row r="6523" spans="6:7" x14ac:dyDescent="0.2">
      <c r="F6523" s="591">
        <v>6514</v>
      </c>
      <c r="G6523" s="420">
        <f t="shared" ca="1" si="109"/>
        <v>-2.7666962615725221E-2</v>
      </c>
    </row>
    <row r="6524" spans="6:7" x14ac:dyDescent="0.2">
      <c r="F6524" s="591">
        <v>6515</v>
      </c>
      <c r="G6524" s="420">
        <f t="shared" ca="1" si="109"/>
        <v>9.925410229494451E-2</v>
      </c>
    </row>
    <row r="6525" spans="6:7" x14ac:dyDescent="0.2">
      <c r="F6525" s="591">
        <v>6516</v>
      </c>
      <c r="G6525" s="420">
        <f t="shared" ca="1" si="109"/>
        <v>-8.4751540550084908E-2</v>
      </c>
    </row>
    <row r="6526" spans="6:7" x14ac:dyDescent="0.2">
      <c r="F6526" s="591">
        <v>6517</v>
      </c>
      <c r="G6526" s="420">
        <f t="shared" ca="1" si="109"/>
        <v>-4.3800223358715612E-2</v>
      </c>
    </row>
    <row r="6527" spans="6:7" x14ac:dyDescent="0.2">
      <c r="F6527" s="591">
        <v>6518</v>
      </c>
      <c r="G6527" s="420">
        <f t="shared" ca="1" si="109"/>
        <v>0.15078286781524045</v>
      </c>
    </row>
    <row r="6528" spans="6:7" x14ac:dyDescent="0.2">
      <c r="F6528" s="591">
        <v>6519</v>
      </c>
      <c r="G6528" s="420">
        <f t="shared" ca="1" si="109"/>
        <v>-4.3484859695842107E-2</v>
      </c>
    </row>
    <row r="6529" spans="6:7" x14ac:dyDescent="0.2">
      <c r="F6529" s="591">
        <v>6520</v>
      </c>
      <c r="G6529" s="420">
        <f t="shared" ca="1" si="109"/>
        <v>-6.1128355008011788E-3</v>
      </c>
    </row>
    <row r="6530" spans="6:7" x14ac:dyDescent="0.2">
      <c r="F6530" s="591">
        <v>6521</v>
      </c>
      <c r="G6530" s="420">
        <f t="shared" ca="1" si="109"/>
        <v>9.7258995245221025E-2</v>
      </c>
    </row>
    <row r="6531" spans="6:7" x14ac:dyDescent="0.2">
      <c r="F6531" s="591">
        <v>6522</v>
      </c>
      <c r="G6531" s="420">
        <f t="shared" ca="1" si="109"/>
        <v>0.11077493157837742</v>
      </c>
    </row>
    <row r="6532" spans="6:7" x14ac:dyDescent="0.2">
      <c r="F6532" s="591">
        <v>6523</v>
      </c>
      <c r="G6532" s="420">
        <f t="shared" ca="1" si="109"/>
        <v>-9.0074675761246323E-2</v>
      </c>
    </row>
    <row r="6533" spans="6:7" x14ac:dyDescent="0.2">
      <c r="F6533" s="591">
        <v>6524</v>
      </c>
      <c r="G6533" s="420">
        <f t="shared" ca="1" si="109"/>
        <v>7.4498177449894898E-2</v>
      </c>
    </row>
    <row r="6534" spans="6:7" x14ac:dyDescent="0.2">
      <c r="F6534" s="591">
        <v>6525</v>
      </c>
      <c r="G6534" s="420">
        <f t="shared" ca="1" si="109"/>
        <v>5.5219588409160344E-2</v>
      </c>
    </row>
    <row r="6535" spans="6:7" x14ac:dyDescent="0.2">
      <c r="F6535" s="591">
        <v>6526</v>
      </c>
      <c r="G6535" s="420">
        <f t="shared" ca="1" si="109"/>
        <v>-4.8074888245177833E-2</v>
      </c>
    </row>
    <row r="6536" spans="6:7" x14ac:dyDescent="0.2">
      <c r="F6536" s="591">
        <v>6527</v>
      </c>
      <c r="G6536" s="420">
        <f t="shared" ca="1" si="109"/>
        <v>5.0661596900730868E-2</v>
      </c>
    </row>
    <row r="6537" spans="6:7" x14ac:dyDescent="0.2">
      <c r="F6537" s="591">
        <v>6528</v>
      </c>
      <c r="G6537" s="420">
        <f t="shared" ca="1" si="109"/>
        <v>1.5117538578856848E-2</v>
      </c>
    </row>
    <row r="6538" spans="6:7" x14ac:dyDescent="0.2">
      <c r="F6538" s="591">
        <v>6529</v>
      </c>
      <c r="G6538" s="420">
        <f t="shared" ca="1" si="109"/>
        <v>9.5943500198959419E-2</v>
      </c>
    </row>
    <row r="6539" spans="6:7" x14ac:dyDescent="0.2">
      <c r="F6539" s="591">
        <v>6530</v>
      </c>
      <c r="G6539" s="420">
        <f t="shared" ref="G6539:G6602" ca="1" si="110">_xlfn.NORM.INV(RAND(), $M$11,$M$12)</f>
        <v>2.1721884917600708E-2</v>
      </c>
    </row>
    <row r="6540" spans="6:7" x14ac:dyDescent="0.2">
      <c r="F6540" s="591">
        <v>6531</v>
      </c>
      <c r="G6540" s="420">
        <f t="shared" ca="1" si="110"/>
        <v>-8.4735638163735652E-2</v>
      </c>
    </row>
    <row r="6541" spans="6:7" x14ac:dyDescent="0.2">
      <c r="F6541" s="591">
        <v>6532</v>
      </c>
      <c r="G6541" s="420">
        <f t="shared" ca="1" si="110"/>
        <v>0.13137149524410047</v>
      </c>
    </row>
    <row r="6542" spans="6:7" x14ac:dyDescent="0.2">
      <c r="F6542" s="591">
        <v>6533</v>
      </c>
      <c r="G6542" s="420">
        <f t="shared" ca="1" si="110"/>
        <v>4.2907196393594846E-2</v>
      </c>
    </row>
    <row r="6543" spans="6:7" x14ac:dyDescent="0.2">
      <c r="F6543" s="591">
        <v>6534</v>
      </c>
      <c r="G6543" s="420">
        <f t="shared" ca="1" si="110"/>
        <v>1.5440236162872462E-2</v>
      </c>
    </row>
    <row r="6544" spans="6:7" x14ac:dyDescent="0.2">
      <c r="F6544" s="591">
        <v>6535</v>
      </c>
      <c r="G6544" s="420">
        <f t="shared" ca="1" si="110"/>
        <v>1.7139085734539518E-2</v>
      </c>
    </row>
    <row r="6545" spans="6:7" x14ac:dyDescent="0.2">
      <c r="F6545" s="591">
        <v>6536</v>
      </c>
      <c r="G6545" s="420">
        <f t="shared" ca="1" si="110"/>
        <v>3.663287921992267E-2</v>
      </c>
    </row>
    <row r="6546" spans="6:7" x14ac:dyDescent="0.2">
      <c r="F6546" s="591">
        <v>6537</v>
      </c>
      <c r="G6546" s="420">
        <f t="shared" ca="1" si="110"/>
        <v>4.9576526140322597E-2</v>
      </c>
    </row>
    <row r="6547" spans="6:7" x14ac:dyDescent="0.2">
      <c r="F6547" s="591">
        <v>6538</v>
      </c>
      <c r="G6547" s="420">
        <f t="shared" ca="1" si="110"/>
        <v>2.9570458858029669E-2</v>
      </c>
    </row>
    <row r="6548" spans="6:7" x14ac:dyDescent="0.2">
      <c r="F6548" s="591">
        <v>6539</v>
      </c>
      <c r="G6548" s="420">
        <f t="shared" ca="1" si="110"/>
        <v>0.16608026535398251</v>
      </c>
    </row>
    <row r="6549" spans="6:7" x14ac:dyDescent="0.2">
      <c r="F6549" s="591">
        <v>6540</v>
      </c>
      <c r="G6549" s="420">
        <f t="shared" ca="1" si="110"/>
        <v>-6.1624820233504678E-3</v>
      </c>
    </row>
    <row r="6550" spans="6:7" x14ac:dyDescent="0.2">
      <c r="F6550" s="591">
        <v>6541</v>
      </c>
      <c r="G6550" s="420">
        <f t="shared" ca="1" si="110"/>
        <v>-4.5247890610701058E-2</v>
      </c>
    </row>
    <row r="6551" spans="6:7" x14ac:dyDescent="0.2">
      <c r="F6551" s="591">
        <v>6542</v>
      </c>
      <c r="G6551" s="420">
        <f t="shared" ca="1" si="110"/>
        <v>7.6727417980065868E-2</v>
      </c>
    </row>
    <row r="6552" spans="6:7" x14ac:dyDescent="0.2">
      <c r="F6552" s="591">
        <v>6543</v>
      </c>
      <c r="G6552" s="420">
        <f t="shared" ca="1" si="110"/>
        <v>-1.772871070396221E-2</v>
      </c>
    </row>
    <row r="6553" spans="6:7" x14ac:dyDescent="0.2">
      <c r="F6553" s="591">
        <v>6544</v>
      </c>
      <c r="G6553" s="420">
        <f t="shared" ca="1" si="110"/>
        <v>-2.0786241226802237E-2</v>
      </c>
    </row>
    <row r="6554" spans="6:7" x14ac:dyDescent="0.2">
      <c r="F6554" s="591">
        <v>6545</v>
      </c>
      <c r="G6554" s="420">
        <f t="shared" ca="1" si="110"/>
        <v>-1.7186655462188942E-2</v>
      </c>
    </row>
    <row r="6555" spans="6:7" x14ac:dyDescent="0.2">
      <c r="F6555" s="591">
        <v>6546</v>
      </c>
      <c r="G6555" s="420">
        <f t="shared" ca="1" si="110"/>
        <v>3.1826653597186616E-2</v>
      </c>
    </row>
    <row r="6556" spans="6:7" x14ac:dyDescent="0.2">
      <c r="F6556" s="591">
        <v>6547</v>
      </c>
      <c r="G6556" s="420">
        <f t="shared" ca="1" si="110"/>
        <v>1.6637442096295724E-3</v>
      </c>
    </row>
    <row r="6557" spans="6:7" x14ac:dyDescent="0.2">
      <c r="F6557" s="591">
        <v>6548</v>
      </c>
      <c r="G6557" s="420">
        <f t="shared" ca="1" si="110"/>
        <v>-3.0963563551447037E-2</v>
      </c>
    </row>
    <row r="6558" spans="6:7" x14ac:dyDescent="0.2">
      <c r="F6558" s="591">
        <v>6549</v>
      </c>
      <c r="G6558" s="420">
        <f t="shared" ca="1" si="110"/>
        <v>-6.2255111106132216E-2</v>
      </c>
    </row>
    <row r="6559" spans="6:7" x14ac:dyDescent="0.2">
      <c r="F6559" s="591">
        <v>6550</v>
      </c>
      <c r="G6559" s="420">
        <f t="shared" ca="1" si="110"/>
        <v>8.2460804480465708E-2</v>
      </c>
    </row>
    <row r="6560" spans="6:7" x14ac:dyDescent="0.2">
      <c r="F6560" s="591">
        <v>6551</v>
      </c>
      <c r="G6560" s="420">
        <f t="shared" ca="1" si="110"/>
        <v>-0.14253697800248236</v>
      </c>
    </row>
    <row r="6561" spans="6:7" x14ac:dyDescent="0.2">
      <c r="F6561" s="591">
        <v>6552</v>
      </c>
      <c r="G6561" s="420">
        <f t="shared" ca="1" si="110"/>
        <v>1.1623319956268701E-2</v>
      </c>
    </row>
    <row r="6562" spans="6:7" x14ac:dyDescent="0.2">
      <c r="F6562" s="591">
        <v>6553</v>
      </c>
      <c r="G6562" s="420">
        <f t="shared" ca="1" si="110"/>
        <v>7.1175749357252571E-2</v>
      </c>
    </row>
    <row r="6563" spans="6:7" x14ac:dyDescent="0.2">
      <c r="F6563" s="591">
        <v>6554</v>
      </c>
      <c r="G6563" s="420">
        <f t="shared" ca="1" si="110"/>
        <v>-1.2947466086034146E-2</v>
      </c>
    </row>
    <row r="6564" spans="6:7" x14ac:dyDescent="0.2">
      <c r="F6564" s="591">
        <v>6555</v>
      </c>
      <c r="G6564" s="420">
        <f t="shared" ca="1" si="110"/>
        <v>-9.4899512326032678E-2</v>
      </c>
    </row>
    <row r="6565" spans="6:7" x14ac:dyDescent="0.2">
      <c r="F6565" s="591">
        <v>6556</v>
      </c>
      <c r="G6565" s="420">
        <f t="shared" ca="1" si="110"/>
        <v>6.5242800070193452E-2</v>
      </c>
    </row>
    <row r="6566" spans="6:7" x14ac:dyDescent="0.2">
      <c r="F6566" s="591">
        <v>6557</v>
      </c>
      <c r="G6566" s="420">
        <f t="shared" ca="1" si="110"/>
        <v>6.1985750807039552E-2</v>
      </c>
    </row>
    <row r="6567" spans="6:7" x14ac:dyDescent="0.2">
      <c r="F6567" s="591">
        <v>6558</v>
      </c>
      <c r="G6567" s="420">
        <f t="shared" ca="1" si="110"/>
        <v>2.1853522296126221E-2</v>
      </c>
    </row>
    <row r="6568" spans="6:7" x14ac:dyDescent="0.2">
      <c r="F6568" s="591">
        <v>6559</v>
      </c>
      <c r="G6568" s="420">
        <f t="shared" ca="1" si="110"/>
        <v>4.8443322950910736E-2</v>
      </c>
    </row>
    <row r="6569" spans="6:7" x14ac:dyDescent="0.2">
      <c r="F6569" s="591">
        <v>6560</v>
      </c>
      <c r="G6569" s="420">
        <f t="shared" ca="1" si="110"/>
        <v>-5.8663660761268679E-2</v>
      </c>
    </row>
    <row r="6570" spans="6:7" x14ac:dyDescent="0.2">
      <c r="F6570" s="591">
        <v>6561</v>
      </c>
      <c r="G6570" s="420">
        <f t="shared" ca="1" si="110"/>
        <v>1.95288564635204E-2</v>
      </c>
    </row>
    <row r="6571" spans="6:7" x14ac:dyDescent="0.2">
      <c r="F6571" s="591">
        <v>6562</v>
      </c>
      <c r="G6571" s="420">
        <f t="shared" ca="1" si="110"/>
        <v>2.4101181771470064E-3</v>
      </c>
    </row>
    <row r="6572" spans="6:7" x14ac:dyDescent="0.2">
      <c r="F6572" s="591">
        <v>6563</v>
      </c>
      <c r="G6572" s="420">
        <f t="shared" ca="1" si="110"/>
        <v>6.7170738852061262E-2</v>
      </c>
    </row>
    <row r="6573" spans="6:7" x14ac:dyDescent="0.2">
      <c r="F6573" s="591">
        <v>6564</v>
      </c>
      <c r="G6573" s="420">
        <f t="shared" ca="1" si="110"/>
        <v>-3.7147467555344801E-2</v>
      </c>
    </row>
    <row r="6574" spans="6:7" x14ac:dyDescent="0.2">
      <c r="F6574" s="591">
        <v>6565</v>
      </c>
      <c r="G6574" s="420">
        <f t="shared" ca="1" si="110"/>
        <v>-7.3586300395334647E-3</v>
      </c>
    </row>
    <row r="6575" spans="6:7" x14ac:dyDescent="0.2">
      <c r="F6575" s="591">
        <v>6566</v>
      </c>
      <c r="G6575" s="420">
        <f t="shared" ca="1" si="110"/>
        <v>-6.9505252919758412E-2</v>
      </c>
    </row>
    <row r="6576" spans="6:7" x14ac:dyDescent="0.2">
      <c r="F6576" s="591">
        <v>6567</v>
      </c>
      <c r="G6576" s="420">
        <f t="shared" ca="1" si="110"/>
        <v>-8.6682725812078074E-2</v>
      </c>
    </row>
    <row r="6577" spans="6:7" x14ac:dyDescent="0.2">
      <c r="F6577" s="591">
        <v>6568</v>
      </c>
      <c r="G6577" s="420">
        <f t="shared" ca="1" si="110"/>
        <v>9.7464390065028592E-2</v>
      </c>
    </row>
    <row r="6578" spans="6:7" x14ac:dyDescent="0.2">
      <c r="F6578" s="591">
        <v>6569</v>
      </c>
      <c r="G6578" s="420">
        <f t="shared" ca="1" si="110"/>
        <v>8.2684102091916067E-2</v>
      </c>
    </row>
    <row r="6579" spans="6:7" x14ac:dyDescent="0.2">
      <c r="F6579" s="591">
        <v>6570</v>
      </c>
      <c r="G6579" s="420">
        <f t="shared" ca="1" si="110"/>
        <v>-5.9051253396469647E-2</v>
      </c>
    </row>
    <row r="6580" spans="6:7" x14ac:dyDescent="0.2">
      <c r="F6580" s="591">
        <v>6571</v>
      </c>
      <c r="G6580" s="420">
        <f t="shared" ca="1" si="110"/>
        <v>-2.6040947504914185E-2</v>
      </c>
    </row>
    <row r="6581" spans="6:7" x14ac:dyDescent="0.2">
      <c r="F6581" s="591">
        <v>6572</v>
      </c>
      <c r="G6581" s="420">
        <f t="shared" ca="1" si="110"/>
        <v>1.4402837057206005E-3</v>
      </c>
    </row>
    <row r="6582" spans="6:7" x14ac:dyDescent="0.2">
      <c r="F6582" s="591">
        <v>6573</v>
      </c>
      <c r="G6582" s="420">
        <f t="shared" ca="1" si="110"/>
        <v>-4.5865626036641835E-2</v>
      </c>
    </row>
    <row r="6583" spans="6:7" x14ac:dyDescent="0.2">
      <c r="F6583" s="591">
        <v>6574</v>
      </c>
      <c r="G6583" s="420">
        <f t="shared" ca="1" si="110"/>
        <v>4.0383977120839187E-2</v>
      </c>
    </row>
    <row r="6584" spans="6:7" x14ac:dyDescent="0.2">
      <c r="F6584" s="591">
        <v>6575</v>
      </c>
      <c r="G6584" s="420">
        <f t="shared" ca="1" si="110"/>
        <v>-2.3996041121000962E-3</v>
      </c>
    </row>
    <row r="6585" spans="6:7" x14ac:dyDescent="0.2">
      <c r="F6585" s="591">
        <v>6576</v>
      </c>
      <c r="G6585" s="420">
        <f t="shared" ca="1" si="110"/>
        <v>4.0946764814632566E-2</v>
      </c>
    </row>
    <row r="6586" spans="6:7" x14ac:dyDescent="0.2">
      <c r="F6586" s="591">
        <v>6577</v>
      </c>
      <c r="G6586" s="420">
        <f t="shared" ca="1" si="110"/>
        <v>-2.625751741698797E-2</v>
      </c>
    </row>
    <row r="6587" spans="6:7" x14ac:dyDescent="0.2">
      <c r="F6587" s="591">
        <v>6578</v>
      </c>
      <c r="G6587" s="420">
        <f t="shared" ca="1" si="110"/>
        <v>2.4422986542348972E-2</v>
      </c>
    </row>
    <row r="6588" spans="6:7" x14ac:dyDescent="0.2">
      <c r="F6588" s="591">
        <v>6579</v>
      </c>
      <c r="G6588" s="420">
        <f t="shared" ca="1" si="110"/>
        <v>2.2078526967247943E-2</v>
      </c>
    </row>
    <row r="6589" spans="6:7" x14ac:dyDescent="0.2">
      <c r="F6589" s="591">
        <v>6580</v>
      </c>
      <c r="G6589" s="420">
        <f t="shared" ca="1" si="110"/>
        <v>4.2924688606090486E-2</v>
      </c>
    </row>
    <row r="6590" spans="6:7" x14ac:dyDescent="0.2">
      <c r="F6590" s="591">
        <v>6581</v>
      </c>
      <c r="G6590" s="420">
        <f t="shared" ca="1" si="110"/>
        <v>3.7384136838281165E-2</v>
      </c>
    </row>
    <row r="6591" spans="6:7" x14ac:dyDescent="0.2">
      <c r="F6591" s="591">
        <v>6582</v>
      </c>
      <c r="G6591" s="420">
        <f t="shared" ca="1" si="110"/>
        <v>4.0511522894032058E-2</v>
      </c>
    </row>
    <row r="6592" spans="6:7" x14ac:dyDescent="0.2">
      <c r="F6592" s="591">
        <v>6583</v>
      </c>
      <c r="G6592" s="420">
        <f t="shared" ca="1" si="110"/>
        <v>-1.1578011488990392E-2</v>
      </c>
    </row>
    <row r="6593" spans="6:7" x14ac:dyDescent="0.2">
      <c r="F6593" s="591">
        <v>6584</v>
      </c>
      <c r="G6593" s="420">
        <f t="shared" ca="1" si="110"/>
        <v>-0.10424912824552889</v>
      </c>
    </row>
    <row r="6594" spans="6:7" x14ac:dyDescent="0.2">
      <c r="F6594" s="591">
        <v>6585</v>
      </c>
      <c r="G6594" s="420">
        <f t="shared" ca="1" si="110"/>
        <v>-1.244863182635312E-2</v>
      </c>
    </row>
    <row r="6595" spans="6:7" x14ac:dyDescent="0.2">
      <c r="F6595" s="591">
        <v>6586</v>
      </c>
      <c r="G6595" s="420">
        <f t="shared" ca="1" si="110"/>
        <v>-0.13438544847321188</v>
      </c>
    </row>
    <row r="6596" spans="6:7" x14ac:dyDescent="0.2">
      <c r="F6596" s="591">
        <v>6587</v>
      </c>
      <c r="G6596" s="420">
        <f t="shared" ca="1" si="110"/>
        <v>9.40573773971079E-2</v>
      </c>
    </row>
    <row r="6597" spans="6:7" x14ac:dyDescent="0.2">
      <c r="F6597" s="591">
        <v>6588</v>
      </c>
      <c r="G6597" s="420">
        <f t="shared" ca="1" si="110"/>
        <v>-6.5657981412190744E-2</v>
      </c>
    </row>
    <row r="6598" spans="6:7" x14ac:dyDescent="0.2">
      <c r="F6598" s="591">
        <v>6589</v>
      </c>
      <c r="G6598" s="420">
        <f t="shared" ca="1" si="110"/>
        <v>0.1098873365045544</v>
      </c>
    </row>
    <row r="6599" spans="6:7" x14ac:dyDescent="0.2">
      <c r="F6599" s="591">
        <v>6590</v>
      </c>
      <c r="G6599" s="420">
        <f t="shared" ca="1" si="110"/>
        <v>-9.9575693089365494E-3</v>
      </c>
    </row>
    <row r="6600" spans="6:7" x14ac:dyDescent="0.2">
      <c r="F6600" s="591">
        <v>6591</v>
      </c>
      <c r="G6600" s="420">
        <f t="shared" ca="1" si="110"/>
        <v>-2.3206905502659508E-2</v>
      </c>
    </row>
    <row r="6601" spans="6:7" x14ac:dyDescent="0.2">
      <c r="F6601" s="591">
        <v>6592</v>
      </c>
      <c r="G6601" s="420">
        <f t="shared" ca="1" si="110"/>
        <v>2.6656250804059499E-2</v>
      </c>
    </row>
    <row r="6602" spans="6:7" x14ac:dyDescent="0.2">
      <c r="F6602" s="591">
        <v>6593</v>
      </c>
      <c r="G6602" s="420">
        <f t="shared" ca="1" si="110"/>
        <v>7.9512875746568235E-2</v>
      </c>
    </row>
    <row r="6603" spans="6:7" x14ac:dyDescent="0.2">
      <c r="F6603" s="591">
        <v>6594</v>
      </c>
      <c r="G6603" s="420">
        <f t="shared" ref="G6603:G6666" ca="1" si="111">_xlfn.NORM.INV(RAND(), $M$11,$M$12)</f>
        <v>0.19667372012679746</v>
      </c>
    </row>
    <row r="6604" spans="6:7" x14ac:dyDescent="0.2">
      <c r="F6604" s="591">
        <v>6595</v>
      </c>
      <c r="G6604" s="420">
        <f t="shared" ca="1" si="111"/>
        <v>0.13100517827946481</v>
      </c>
    </row>
    <row r="6605" spans="6:7" x14ac:dyDescent="0.2">
      <c r="F6605" s="591">
        <v>6596</v>
      </c>
      <c r="G6605" s="420">
        <f t="shared" ca="1" si="111"/>
        <v>-2.03013652365845E-2</v>
      </c>
    </row>
    <row r="6606" spans="6:7" x14ac:dyDescent="0.2">
      <c r="F6606" s="591">
        <v>6597</v>
      </c>
      <c r="G6606" s="420">
        <f t="shared" ca="1" si="111"/>
        <v>-9.7381755949420848E-2</v>
      </c>
    </row>
    <row r="6607" spans="6:7" x14ac:dyDescent="0.2">
      <c r="F6607" s="591">
        <v>6598</v>
      </c>
      <c r="G6607" s="420">
        <f t="shared" ca="1" si="111"/>
        <v>-0.12541301559653084</v>
      </c>
    </row>
    <row r="6608" spans="6:7" x14ac:dyDescent="0.2">
      <c r="F6608" s="591">
        <v>6599</v>
      </c>
      <c r="G6608" s="420">
        <f t="shared" ca="1" si="111"/>
        <v>-2.9110625004261457E-2</v>
      </c>
    </row>
    <row r="6609" spans="6:7" x14ac:dyDescent="0.2">
      <c r="F6609" s="591">
        <v>6600</v>
      </c>
      <c r="G6609" s="420">
        <f t="shared" ca="1" si="111"/>
        <v>0.11564046049345773</v>
      </c>
    </row>
    <row r="6610" spans="6:7" x14ac:dyDescent="0.2">
      <c r="F6610" s="591">
        <v>6601</v>
      </c>
      <c r="G6610" s="420">
        <f t="shared" ca="1" si="111"/>
        <v>2.3586918766131219E-3</v>
      </c>
    </row>
    <row r="6611" spans="6:7" x14ac:dyDescent="0.2">
      <c r="F6611" s="591">
        <v>6602</v>
      </c>
      <c r="G6611" s="420">
        <f t="shared" ca="1" si="111"/>
        <v>5.6218700230789731E-2</v>
      </c>
    </row>
    <row r="6612" spans="6:7" x14ac:dyDescent="0.2">
      <c r="F6612" s="591">
        <v>6603</v>
      </c>
      <c r="G6612" s="420">
        <f t="shared" ca="1" si="111"/>
        <v>-5.3666411194390445E-2</v>
      </c>
    </row>
    <row r="6613" spans="6:7" x14ac:dyDescent="0.2">
      <c r="F6613" s="591">
        <v>6604</v>
      </c>
      <c r="G6613" s="420">
        <f t="shared" ca="1" si="111"/>
        <v>4.7579639869904281E-2</v>
      </c>
    </row>
    <row r="6614" spans="6:7" x14ac:dyDescent="0.2">
      <c r="F6614" s="591">
        <v>6605</v>
      </c>
      <c r="G6614" s="420">
        <f t="shared" ca="1" si="111"/>
        <v>1.712028440904546E-2</v>
      </c>
    </row>
    <row r="6615" spans="6:7" x14ac:dyDescent="0.2">
      <c r="F6615" s="591">
        <v>6606</v>
      </c>
      <c r="G6615" s="420">
        <f t="shared" ca="1" si="111"/>
        <v>-7.8604385245226435E-2</v>
      </c>
    </row>
    <row r="6616" spans="6:7" x14ac:dyDescent="0.2">
      <c r="F6616" s="591">
        <v>6607</v>
      </c>
      <c r="G6616" s="420">
        <f t="shared" ca="1" si="111"/>
        <v>-6.4340211269004674E-3</v>
      </c>
    </row>
    <row r="6617" spans="6:7" x14ac:dyDescent="0.2">
      <c r="F6617" s="591">
        <v>6608</v>
      </c>
      <c r="G6617" s="420">
        <f t="shared" ca="1" si="111"/>
        <v>1.12692219955291E-2</v>
      </c>
    </row>
    <row r="6618" spans="6:7" x14ac:dyDescent="0.2">
      <c r="F6618" s="591">
        <v>6609</v>
      </c>
      <c r="G6618" s="420">
        <f t="shared" ca="1" si="111"/>
        <v>-0.11265965435633647</v>
      </c>
    </row>
    <row r="6619" spans="6:7" x14ac:dyDescent="0.2">
      <c r="F6619" s="591">
        <v>6610</v>
      </c>
      <c r="G6619" s="420">
        <f t="shared" ca="1" si="111"/>
        <v>8.0694886749727041E-3</v>
      </c>
    </row>
    <row r="6620" spans="6:7" x14ac:dyDescent="0.2">
      <c r="F6620" s="591">
        <v>6611</v>
      </c>
      <c r="G6620" s="420">
        <f t="shared" ca="1" si="111"/>
        <v>0.1353679677631352</v>
      </c>
    </row>
    <row r="6621" spans="6:7" x14ac:dyDescent="0.2">
      <c r="F6621" s="591">
        <v>6612</v>
      </c>
      <c r="G6621" s="420">
        <f t="shared" ca="1" si="111"/>
        <v>1.5148997500613421E-2</v>
      </c>
    </row>
    <row r="6622" spans="6:7" x14ac:dyDescent="0.2">
      <c r="F6622" s="591">
        <v>6613</v>
      </c>
      <c r="G6622" s="420">
        <f t="shared" ca="1" si="111"/>
        <v>8.4908819309624919E-2</v>
      </c>
    </row>
    <row r="6623" spans="6:7" x14ac:dyDescent="0.2">
      <c r="F6623" s="591">
        <v>6614</v>
      </c>
      <c r="G6623" s="420">
        <f t="shared" ca="1" si="111"/>
        <v>6.235222829936272E-3</v>
      </c>
    </row>
    <row r="6624" spans="6:7" x14ac:dyDescent="0.2">
      <c r="F6624" s="591">
        <v>6615</v>
      </c>
      <c r="G6624" s="420">
        <f t="shared" ca="1" si="111"/>
        <v>1.3486833608985418E-2</v>
      </c>
    </row>
    <row r="6625" spans="6:7" x14ac:dyDescent="0.2">
      <c r="F6625" s="591">
        <v>6616</v>
      </c>
      <c r="G6625" s="420">
        <f t="shared" ca="1" si="111"/>
        <v>-3.6599807546476584E-2</v>
      </c>
    </row>
    <row r="6626" spans="6:7" x14ac:dyDescent="0.2">
      <c r="F6626" s="591">
        <v>6617</v>
      </c>
      <c r="G6626" s="420">
        <f t="shared" ca="1" si="111"/>
        <v>-3.3893275558351213E-2</v>
      </c>
    </row>
    <row r="6627" spans="6:7" x14ac:dyDescent="0.2">
      <c r="F6627" s="591">
        <v>6618</v>
      </c>
      <c r="G6627" s="420">
        <f t="shared" ca="1" si="111"/>
        <v>-4.4845452429788948E-2</v>
      </c>
    </row>
    <row r="6628" spans="6:7" x14ac:dyDescent="0.2">
      <c r="F6628" s="591">
        <v>6619</v>
      </c>
      <c r="G6628" s="420">
        <f t="shared" ca="1" si="111"/>
        <v>0.11811155587024369</v>
      </c>
    </row>
    <row r="6629" spans="6:7" x14ac:dyDescent="0.2">
      <c r="F6629" s="591">
        <v>6620</v>
      </c>
      <c r="G6629" s="420">
        <f t="shared" ca="1" si="111"/>
        <v>-3.4712143329431108E-2</v>
      </c>
    </row>
    <row r="6630" spans="6:7" x14ac:dyDescent="0.2">
      <c r="F6630" s="591">
        <v>6621</v>
      </c>
      <c r="G6630" s="420">
        <f t="shared" ca="1" si="111"/>
        <v>-6.1492576122243708E-2</v>
      </c>
    </row>
    <row r="6631" spans="6:7" x14ac:dyDescent="0.2">
      <c r="F6631" s="591">
        <v>6622</v>
      </c>
      <c r="G6631" s="420">
        <f t="shared" ca="1" si="111"/>
        <v>6.39037249988436E-2</v>
      </c>
    </row>
    <row r="6632" spans="6:7" x14ac:dyDescent="0.2">
      <c r="F6632" s="591">
        <v>6623</v>
      </c>
      <c r="G6632" s="420">
        <f t="shared" ca="1" si="111"/>
        <v>2.2506839158694218E-2</v>
      </c>
    </row>
    <row r="6633" spans="6:7" x14ac:dyDescent="0.2">
      <c r="F6633" s="591">
        <v>6624</v>
      </c>
      <c r="G6633" s="420">
        <f t="shared" ca="1" si="111"/>
        <v>-1.1546120575472874E-3</v>
      </c>
    </row>
    <row r="6634" spans="6:7" x14ac:dyDescent="0.2">
      <c r="F6634" s="591">
        <v>6625</v>
      </c>
      <c r="G6634" s="420">
        <f t="shared" ca="1" si="111"/>
        <v>0.1307275078880962</v>
      </c>
    </row>
    <row r="6635" spans="6:7" x14ac:dyDescent="0.2">
      <c r="F6635" s="591">
        <v>6626</v>
      </c>
      <c r="G6635" s="420">
        <f t="shared" ca="1" si="111"/>
        <v>6.0029408374996124E-2</v>
      </c>
    </row>
    <row r="6636" spans="6:7" x14ac:dyDescent="0.2">
      <c r="F6636" s="591">
        <v>6627</v>
      </c>
      <c r="G6636" s="420">
        <f t="shared" ca="1" si="111"/>
        <v>0.13820921179164999</v>
      </c>
    </row>
    <row r="6637" spans="6:7" x14ac:dyDescent="0.2">
      <c r="F6637" s="591">
        <v>6628</v>
      </c>
      <c r="G6637" s="420">
        <f t="shared" ca="1" si="111"/>
        <v>-0.10271185342829388</v>
      </c>
    </row>
    <row r="6638" spans="6:7" x14ac:dyDescent="0.2">
      <c r="F6638" s="591">
        <v>6629</v>
      </c>
      <c r="G6638" s="420">
        <f t="shared" ca="1" si="111"/>
        <v>0.13919347818306832</v>
      </c>
    </row>
    <row r="6639" spans="6:7" x14ac:dyDescent="0.2">
      <c r="F6639" s="591">
        <v>6630</v>
      </c>
      <c r="G6639" s="420">
        <f t="shared" ca="1" si="111"/>
        <v>-1.1811774123315511E-2</v>
      </c>
    </row>
    <row r="6640" spans="6:7" x14ac:dyDescent="0.2">
      <c r="F6640" s="591">
        <v>6631</v>
      </c>
      <c r="G6640" s="420">
        <f t="shared" ca="1" si="111"/>
        <v>-7.1981837509797114E-2</v>
      </c>
    </row>
    <row r="6641" spans="6:7" x14ac:dyDescent="0.2">
      <c r="F6641" s="591">
        <v>6632</v>
      </c>
      <c r="G6641" s="420">
        <f t="shared" ca="1" si="111"/>
        <v>-2.3447359641883218E-3</v>
      </c>
    </row>
    <row r="6642" spans="6:7" x14ac:dyDescent="0.2">
      <c r="F6642" s="591">
        <v>6633</v>
      </c>
      <c r="G6642" s="420">
        <f t="shared" ca="1" si="111"/>
        <v>1.7837318216652027E-2</v>
      </c>
    </row>
    <row r="6643" spans="6:7" x14ac:dyDescent="0.2">
      <c r="F6643" s="591">
        <v>6634</v>
      </c>
      <c r="G6643" s="420">
        <f t="shared" ca="1" si="111"/>
        <v>-9.8766803800729594E-2</v>
      </c>
    </row>
    <row r="6644" spans="6:7" x14ac:dyDescent="0.2">
      <c r="F6644" s="591">
        <v>6635</v>
      </c>
      <c r="G6644" s="420">
        <f t="shared" ca="1" si="111"/>
        <v>5.4610733795896496E-2</v>
      </c>
    </row>
    <row r="6645" spans="6:7" x14ac:dyDescent="0.2">
      <c r="F6645" s="591">
        <v>6636</v>
      </c>
      <c r="G6645" s="420">
        <f t="shared" ca="1" si="111"/>
        <v>-7.2279614571273493E-2</v>
      </c>
    </row>
    <row r="6646" spans="6:7" x14ac:dyDescent="0.2">
      <c r="F6646" s="591">
        <v>6637</v>
      </c>
      <c r="G6646" s="420">
        <f t="shared" ca="1" si="111"/>
        <v>-3.9141349836940106E-2</v>
      </c>
    </row>
    <row r="6647" spans="6:7" x14ac:dyDescent="0.2">
      <c r="F6647" s="591">
        <v>6638</v>
      </c>
      <c r="G6647" s="420">
        <f t="shared" ca="1" si="111"/>
        <v>8.694240359457199E-2</v>
      </c>
    </row>
    <row r="6648" spans="6:7" x14ac:dyDescent="0.2">
      <c r="F6648" s="591">
        <v>6639</v>
      </c>
      <c r="G6648" s="420">
        <f t="shared" ca="1" si="111"/>
        <v>0.12778707029546632</v>
      </c>
    </row>
    <row r="6649" spans="6:7" x14ac:dyDescent="0.2">
      <c r="F6649" s="591">
        <v>6640</v>
      </c>
      <c r="G6649" s="420">
        <f t="shared" ca="1" si="111"/>
        <v>1.5519147217961923E-2</v>
      </c>
    </row>
    <row r="6650" spans="6:7" x14ac:dyDescent="0.2">
      <c r="F6650" s="591">
        <v>6641</v>
      </c>
      <c r="G6650" s="420">
        <f t="shared" ca="1" si="111"/>
        <v>6.1000018515241106E-3</v>
      </c>
    </row>
    <row r="6651" spans="6:7" x14ac:dyDescent="0.2">
      <c r="F6651" s="591">
        <v>6642</v>
      </c>
      <c r="G6651" s="420">
        <f t="shared" ca="1" si="111"/>
        <v>4.1039487710838547E-2</v>
      </c>
    </row>
    <row r="6652" spans="6:7" x14ac:dyDescent="0.2">
      <c r="F6652" s="591">
        <v>6643</v>
      </c>
      <c r="G6652" s="420">
        <f t="shared" ca="1" si="111"/>
        <v>2.246125797935368E-2</v>
      </c>
    </row>
    <row r="6653" spans="6:7" x14ac:dyDescent="0.2">
      <c r="F6653" s="591">
        <v>6644</v>
      </c>
      <c r="G6653" s="420">
        <f t="shared" ca="1" si="111"/>
        <v>0.10890413809095779</v>
      </c>
    </row>
    <row r="6654" spans="6:7" x14ac:dyDescent="0.2">
      <c r="F6654" s="591">
        <v>6645</v>
      </c>
      <c r="G6654" s="420">
        <f t="shared" ca="1" si="111"/>
        <v>1.7447452277128371E-4</v>
      </c>
    </row>
    <row r="6655" spans="6:7" x14ac:dyDescent="0.2">
      <c r="F6655" s="591">
        <v>6646</v>
      </c>
      <c r="G6655" s="420">
        <f t="shared" ca="1" si="111"/>
        <v>8.946353656542666E-2</v>
      </c>
    </row>
    <row r="6656" spans="6:7" x14ac:dyDescent="0.2">
      <c r="F6656" s="591">
        <v>6647</v>
      </c>
      <c r="G6656" s="420">
        <f t="shared" ca="1" si="111"/>
        <v>-7.9970176534198037E-2</v>
      </c>
    </row>
    <row r="6657" spans="6:7" x14ac:dyDescent="0.2">
      <c r="F6657" s="591">
        <v>6648</v>
      </c>
      <c r="G6657" s="420">
        <f t="shared" ca="1" si="111"/>
        <v>-4.8084830675336462E-2</v>
      </c>
    </row>
    <row r="6658" spans="6:7" x14ac:dyDescent="0.2">
      <c r="F6658" s="591">
        <v>6649</v>
      </c>
      <c r="G6658" s="420">
        <f t="shared" ca="1" si="111"/>
        <v>-7.1115789317339154E-2</v>
      </c>
    </row>
    <row r="6659" spans="6:7" x14ac:dyDescent="0.2">
      <c r="F6659" s="591">
        <v>6650</v>
      </c>
      <c r="G6659" s="420">
        <f t="shared" ca="1" si="111"/>
        <v>-1.9026107377192368E-2</v>
      </c>
    </row>
    <row r="6660" spans="6:7" x14ac:dyDescent="0.2">
      <c r="F6660" s="591">
        <v>6651</v>
      </c>
      <c r="G6660" s="420">
        <f t="shared" ca="1" si="111"/>
        <v>-5.4118717939023342E-2</v>
      </c>
    </row>
    <row r="6661" spans="6:7" x14ac:dyDescent="0.2">
      <c r="F6661" s="591">
        <v>6652</v>
      </c>
      <c r="G6661" s="420">
        <f t="shared" ca="1" si="111"/>
        <v>-2.0580988463834559E-2</v>
      </c>
    </row>
    <row r="6662" spans="6:7" x14ac:dyDescent="0.2">
      <c r="F6662" s="591">
        <v>6653</v>
      </c>
      <c r="G6662" s="420">
        <f t="shared" ca="1" si="111"/>
        <v>2.4400457301437736E-3</v>
      </c>
    </row>
    <row r="6663" spans="6:7" x14ac:dyDescent="0.2">
      <c r="F6663" s="591">
        <v>6654</v>
      </c>
      <c r="G6663" s="420">
        <f t="shared" ca="1" si="111"/>
        <v>3.2487230384917555E-2</v>
      </c>
    </row>
    <row r="6664" spans="6:7" x14ac:dyDescent="0.2">
      <c r="F6664" s="591">
        <v>6655</v>
      </c>
      <c r="G6664" s="420">
        <f t="shared" ca="1" si="111"/>
        <v>-7.5898406219207654E-3</v>
      </c>
    </row>
    <row r="6665" spans="6:7" x14ac:dyDescent="0.2">
      <c r="F6665" s="591">
        <v>6656</v>
      </c>
      <c r="G6665" s="420">
        <f t="shared" ca="1" si="111"/>
        <v>8.2036931141427002E-2</v>
      </c>
    </row>
    <row r="6666" spans="6:7" x14ac:dyDescent="0.2">
      <c r="F6666" s="591">
        <v>6657</v>
      </c>
      <c r="G6666" s="420">
        <f t="shared" ca="1" si="111"/>
        <v>7.6292430585959109E-2</v>
      </c>
    </row>
    <row r="6667" spans="6:7" x14ac:dyDescent="0.2">
      <c r="F6667" s="591">
        <v>6658</v>
      </c>
      <c r="G6667" s="420">
        <f t="shared" ref="G6667:G6730" ca="1" si="112">_xlfn.NORM.INV(RAND(), $M$11,$M$12)</f>
        <v>4.2017309091975735E-2</v>
      </c>
    </row>
    <row r="6668" spans="6:7" x14ac:dyDescent="0.2">
      <c r="F6668" s="591">
        <v>6659</v>
      </c>
      <c r="G6668" s="420">
        <f t="shared" ca="1" si="112"/>
        <v>0.19985032490956423</v>
      </c>
    </row>
    <row r="6669" spans="6:7" x14ac:dyDescent="0.2">
      <c r="F6669" s="591">
        <v>6660</v>
      </c>
      <c r="G6669" s="420">
        <f t="shared" ca="1" si="112"/>
        <v>8.0994680826686968E-2</v>
      </c>
    </row>
    <row r="6670" spans="6:7" x14ac:dyDescent="0.2">
      <c r="F6670" s="591">
        <v>6661</v>
      </c>
      <c r="G6670" s="420">
        <f t="shared" ca="1" si="112"/>
        <v>0.10486315057951612</v>
      </c>
    </row>
    <row r="6671" spans="6:7" x14ac:dyDescent="0.2">
      <c r="F6671" s="591">
        <v>6662</v>
      </c>
      <c r="G6671" s="420">
        <f t="shared" ca="1" si="112"/>
        <v>-9.9400382799443715E-2</v>
      </c>
    </row>
    <row r="6672" spans="6:7" x14ac:dyDescent="0.2">
      <c r="F6672" s="591">
        <v>6663</v>
      </c>
      <c r="G6672" s="420">
        <f t="shared" ca="1" si="112"/>
        <v>9.532787745116017E-2</v>
      </c>
    </row>
    <row r="6673" spans="6:7" x14ac:dyDescent="0.2">
      <c r="F6673" s="591">
        <v>6664</v>
      </c>
      <c r="G6673" s="420">
        <f t="shared" ca="1" si="112"/>
        <v>0.11669074452308568</v>
      </c>
    </row>
    <row r="6674" spans="6:7" x14ac:dyDescent="0.2">
      <c r="F6674" s="591">
        <v>6665</v>
      </c>
      <c r="G6674" s="420">
        <f t="shared" ca="1" si="112"/>
        <v>7.7955155236395998E-2</v>
      </c>
    </row>
    <row r="6675" spans="6:7" x14ac:dyDescent="0.2">
      <c r="F6675" s="591">
        <v>6666</v>
      </c>
      <c r="G6675" s="420">
        <f t="shared" ca="1" si="112"/>
        <v>4.3191487849808793E-2</v>
      </c>
    </row>
    <row r="6676" spans="6:7" x14ac:dyDescent="0.2">
      <c r="F6676" s="591">
        <v>6667</v>
      </c>
      <c r="G6676" s="420">
        <f t="shared" ca="1" si="112"/>
        <v>-6.152498503866656E-2</v>
      </c>
    </row>
    <row r="6677" spans="6:7" x14ac:dyDescent="0.2">
      <c r="F6677" s="591">
        <v>6668</v>
      </c>
      <c r="G6677" s="420">
        <f t="shared" ca="1" si="112"/>
        <v>-4.3032135520169171E-2</v>
      </c>
    </row>
    <row r="6678" spans="6:7" x14ac:dyDescent="0.2">
      <c r="F6678" s="591">
        <v>6669</v>
      </c>
      <c r="G6678" s="420">
        <f t="shared" ca="1" si="112"/>
        <v>-1.4444670122611112E-2</v>
      </c>
    </row>
    <row r="6679" spans="6:7" x14ac:dyDescent="0.2">
      <c r="F6679" s="591">
        <v>6670</v>
      </c>
      <c r="G6679" s="420">
        <f t="shared" ca="1" si="112"/>
        <v>-0.1295605937475241</v>
      </c>
    </row>
    <row r="6680" spans="6:7" x14ac:dyDescent="0.2">
      <c r="F6680" s="591">
        <v>6671</v>
      </c>
      <c r="G6680" s="420">
        <f t="shared" ca="1" si="112"/>
        <v>9.9343850380552851E-3</v>
      </c>
    </row>
    <row r="6681" spans="6:7" x14ac:dyDescent="0.2">
      <c r="F6681" s="591">
        <v>6672</v>
      </c>
      <c r="G6681" s="420">
        <f t="shared" ca="1" si="112"/>
        <v>-9.8649660726053884E-2</v>
      </c>
    </row>
    <row r="6682" spans="6:7" x14ac:dyDescent="0.2">
      <c r="F6682" s="591">
        <v>6673</v>
      </c>
      <c r="G6682" s="420">
        <f t="shared" ca="1" si="112"/>
        <v>-2.2543836113178849E-2</v>
      </c>
    </row>
    <row r="6683" spans="6:7" x14ac:dyDescent="0.2">
      <c r="F6683" s="591">
        <v>6674</v>
      </c>
      <c r="G6683" s="420">
        <f t="shared" ca="1" si="112"/>
        <v>7.3404998943020786E-2</v>
      </c>
    </row>
    <row r="6684" spans="6:7" x14ac:dyDescent="0.2">
      <c r="F6684" s="591">
        <v>6675</v>
      </c>
      <c r="G6684" s="420">
        <f t="shared" ca="1" si="112"/>
        <v>-2.6706457892539223E-2</v>
      </c>
    </row>
    <row r="6685" spans="6:7" x14ac:dyDescent="0.2">
      <c r="F6685" s="591">
        <v>6676</v>
      </c>
      <c r="G6685" s="420">
        <f t="shared" ca="1" si="112"/>
        <v>-2.3400698302928489E-2</v>
      </c>
    </row>
    <row r="6686" spans="6:7" x14ac:dyDescent="0.2">
      <c r="F6686" s="591">
        <v>6677</v>
      </c>
      <c r="G6686" s="420">
        <f t="shared" ca="1" si="112"/>
        <v>-1.1439839302332458E-3</v>
      </c>
    </row>
    <row r="6687" spans="6:7" x14ac:dyDescent="0.2">
      <c r="F6687" s="591">
        <v>6678</v>
      </c>
      <c r="G6687" s="420">
        <f t="shared" ca="1" si="112"/>
        <v>2.3760290390203938E-2</v>
      </c>
    </row>
    <row r="6688" spans="6:7" x14ac:dyDescent="0.2">
      <c r="F6688" s="591">
        <v>6679</v>
      </c>
      <c r="G6688" s="420">
        <f t="shared" ca="1" si="112"/>
        <v>-3.1063381461438919E-2</v>
      </c>
    </row>
    <row r="6689" spans="6:7" x14ac:dyDescent="0.2">
      <c r="F6689" s="591">
        <v>6680</v>
      </c>
      <c r="G6689" s="420">
        <f t="shared" ca="1" si="112"/>
        <v>7.0953385553258461E-2</v>
      </c>
    </row>
    <row r="6690" spans="6:7" x14ac:dyDescent="0.2">
      <c r="F6690" s="591">
        <v>6681</v>
      </c>
      <c r="G6690" s="420">
        <f t="shared" ca="1" si="112"/>
        <v>4.1382029033177219E-2</v>
      </c>
    </row>
    <row r="6691" spans="6:7" x14ac:dyDescent="0.2">
      <c r="F6691" s="591">
        <v>6682</v>
      </c>
      <c r="G6691" s="420">
        <f t="shared" ca="1" si="112"/>
        <v>-3.448439033208886E-2</v>
      </c>
    </row>
    <row r="6692" spans="6:7" x14ac:dyDescent="0.2">
      <c r="F6692" s="591">
        <v>6683</v>
      </c>
      <c r="G6692" s="420">
        <f t="shared" ca="1" si="112"/>
        <v>-5.9104928283121805E-2</v>
      </c>
    </row>
    <row r="6693" spans="6:7" x14ac:dyDescent="0.2">
      <c r="F6693" s="591">
        <v>6684</v>
      </c>
      <c r="G6693" s="420">
        <f t="shared" ca="1" si="112"/>
        <v>3.5894267393097916E-2</v>
      </c>
    </row>
    <row r="6694" spans="6:7" x14ac:dyDescent="0.2">
      <c r="F6694" s="591">
        <v>6685</v>
      </c>
      <c r="G6694" s="420">
        <f t="shared" ca="1" si="112"/>
        <v>7.4748197366761887E-2</v>
      </c>
    </row>
    <row r="6695" spans="6:7" x14ac:dyDescent="0.2">
      <c r="F6695" s="591">
        <v>6686</v>
      </c>
      <c r="G6695" s="420">
        <f t="shared" ca="1" si="112"/>
        <v>0.14692351915852228</v>
      </c>
    </row>
    <row r="6696" spans="6:7" x14ac:dyDescent="0.2">
      <c r="F6696" s="591">
        <v>6687</v>
      </c>
      <c r="G6696" s="420">
        <f t="shared" ca="1" si="112"/>
        <v>-6.1903791800962504E-2</v>
      </c>
    </row>
    <row r="6697" spans="6:7" x14ac:dyDescent="0.2">
      <c r="F6697" s="591">
        <v>6688</v>
      </c>
      <c r="G6697" s="420">
        <f t="shared" ca="1" si="112"/>
        <v>-0.15203590046982962</v>
      </c>
    </row>
    <row r="6698" spans="6:7" x14ac:dyDescent="0.2">
      <c r="F6698" s="591">
        <v>6689</v>
      </c>
      <c r="G6698" s="420">
        <f t="shared" ca="1" si="112"/>
        <v>1.1841306890987275E-2</v>
      </c>
    </row>
    <row r="6699" spans="6:7" x14ac:dyDescent="0.2">
      <c r="F6699" s="591">
        <v>6690</v>
      </c>
      <c r="G6699" s="420">
        <f t="shared" ca="1" si="112"/>
        <v>2.0723019585214855E-2</v>
      </c>
    </row>
    <row r="6700" spans="6:7" x14ac:dyDescent="0.2">
      <c r="F6700" s="591">
        <v>6691</v>
      </c>
      <c r="G6700" s="420">
        <f t="shared" ca="1" si="112"/>
        <v>-8.9238695947035124E-2</v>
      </c>
    </row>
    <row r="6701" spans="6:7" x14ac:dyDescent="0.2">
      <c r="F6701" s="591">
        <v>6692</v>
      </c>
      <c r="G6701" s="420">
        <f t="shared" ca="1" si="112"/>
        <v>-5.9865084754391312E-2</v>
      </c>
    </row>
    <row r="6702" spans="6:7" x14ac:dyDescent="0.2">
      <c r="F6702" s="591">
        <v>6693</v>
      </c>
      <c r="G6702" s="420">
        <f t="shared" ca="1" si="112"/>
        <v>7.8236265859749049E-2</v>
      </c>
    </row>
    <row r="6703" spans="6:7" x14ac:dyDescent="0.2">
      <c r="F6703" s="591">
        <v>6694</v>
      </c>
      <c r="G6703" s="420">
        <f t="shared" ca="1" si="112"/>
        <v>9.5456745535831847E-2</v>
      </c>
    </row>
    <row r="6704" spans="6:7" x14ac:dyDescent="0.2">
      <c r="F6704" s="591">
        <v>6695</v>
      </c>
      <c r="G6704" s="420">
        <f t="shared" ca="1" si="112"/>
        <v>9.2819363572301694E-2</v>
      </c>
    </row>
    <row r="6705" spans="6:7" x14ac:dyDescent="0.2">
      <c r="F6705" s="591">
        <v>6696</v>
      </c>
      <c r="G6705" s="420">
        <f t="shared" ca="1" si="112"/>
        <v>6.437564338412026E-2</v>
      </c>
    </row>
    <row r="6706" spans="6:7" x14ac:dyDescent="0.2">
      <c r="F6706" s="591">
        <v>6697</v>
      </c>
      <c r="G6706" s="420">
        <f t="shared" ca="1" si="112"/>
        <v>1.9191011797433995E-2</v>
      </c>
    </row>
    <row r="6707" spans="6:7" x14ac:dyDescent="0.2">
      <c r="F6707" s="591">
        <v>6698</v>
      </c>
      <c r="G6707" s="420">
        <f t="shared" ca="1" si="112"/>
        <v>2.7720644887448347E-2</v>
      </c>
    </row>
    <row r="6708" spans="6:7" x14ac:dyDescent="0.2">
      <c r="F6708" s="591">
        <v>6699</v>
      </c>
      <c r="G6708" s="420">
        <f t="shared" ca="1" si="112"/>
        <v>1.4627547437496733E-2</v>
      </c>
    </row>
    <row r="6709" spans="6:7" x14ac:dyDescent="0.2">
      <c r="F6709" s="591">
        <v>6700</v>
      </c>
      <c r="G6709" s="420">
        <f t="shared" ca="1" si="112"/>
        <v>-6.4761075526255762E-2</v>
      </c>
    </row>
    <row r="6710" spans="6:7" x14ac:dyDescent="0.2">
      <c r="F6710" s="591">
        <v>6701</v>
      </c>
      <c r="G6710" s="420">
        <f t="shared" ca="1" si="112"/>
        <v>-6.1613904670331537E-2</v>
      </c>
    </row>
    <row r="6711" spans="6:7" x14ac:dyDescent="0.2">
      <c r="F6711" s="591">
        <v>6702</v>
      </c>
      <c r="G6711" s="420">
        <f t="shared" ca="1" si="112"/>
        <v>6.7610682865111515E-2</v>
      </c>
    </row>
    <row r="6712" spans="6:7" x14ac:dyDescent="0.2">
      <c r="F6712" s="591">
        <v>6703</v>
      </c>
      <c r="G6712" s="420">
        <f t="shared" ca="1" si="112"/>
        <v>-0.16404472505639583</v>
      </c>
    </row>
    <row r="6713" spans="6:7" x14ac:dyDescent="0.2">
      <c r="F6713" s="591">
        <v>6704</v>
      </c>
      <c r="G6713" s="420">
        <f t="shared" ca="1" si="112"/>
        <v>-1.3216233816011773E-2</v>
      </c>
    </row>
    <row r="6714" spans="6:7" x14ac:dyDescent="0.2">
      <c r="F6714" s="591">
        <v>6705</v>
      </c>
      <c r="G6714" s="420">
        <f t="shared" ca="1" si="112"/>
        <v>-1.8292168724519751E-2</v>
      </c>
    </row>
    <row r="6715" spans="6:7" x14ac:dyDescent="0.2">
      <c r="F6715" s="591">
        <v>6706</v>
      </c>
      <c r="G6715" s="420">
        <f t="shared" ca="1" si="112"/>
        <v>-1.1333559718068039E-2</v>
      </c>
    </row>
    <row r="6716" spans="6:7" x14ac:dyDescent="0.2">
      <c r="F6716" s="591">
        <v>6707</v>
      </c>
      <c r="G6716" s="420">
        <f t="shared" ca="1" si="112"/>
        <v>0.10417769813184462</v>
      </c>
    </row>
    <row r="6717" spans="6:7" x14ac:dyDescent="0.2">
      <c r="F6717" s="591">
        <v>6708</v>
      </c>
      <c r="G6717" s="420">
        <f t="shared" ca="1" si="112"/>
        <v>5.5029331916737798E-2</v>
      </c>
    </row>
    <row r="6718" spans="6:7" x14ac:dyDescent="0.2">
      <c r="F6718" s="591">
        <v>6709</v>
      </c>
      <c r="G6718" s="420">
        <f t="shared" ca="1" si="112"/>
        <v>-6.8066742814817949E-2</v>
      </c>
    </row>
    <row r="6719" spans="6:7" x14ac:dyDescent="0.2">
      <c r="F6719" s="591">
        <v>6710</v>
      </c>
      <c r="G6719" s="420">
        <f t="shared" ca="1" si="112"/>
        <v>-4.5608277802184682E-2</v>
      </c>
    </row>
    <row r="6720" spans="6:7" x14ac:dyDescent="0.2">
      <c r="F6720" s="591">
        <v>6711</v>
      </c>
      <c r="G6720" s="420">
        <f t="shared" ca="1" si="112"/>
        <v>-6.9951467044501135E-3</v>
      </c>
    </row>
    <row r="6721" spans="6:7" x14ac:dyDescent="0.2">
      <c r="F6721" s="591">
        <v>6712</v>
      </c>
      <c r="G6721" s="420">
        <f t="shared" ca="1" si="112"/>
        <v>0.13252290855894272</v>
      </c>
    </row>
    <row r="6722" spans="6:7" x14ac:dyDescent="0.2">
      <c r="F6722" s="591">
        <v>6713</v>
      </c>
      <c r="G6722" s="420">
        <f t="shared" ca="1" si="112"/>
        <v>0.11220107726923693</v>
      </c>
    </row>
    <row r="6723" spans="6:7" x14ac:dyDescent="0.2">
      <c r="F6723" s="591">
        <v>6714</v>
      </c>
      <c r="G6723" s="420">
        <f t="shared" ca="1" si="112"/>
        <v>-3.6274775175289837E-3</v>
      </c>
    </row>
    <row r="6724" spans="6:7" x14ac:dyDescent="0.2">
      <c r="F6724" s="591">
        <v>6715</v>
      </c>
      <c r="G6724" s="420">
        <f t="shared" ca="1" si="112"/>
        <v>2.5743218108774474E-2</v>
      </c>
    </row>
    <row r="6725" spans="6:7" x14ac:dyDescent="0.2">
      <c r="F6725" s="591">
        <v>6716</v>
      </c>
      <c r="G6725" s="420">
        <f t="shared" ca="1" si="112"/>
        <v>4.8638790217356065E-2</v>
      </c>
    </row>
    <row r="6726" spans="6:7" x14ac:dyDescent="0.2">
      <c r="F6726" s="591">
        <v>6717</v>
      </c>
      <c r="G6726" s="420">
        <f t="shared" ca="1" si="112"/>
        <v>-8.1416910263453109E-4</v>
      </c>
    </row>
    <row r="6727" spans="6:7" x14ac:dyDescent="0.2">
      <c r="F6727" s="591">
        <v>6718</v>
      </c>
      <c r="G6727" s="420">
        <f t="shared" ca="1" si="112"/>
        <v>0.10778031032092537</v>
      </c>
    </row>
    <row r="6728" spans="6:7" x14ac:dyDescent="0.2">
      <c r="F6728" s="591">
        <v>6719</v>
      </c>
      <c r="G6728" s="420">
        <f t="shared" ca="1" si="112"/>
        <v>-5.5925859903321398E-3</v>
      </c>
    </row>
    <row r="6729" spans="6:7" x14ac:dyDescent="0.2">
      <c r="F6729" s="591">
        <v>6720</v>
      </c>
      <c r="G6729" s="420">
        <f t="shared" ca="1" si="112"/>
        <v>0.13159846535863018</v>
      </c>
    </row>
    <row r="6730" spans="6:7" x14ac:dyDescent="0.2">
      <c r="F6730" s="591">
        <v>6721</v>
      </c>
      <c r="G6730" s="420">
        <f t="shared" ca="1" si="112"/>
        <v>6.7161951133141509E-2</v>
      </c>
    </row>
    <row r="6731" spans="6:7" x14ac:dyDescent="0.2">
      <c r="F6731" s="591">
        <v>6722</v>
      </c>
      <c r="G6731" s="420">
        <f t="shared" ref="G6731:G6794" ca="1" si="113">_xlfn.NORM.INV(RAND(), $M$11,$M$12)</f>
        <v>2.8930357366962079E-2</v>
      </c>
    </row>
    <row r="6732" spans="6:7" x14ac:dyDescent="0.2">
      <c r="F6732" s="591">
        <v>6723</v>
      </c>
      <c r="G6732" s="420">
        <f t="shared" ca="1" si="113"/>
        <v>3.8817924187060197E-2</v>
      </c>
    </row>
    <row r="6733" spans="6:7" x14ac:dyDescent="0.2">
      <c r="F6733" s="591">
        <v>6724</v>
      </c>
      <c r="G6733" s="420">
        <f t="shared" ca="1" si="113"/>
        <v>-0.11180994584276287</v>
      </c>
    </row>
    <row r="6734" spans="6:7" x14ac:dyDescent="0.2">
      <c r="F6734" s="591">
        <v>6725</v>
      </c>
      <c r="G6734" s="420">
        <f t="shared" ca="1" si="113"/>
        <v>-8.8395130585622428E-2</v>
      </c>
    </row>
    <row r="6735" spans="6:7" x14ac:dyDescent="0.2">
      <c r="F6735" s="591">
        <v>6726</v>
      </c>
      <c r="G6735" s="420">
        <f t="shared" ca="1" si="113"/>
        <v>5.6980630806632529E-2</v>
      </c>
    </row>
    <row r="6736" spans="6:7" x14ac:dyDescent="0.2">
      <c r="F6736" s="591">
        <v>6727</v>
      </c>
      <c r="G6736" s="420">
        <f t="shared" ca="1" si="113"/>
        <v>8.6537097279685643E-2</v>
      </c>
    </row>
    <row r="6737" spans="6:7" x14ac:dyDescent="0.2">
      <c r="F6737" s="591">
        <v>6728</v>
      </c>
      <c r="G6737" s="420">
        <f t="shared" ca="1" si="113"/>
        <v>-2.3384226271651109E-2</v>
      </c>
    </row>
    <row r="6738" spans="6:7" x14ac:dyDescent="0.2">
      <c r="F6738" s="591">
        <v>6729</v>
      </c>
      <c r="G6738" s="420">
        <f t="shared" ca="1" si="113"/>
        <v>-1.100909155765355E-2</v>
      </c>
    </row>
    <row r="6739" spans="6:7" x14ac:dyDescent="0.2">
      <c r="F6739" s="591">
        <v>6730</v>
      </c>
      <c r="G6739" s="420">
        <f t="shared" ca="1" si="113"/>
        <v>1.8055487175286971E-2</v>
      </c>
    </row>
    <row r="6740" spans="6:7" x14ac:dyDescent="0.2">
      <c r="F6740" s="591">
        <v>6731</v>
      </c>
      <c r="G6740" s="420">
        <f t="shared" ca="1" si="113"/>
        <v>0.14125784935503324</v>
      </c>
    </row>
    <row r="6741" spans="6:7" x14ac:dyDescent="0.2">
      <c r="F6741" s="591">
        <v>6732</v>
      </c>
      <c r="G6741" s="420">
        <f t="shared" ca="1" si="113"/>
        <v>1.7256396487602431E-2</v>
      </c>
    </row>
    <row r="6742" spans="6:7" x14ac:dyDescent="0.2">
      <c r="F6742" s="591">
        <v>6733</v>
      </c>
      <c r="G6742" s="420">
        <f t="shared" ca="1" si="113"/>
        <v>0.14778523964676199</v>
      </c>
    </row>
    <row r="6743" spans="6:7" x14ac:dyDescent="0.2">
      <c r="F6743" s="591">
        <v>6734</v>
      </c>
      <c r="G6743" s="420">
        <f t="shared" ca="1" si="113"/>
        <v>1.4038746278571162E-2</v>
      </c>
    </row>
    <row r="6744" spans="6:7" x14ac:dyDescent="0.2">
      <c r="F6744" s="591">
        <v>6735</v>
      </c>
      <c r="G6744" s="420">
        <f t="shared" ca="1" si="113"/>
        <v>9.4967464262255566E-2</v>
      </c>
    </row>
    <row r="6745" spans="6:7" x14ac:dyDescent="0.2">
      <c r="F6745" s="591">
        <v>6736</v>
      </c>
      <c r="G6745" s="420">
        <f t="shared" ca="1" si="113"/>
        <v>-3.6589962194153558E-2</v>
      </c>
    </row>
    <row r="6746" spans="6:7" x14ac:dyDescent="0.2">
      <c r="F6746" s="591">
        <v>6737</v>
      </c>
      <c r="G6746" s="420">
        <f t="shared" ca="1" si="113"/>
        <v>-2.08647569873491E-2</v>
      </c>
    </row>
    <row r="6747" spans="6:7" x14ac:dyDescent="0.2">
      <c r="F6747" s="591">
        <v>6738</v>
      </c>
      <c r="G6747" s="420">
        <f t="shared" ca="1" si="113"/>
        <v>-6.5072705201797615E-2</v>
      </c>
    </row>
    <row r="6748" spans="6:7" x14ac:dyDescent="0.2">
      <c r="F6748" s="591">
        <v>6739</v>
      </c>
      <c r="G6748" s="420">
        <f t="shared" ca="1" si="113"/>
        <v>1.4104367971185163E-2</v>
      </c>
    </row>
    <row r="6749" spans="6:7" x14ac:dyDescent="0.2">
      <c r="F6749" s="591">
        <v>6740</v>
      </c>
      <c r="G6749" s="420">
        <f t="shared" ca="1" si="113"/>
        <v>8.1034222030082828E-4</v>
      </c>
    </row>
    <row r="6750" spans="6:7" x14ac:dyDescent="0.2">
      <c r="F6750" s="591">
        <v>6741</v>
      </c>
      <c r="G6750" s="420">
        <f t="shared" ca="1" si="113"/>
        <v>-5.7598684276770895E-2</v>
      </c>
    </row>
    <row r="6751" spans="6:7" x14ac:dyDescent="0.2">
      <c r="F6751" s="591">
        <v>6742</v>
      </c>
      <c r="G6751" s="420">
        <f t="shared" ca="1" si="113"/>
        <v>5.8825115318597104E-2</v>
      </c>
    </row>
    <row r="6752" spans="6:7" x14ac:dyDescent="0.2">
      <c r="F6752" s="591">
        <v>6743</v>
      </c>
      <c r="G6752" s="420">
        <f t="shared" ca="1" si="113"/>
        <v>0.21241973577332879</v>
      </c>
    </row>
    <row r="6753" spans="6:7" x14ac:dyDescent="0.2">
      <c r="F6753" s="591">
        <v>6744</v>
      </c>
      <c r="G6753" s="420">
        <f t="shared" ca="1" si="113"/>
        <v>-7.3543336662414374E-2</v>
      </c>
    </row>
    <row r="6754" spans="6:7" x14ac:dyDescent="0.2">
      <c r="F6754" s="591">
        <v>6745</v>
      </c>
      <c r="G6754" s="420">
        <f t="shared" ca="1" si="113"/>
        <v>-2.6385714565402559E-2</v>
      </c>
    </row>
    <row r="6755" spans="6:7" x14ac:dyDescent="0.2">
      <c r="F6755" s="591">
        <v>6746</v>
      </c>
      <c r="G6755" s="420">
        <f t="shared" ca="1" si="113"/>
        <v>0.11605373619264289</v>
      </c>
    </row>
    <row r="6756" spans="6:7" x14ac:dyDescent="0.2">
      <c r="F6756" s="591">
        <v>6747</v>
      </c>
      <c r="G6756" s="420">
        <f t="shared" ca="1" si="113"/>
        <v>-4.0070521916163851E-2</v>
      </c>
    </row>
    <row r="6757" spans="6:7" x14ac:dyDescent="0.2">
      <c r="F6757" s="591">
        <v>6748</v>
      </c>
      <c r="G6757" s="420">
        <f t="shared" ca="1" si="113"/>
        <v>4.8606362573980294E-2</v>
      </c>
    </row>
    <row r="6758" spans="6:7" x14ac:dyDescent="0.2">
      <c r="F6758" s="591">
        <v>6749</v>
      </c>
      <c r="G6758" s="420">
        <f t="shared" ca="1" si="113"/>
        <v>-4.1917570459334752E-2</v>
      </c>
    </row>
    <row r="6759" spans="6:7" x14ac:dyDescent="0.2">
      <c r="F6759" s="591">
        <v>6750</v>
      </c>
      <c r="G6759" s="420">
        <f t="shared" ca="1" si="113"/>
        <v>-5.8842480432905964E-2</v>
      </c>
    </row>
    <row r="6760" spans="6:7" x14ac:dyDescent="0.2">
      <c r="F6760" s="591">
        <v>6751</v>
      </c>
      <c r="G6760" s="420">
        <f t="shared" ca="1" si="113"/>
        <v>1.4548307061346357E-2</v>
      </c>
    </row>
    <row r="6761" spans="6:7" x14ac:dyDescent="0.2">
      <c r="F6761" s="591">
        <v>6752</v>
      </c>
      <c r="G6761" s="420">
        <f t="shared" ca="1" si="113"/>
        <v>-7.5442102162073962E-2</v>
      </c>
    </row>
    <row r="6762" spans="6:7" x14ac:dyDescent="0.2">
      <c r="F6762" s="591">
        <v>6753</v>
      </c>
      <c r="G6762" s="420">
        <f t="shared" ca="1" si="113"/>
        <v>0.11146562861438278</v>
      </c>
    </row>
    <row r="6763" spans="6:7" x14ac:dyDescent="0.2">
      <c r="F6763" s="591">
        <v>6754</v>
      </c>
      <c r="G6763" s="420">
        <f t="shared" ca="1" si="113"/>
        <v>4.9538109317282308E-2</v>
      </c>
    </row>
    <row r="6764" spans="6:7" x14ac:dyDescent="0.2">
      <c r="F6764" s="591">
        <v>6755</v>
      </c>
      <c r="G6764" s="420">
        <f t="shared" ca="1" si="113"/>
        <v>7.6990570480005849E-2</v>
      </c>
    </row>
    <row r="6765" spans="6:7" x14ac:dyDescent="0.2">
      <c r="F6765" s="591">
        <v>6756</v>
      </c>
      <c r="G6765" s="420">
        <f t="shared" ca="1" si="113"/>
        <v>0.11310628649303109</v>
      </c>
    </row>
    <row r="6766" spans="6:7" x14ac:dyDescent="0.2">
      <c r="F6766" s="591">
        <v>6757</v>
      </c>
      <c r="G6766" s="420">
        <f t="shared" ca="1" si="113"/>
        <v>0.15376205768102277</v>
      </c>
    </row>
    <row r="6767" spans="6:7" x14ac:dyDescent="0.2">
      <c r="F6767" s="591">
        <v>6758</v>
      </c>
      <c r="G6767" s="420">
        <f t="shared" ca="1" si="113"/>
        <v>-2.254050088013548E-2</v>
      </c>
    </row>
    <row r="6768" spans="6:7" x14ac:dyDescent="0.2">
      <c r="F6768" s="591">
        <v>6759</v>
      </c>
      <c r="G6768" s="420">
        <f t="shared" ca="1" si="113"/>
        <v>7.4654248101629447E-2</v>
      </c>
    </row>
    <row r="6769" spans="6:7" x14ac:dyDescent="0.2">
      <c r="F6769" s="591">
        <v>6760</v>
      </c>
      <c r="G6769" s="420">
        <f t="shared" ca="1" si="113"/>
        <v>-2.1438445601446848E-3</v>
      </c>
    </row>
    <row r="6770" spans="6:7" x14ac:dyDescent="0.2">
      <c r="F6770" s="591">
        <v>6761</v>
      </c>
      <c r="G6770" s="420">
        <f t="shared" ca="1" si="113"/>
        <v>9.8495809388904829E-2</v>
      </c>
    </row>
    <row r="6771" spans="6:7" x14ac:dyDescent="0.2">
      <c r="F6771" s="591">
        <v>6762</v>
      </c>
      <c r="G6771" s="420">
        <f t="shared" ca="1" si="113"/>
        <v>-7.957271069387678E-2</v>
      </c>
    </row>
    <row r="6772" spans="6:7" x14ac:dyDescent="0.2">
      <c r="F6772" s="591">
        <v>6763</v>
      </c>
      <c r="G6772" s="420">
        <f t="shared" ca="1" si="113"/>
        <v>8.6017214450730198E-2</v>
      </c>
    </row>
    <row r="6773" spans="6:7" x14ac:dyDescent="0.2">
      <c r="F6773" s="591">
        <v>6764</v>
      </c>
      <c r="G6773" s="420">
        <f t="shared" ca="1" si="113"/>
        <v>1.4354679765018263E-2</v>
      </c>
    </row>
    <row r="6774" spans="6:7" x14ac:dyDescent="0.2">
      <c r="F6774" s="591">
        <v>6765</v>
      </c>
      <c r="G6774" s="420">
        <f t="shared" ca="1" si="113"/>
        <v>0.16440882522844036</v>
      </c>
    </row>
    <row r="6775" spans="6:7" x14ac:dyDescent="0.2">
      <c r="F6775" s="591">
        <v>6766</v>
      </c>
      <c r="G6775" s="420">
        <f t="shared" ca="1" si="113"/>
        <v>2.2745986900588402E-2</v>
      </c>
    </row>
    <row r="6776" spans="6:7" x14ac:dyDescent="0.2">
      <c r="F6776" s="591">
        <v>6767</v>
      </c>
      <c r="G6776" s="420">
        <f t="shared" ca="1" si="113"/>
        <v>6.130604782789903E-2</v>
      </c>
    </row>
    <row r="6777" spans="6:7" x14ac:dyDescent="0.2">
      <c r="F6777" s="591">
        <v>6768</v>
      </c>
      <c r="G6777" s="420">
        <f t="shared" ca="1" si="113"/>
        <v>-7.8500575201879391E-2</v>
      </c>
    </row>
    <row r="6778" spans="6:7" x14ac:dyDescent="0.2">
      <c r="F6778" s="591">
        <v>6769</v>
      </c>
      <c r="G6778" s="420">
        <f t="shared" ca="1" si="113"/>
        <v>-4.525213498842251E-2</v>
      </c>
    </row>
    <row r="6779" spans="6:7" x14ac:dyDescent="0.2">
      <c r="F6779" s="591">
        <v>6770</v>
      </c>
      <c r="G6779" s="420">
        <f t="shared" ca="1" si="113"/>
        <v>4.0555893580373314E-2</v>
      </c>
    </row>
    <row r="6780" spans="6:7" x14ac:dyDescent="0.2">
      <c r="F6780" s="591">
        <v>6771</v>
      </c>
      <c r="G6780" s="420">
        <f t="shared" ca="1" si="113"/>
        <v>2.8131007522205233E-2</v>
      </c>
    </row>
    <row r="6781" spans="6:7" x14ac:dyDescent="0.2">
      <c r="F6781" s="591">
        <v>6772</v>
      </c>
      <c r="G6781" s="420">
        <f t="shared" ca="1" si="113"/>
        <v>0.10646157704107355</v>
      </c>
    </row>
    <row r="6782" spans="6:7" x14ac:dyDescent="0.2">
      <c r="F6782" s="591">
        <v>6773</v>
      </c>
      <c r="G6782" s="420">
        <f t="shared" ca="1" si="113"/>
        <v>-0.18218509493664098</v>
      </c>
    </row>
    <row r="6783" spans="6:7" x14ac:dyDescent="0.2">
      <c r="F6783" s="591">
        <v>6774</v>
      </c>
      <c r="G6783" s="420">
        <f t="shared" ca="1" si="113"/>
        <v>2.2328968581599537E-2</v>
      </c>
    </row>
    <row r="6784" spans="6:7" x14ac:dyDescent="0.2">
      <c r="F6784" s="591">
        <v>6775</v>
      </c>
      <c r="G6784" s="420">
        <f t="shared" ca="1" si="113"/>
        <v>-8.5984460987837998E-3</v>
      </c>
    </row>
    <row r="6785" spans="6:7" x14ac:dyDescent="0.2">
      <c r="F6785" s="591">
        <v>6776</v>
      </c>
      <c r="G6785" s="420">
        <f t="shared" ca="1" si="113"/>
        <v>7.5733718117775101E-2</v>
      </c>
    </row>
    <row r="6786" spans="6:7" x14ac:dyDescent="0.2">
      <c r="F6786" s="591">
        <v>6777</v>
      </c>
      <c r="G6786" s="420">
        <f t="shared" ca="1" si="113"/>
        <v>0.1247124474065776</v>
      </c>
    </row>
    <row r="6787" spans="6:7" x14ac:dyDescent="0.2">
      <c r="F6787" s="591">
        <v>6778</v>
      </c>
      <c r="G6787" s="420">
        <f t="shared" ca="1" si="113"/>
        <v>-6.9403525211867406E-2</v>
      </c>
    </row>
    <row r="6788" spans="6:7" x14ac:dyDescent="0.2">
      <c r="F6788" s="591">
        <v>6779</v>
      </c>
      <c r="G6788" s="420">
        <f t="shared" ca="1" si="113"/>
        <v>-1.2472328980082704E-2</v>
      </c>
    </row>
    <row r="6789" spans="6:7" x14ac:dyDescent="0.2">
      <c r="F6789" s="591">
        <v>6780</v>
      </c>
      <c r="G6789" s="420">
        <f t="shared" ca="1" si="113"/>
        <v>-3.4800314699459638E-3</v>
      </c>
    </row>
    <row r="6790" spans="6:7" x14ac:dyDescent="0.2">
      <c r="F6790" s="591">
        <v>6781</v>
      </c>
      <c r="G6790" s="420">
        <f t="shared" ca="1" si="113"/>
        <v>-8.756062151310709E-2</v>
      </c>
    </row>
    <row r="6791" spans="6:7" x14ac:dyDescent="0.2">
      <c r="F6791" s="591">
        <v>6782</v>
      </c>
      <c r="G6791" s="420">
        <f t="shared" ca="1" si="113"/>
        <v>0.1603552721081658</v>
      </c>
    </row>
    <row r="6792" spans="6:7" x14ac:dyDescent="0.2">
      <c r="F6792" s="591">
        <v>6783</v>
      </c>
      <c r="G6792" s="420">
        <f t="shared" ca="1" si="113"/>
        <v>4.3970231345485028E-2</v>
      </c>
    </row>
    <row r="6793" spans="6:7" x14ac:dyDescent="0.2">
      <c r="F6793" s="591">
        <v>6784</v>
      </c>
      <c r="G6793" s="420">
        <f t="shared" ca="1" si="113"/>
        <v>-1.9392851264856955E-2</v>
      </c>
    </row>
    <row r="6794" spans="6:7" x14ac:dyDescent="0.2">
      <c r="F6794" s="591">
        <v>6785</v>
      </c>
      <c r="G6794" s="420">
        <f t="shared" ca="1" si="113"/>
        <v>-2.541902401657507E-2</v>
      </c>
    </row>
    <row r="6795" spans="6:7" x14ac:dyDescent="0.2">
      <c r="F6795" s="591">
        <v>6786</v>
      </c>
      <c r="G6795" s="420">
        <f t="shared" ref="G6795:G6858" ca="1" si="114">_xlfn.NORM.INV(RAND(), $M$11,$M$12)</f>
        <v>6.0539988773494327E-2</v>
      </c>
    </row>
    <row r="6796" spans="6:7" x14ac:dyDescent="0.2">
      <c r="F6796" s="591">
        <v>6787</v>
      </c>
      <c r="G6796" s="420">
        <f t="shared" ca="1" si="114"/>
        <v>7.5348176297781386E-2</v>
      </c>
    </row>
    <row r="6797" spans="6:7" x14ac:dyDescent="0.2">
      <c r="F6797" s="591">
        <v>6788</v>
      </c>
      <c r="G6797" s="420">
        <f t="shared" ca="1" si="114"/>
        <v>0.13081861033214506</v>
      </c>
    </row>
    <row r="6798" spans="6:7" x14ac:dyDescent="0.2">
      <c r="F6798" s="591">
        <v>6789</v>
      </c>
      <c r="G6798" s="420">
        <f t="shared" ca="1" si="114"/>
        <v>7.12145464726468E-2</v>
      </c>
    </row>
    <row r="6799" spans="6:7" x14ac:dyDescent="0.2">
      <c r="F6799" s="591">
        <v>6790</v>
      </c>
      <c r="G6799" s="420">
        <f t="shared" ca="1" si="114"/>
        <v>0.10070535336368303</v>
      </c>
    </row>
    <row r="6800" spans="6:7" x14ac:dyDescent="0.2">
      <c r="F6800" s="591">
        <v>6791</v>
      </c>
      <c r="G6800" s="420">
        <f t="shared" ca="1" si="114"/>
        <v>0.18300860285550474</v>
      </c>
    </row>
    <row r="6801" spans="6:7" x14ac:dyDescent="0.2">
      <c r="F6801" s="591">
        <v>6792</v>
      </c>
      <c r="G6801" s="420">
        <f t="shared" ca="1" si="114"/>
        <v>5.6347053717780066E-2</v>
      </c>
    </row>
    <row r="6802" spans="6:7" x14ac:dyDescent="0.2">
      <c r="F6802" s="591">
        <v>6793</v>
      </c>
      <c r="G6802" s="420">
        <f t="shared" ca="1" si="114"/>
        <v>3.5109840076782452E-3</v>
      </c>
    </row>
    <row r="6803" spans="6:7" x14ac:dyDescent="0.2">
      <c r="F6803" s="591">
        <v>6794</v>
      </c>
      <c r="G6803" s="420">
        <f t="shared" ca="1" si="114"/>
        <v>-0.13921278647565394</v>
      </c>
    </row>
    <row r="6804" spans="6:7" x14ac:dyDescent="0.2">
      <c r="F6804" s="591">
        <v>6795</v>
      </c>
      <c r="G6804" s="420">
        <f t="shared" ca="1" si="114"/>
        <v>3.7305317437094816E-4</v>
      </c>
    </row>
    <row r="6805" spans="6:7" x14ac:dyDescent="0.2">
      <c r="F6805" s="591">
        <v>6796</v>
      </c>
      <c r="G6805" s="420">
        <f t="shared" ca="1" si="114"/>
        <v>6.2761575087224367E-2</v>
      </c>
    </row>
    <row r="6806" spans="6:7" x14ac:dyDescent="0.2">
      <c r="F6806" s="591">
        <v>6797</v>
      </c>
      <c r="G6806" s="420">
        <f t="shared" ca="1" si="114"/>
        <v>4.1790173263434295E-2</v>
      </c>
    </row>
    <row r="6807" spans="6:7" x14ac:dyDescent="0.2">
      <c r="F6807" s="591">
        <v>6798</v>
      </c>
      <c r="G6807" s="420">
        <f t="shared" ca="1" si="114"/>
        <v>-3.3826029627365209E-2</v>
      </c>
    </row>
    <row r="6808" spans="6:7" x14ac:dyDescent="0.2">
      <c r="F6808" s="591">
        <v>6799</v>
      </c>
      <c r="G6808" s="420">
        <f t="shared" ca="1" si="114"/>
        <v>0.1477770745406313</v>
      </c>
    </row>
    <row r="6809" spans="6:7" x14ac:dyDescent="0.2">
      <c r="F6809" s="591">
        <v>6800</v>
      </c>
      <c r="G6809" s="420">
        <f t="shared" ca="1" si="114"/>
        <v>4.3655966138371347E-2</v>
      </c>
    </row>
    <row r="6810" spans="6:7" x14ac:dyDescent="0.2">
      <c r="F6810" s="591">
        <v>6801</v>
      </c>
      <c r="G6810" s="420">
        <f t="shared" ca="1" si="114"/>
        <v>-6.6513110447761065E-2</v>
      </c>
    </row>
    <row r="6811" spans="6:7" x14ac:dyDescent="0.2">
      <c r="F6811" s="591">
        <v>6802</v>
      </c>
      <c r="G6811" s="420">
        <f t="shared" ca="1" si="114"/>
        <v>-2.5893241168827418E-2</v>
      </c>
    </row>
    <row r="6812" spans="6:7" x14ac:dyDescent="0.2">
      <c r="F6812" s="591">
        <v>6803</v>
      </c>
      <c r="G6812" s="420">
        <f t="shared" ca="1" si="114"/>
        <v>2.4871023602282397E-2</v>
      </c>
    </row>
    <row r="6813" spans="6:7" x14ac:dyDescent="0.2">
      <c r="F6813" s="591">
        <v>6804</v>
      </c>
      <c r="G6813" s="420">
        <f t="shared" ca="1" si="114"/>
        <v>3.0319361546191598E-2</v>
      </c>
    </row>
    <row r="6814" spans="6:7" x14ac:dyDescent="0.2">
      <c r="F6814" s="591">
        <v>6805</v>
      </c>
      <c r="G6814" s="420">
        <f t="shared" ca="1" si="114"/>
        <v>1.6581589582666326E-2</v>
      </c>
    </row>
    <row r="6815" spans="6:7" x14ac:dyDescent="0.2">
      <c r="F6815" s="591">
        <v>6806</v>
      </c>
      <c r="G6815" s="420">
        <f t="shared" ca="1" si="114"/>
        <v>4.4022729747938291E-2</v>
      </c>
    </row>
    <row r="6816" spans="6:7" x14ac:dyDescent="0.2">
      <c r="F6816" s="591">
        <v>6807</v>
      </c>
      <c r="G6816" s="420">
        <f t="shared" ca="1" si="114"/>
        <v>3.4220810660533663E-3</v>
      </c>
    </row>
    <row r="6817" spans="6:7" x14ac:dyDescent="0.2">
      <c r="F6817" s="591">
        <v>6808</v>
      </c>
      <c r="G6817" s="420">
        <f t="shared" ca="1" si="114"/>
        <v>-3.2205197059705065E-2</v>
      </c>
    </row>
    <row r="6818" spans="6:7" x14ac:dyDescent="0.2">
      <c r="F6818" s="591">
        <v>6809</v>
      </c>
      <c r="G6818" s="420">
        <f t="shared" ca="1" si="114"/>
        <v>3.0884631893660988E-3</v>
      </c>
    </row>
    <row r="6819" spans="6:7" x14ac:dyDescent="0.2">
      <c r="F6819" s="591">
        <v>6810</v>
      </c>
      <c r="G6819" s="420">
        <f t="shared" ca="1" si="114"/>
        <v>-2.4602299946573543E-3</v>
      </c>
    </row>
    <row r="6820" spans="6:7" x14ac:dyDescent="0.2">
      <c r="F6820" s="591">
        <v>6811</v>
      </c>
      <c r="G6820" s="420">
        <f t="shared" ca="1" si="114"/>
        <v>-2.8263043976069931E-2</v>
      </c>
    </row>
    <row r="6821" spans="6:7" x14ac:dyDescent="0.2">
      <c r="F6821" s="591">
        <v>6812</v>
      </c>
      <c r="G6821" s="420">
        <f t="shared" ca="1" si="114"/>
        <v>4.9557706050336964E-2</v>
      </c>
    </row>
    <row r="6822" spans="6:7" x14ac:dyDescent="0.2">
      <c r="F6822" s="591">
        <v>6813</v>
      </c>
      <c r="G6822" s="420">
        <f t="shared" ca="1" si="114"/>
        <v>4.8538294179015562E-2</v>
      </c>
    </row>
    <row r="6823" spans="6:7" x14ac:dyDescent="0.2">
      <c r="F6823" s="591">
        <v>6814</v>
      </c>
      <c r="G6823" s="420">
        <f t="shared" ca="1" si="114"/>
        <v>-2.512411836255803E-2</v>
      </c>
    </row>
    <row r="6824" spans="6:7" x14ac:dyDescent="0.2">
      <c r="F6824" s="591">
        <v>6815</v>
      </c>
      <c r="G6824" s="420">
        <f t="shared" ca="1" si="114"/>
        <v>-5.624879179637704E-2</v>
      </c>
    </row>
    <row r="6825" spans="6:7" x14ac:dyDescent="0.2">
      <c r="F6825" s="591">
        <v>6816</v>
      </c>
      <c r="G6825" s="420">
        <f t="shared" ca="1" si="114"/>
        <v>-5.8502807399953241E-2</v>
      </c>
    </row>
    <row r="6826" spans="6:7" x14ac:dyDescent="0.2">
      <c r="F6826" s="591">
        <v>6817</v>
      </c>
      <c r="G6826" s="420">
        <f t="shared" ca="1" si="114"/>
        <v>9.3823199755946274E-2</v>
      </c>
    </row>
    <row r="6827" spans="6:7" x14ac:dyDescent="0.2">
      <c r="F6827" s="591">
        <v>6818</v>
      </c>
      <c r="G6827" s="420">
        <f t="shared" ca="1" si="114"/>
        <v>-4.0565720322619805E-2</v>
      </c>
    </row>
    <row r="6828" spans="6:7" x14ac:dyDescent="0.2">
      <c r="F6828" s="591">
        <v>6819</v>
      </c>
      <c r="G6828" s="420">
        <f t="shared" ca="1" si="114"/>
        <v>2.9692324610597374E-2</v>
      </c>
    </row>
    <row r="6829" spans="6:7" x14ac:dyDescent="0.2">
      <c r="F6829" s="591">
        <v>6820</v>
      </c>
      <c r="G6829" s="420">
        <f t="shared" ca="1" si="114"/>
        <v>-1.9739366299862098E-2</v>
      </c>
    </row>
    <row r="6830" spans="6:7" x14ac:dyDescent="0.2">
      <c r="F6830" s="591">
        <v>6821</v>
      </c>
      <c r="G6830" s="420">
        <f t="shared" ca="1" si="114"/>
        <v>2.202854371212893E-2</v>
      </c>
    </row>
    <row r="6831" spans="6:7" x14ac:dyDescent="0.2">
      <c r="F6831" s="591">
        <v>6822</v>
      </c>
      <c r="G6831" s="420">
        <f t="shared" ca="1" si="114"/>
        <v>-0.11307769465827004</v>
      </c>
    </row>
    <row r="6832" spans="6:7" x14ac:dyDescent="0.2">
      <c r="F6832" s="591">
        <v>6823</v>
      </c>
      <c r="G6832" s="420">
        <f t="shared" ca="1" si="114"/>
        <v>-2.6630447356680059E-2</v>
      </c>
    </row>
    <row r="6833" spans="6:7" x14ac:dyDescent="0.2">
      <c r="F6833" s="591">
        <v>6824</v>
      </c>
      <c r="G6833" s="420">
        <f t="shared" ca="1" si="114"/>
        <v>-9.6781103997713239E-2</v>
      </c>
    </row>
    <row r="6834" spans="6:7" x14ac:dyDescent="0.2">
      <c r="F6834" s="591">
        <v>6825</v>
      </c>
      <c r="G6834" s="420">
        <f t="shared" ca="1" si="114"/>
        <v>-8.065710609565227E-2</v>
      </c>
    </row>
    <row r="6835" spans="6:7" x14ac:dyDescent="0.2">
      <c r="F6835" s="591">
        <v>6826</v>
      </c>
      <c r="G6835" s="420">
        <f t="shared" ca="1" si="114"/>
        <v>7.2499219982218588E-2</v>
      </c>
    </row>
    <row r="6836" spans="6:7" x14ac:dyDescent="0.2">
      <c r="F6836" s="591">
        <v>6827</v>
      </c>
      <c r="G6836" s="420">
        <f t="shared" ca="1" si="114"/>
        <v>0.12381327420965495</v>
      </c>
    </row>
    <row r="6837" spans="6:7" x14ac:dyDescent="0.2">
      <c r="F6837" s="591">
        <v>6828</v>
      </c>
      <c r="G6837" s="420">
        <f t="shared" ca="1" si="114"/>
        <v>-1.2385094534157152E-2</v>
      </c>
    </row>
    <row r="6838" spans="6:7" x14ac:dyDescent="0.2">
      <c r="F6838" s="591">
        <v>6829</v>
      </c>
      <c r="G6838" s="420">
        <f t="shared" ca="1" si="114"/>
        <v>0.11281644210651703</v>
      </c>
    </row>
    <row r="6839" spans="6:7" x14ac:dyDescent="0.2">
      <c r="F6839" s="591">
        <v>6830</v>
      </c>
      <c r="G6839" s="420">
        <f t="shared" ca="1" si="114"/>
        <v>-4.8633145283744073E-2</v>
      </c>
    </row>
    <row r="6840" spans="6:7" x14ac:dyDescent="0.2">
      <c r="F6840" s="591">
        <v>6831</v>
      </c>
      <c r="G6840" s="420">
        <f t="shared" ca="1" si="114"/>
        <v>-6.5174762631460118E-2</v>
      </c>
    </row>
    <row r="6841" spans="6:7" x14ac:dyDescent="0.2">
      <c r="F6841" s="591">
        <v>6832</v>
      </c>
      <c r="G6841" s="420">
        <f t="shared" ca="1" si="114"/>
        <v>-3.7709232190144562E-2</v>
      </c>
    </row>
    <row r="6842" spans="6:7" x14ac:dyDescent="0.2">
      <c r="F6842" s="591">
        <v>6833</v>
      </c>
      <c r="G6842" s="420">
        <f t="shared" ca="1" si="114"/>
        <v>-7.0633187850666954E-2</v>
      </c>
    </row>
    <row r="6843" spans="6:7" x14ac:dyDescent="0.2">
      <c r="F6843" s="591">
        <v>6834</v>
      </c>
      <c r="G6843" s="420">
        <f t="shared" ca="1" si="114"/>
        <v>-4.1472255254846713E-2</v>
      </c>
    </row>
    <row r="6844" spans="6:7" x14ac:dyDescent="0.2">
      <c r="F6844" s="591">
        <v>6835</v>
      </c>
      <c r="G6844" s="420">
        <f t="shared" ca="1" si="114"/>
        <v>-7.4039996964259391E-2</v>
      </c>
    </row>
    <row r="6845" spans="6:7" x14ac:dyDescent="0.2">
      <c r="F6845" s="591">
        <v>6836</v>
      </c>
      <c r="G6845" s="420">
        <f t="shared" ca="1" si="114"/>
        <v>5.3708121117738122E-2</v>
      </c>
    </row>
    <row r="6846" spans="6:7" x14ac:dyDescent="0.2">
      <c r="F6846" s="591">
        <v>6837</v>
      </c>
      <c r="G6846" s="420">
        <f t="shared" ca="1" si="114"/>
        <v>-8.7355025755667545E-2</v>
      </c>
    </row>
    <row r="6847" spans="6:7" x14ac:dyDescent="0.2">
      <c r="F6847" s="591">
        <v>6838</v>
      </c>
      <c r="G6847" s="420">
        <f t="shared" ca="1" si="114"/>
        <v>-5.3033480089016288E-3</v>
      </c>
    </row>
    <row r="6848" spans="6:7" x14ac:dyDescent="0.2">
      <c r="F6848" s="591">
        <v>6839</v>
      </c>
      <c r="G6848" s="420">
        <f t="shared" ca="1" si="114"/>
        <v>-8.6300060449330696E-2</v>
      </c>
    </row>
    <row r="6849" spans="6:7" x14ac:dyDescent="0.2">
      <c r="F6849" s="591">
        <v>6840</v>
      </c>
      <c r="G6849" s="420">
        <f t="shared" ca="1" si="114"/>
        <v>-3.2193599865603689E-2</v>
      </c>
    </row>
    <row r="6850" spans="6:7" x14ac:dyDescent="0.2">
      <c r="F6850" s="591">
        <v>6841</v>
      </c>
      <c r="G6850" s="420">
        <f t="shared" ca="1" si="114"/>
        <v>0.10487698516149957</v>
      </c>
    </row>
    <row r="6851" spans="6:7" x14ac:dyDescent="0.2">
      <c r="F6851" s="591">
        <v>6842</v>
      </c>
      <c r="G6851" s="420">
        <f t="shared" ca="1" si="114"/>
        <v>1.0422146790044558E-2</v>
      </c>
    </row>
    <row r="6852" spans="6:7" x14ac:dyDescent="0.2">
      <c r="F6852" s="591">
        <v>6843</v>
      </c>
      <c r="G6852" s="420">
        <f t="shared" ca="1" si="114"/>
        <v>-3.0303641800427581E-2</v>
      </c>
    </row>
    <row r="6853" spans="6:7" x14ac:dyDescent="0.2">
      <c r="F6853" s="591">
        <v>6844</v>
      </c>
      <c r="G6853" s="420">
        <f t="shared" ca="1" si="114"/>
        <v>-7.178825080475261E-2</v>
      </c>
    </row>
    <row r="6854" spans="6:7" x14ac:dyDescent="0.2">
      <c r="F6854" s="591">
        <v>6845</v>
      </c>
      <c r="G6854" s="420">
        <f t="shared" ca="1" si="114"/>
        <v>-3.09900893568767E-3</v>
      </c>
    </row>
    <row r="6855" spans="6:7" x14ac:dyDescent="0.2">
      <c r="F6855" s="591">
        <v>6846</v>
      </c>
      <c r="G6855" s="420">
        <f t="shared" ca="1" si="114"/>
        <v>5.9091299822415982E-2</v>
      </c>
    </row>
    <row r="6856" spans="6:7" x14ac:dyDescent="0.2">
      <c r="F6856" s="591">
        <v>6847</v>
      </c>
      <c r="G6856" s="420">
        <f t="shared" ca="1" si="114"/>
        <v>-5.3105940909215693E-2</v>
      </c>
    </row>
    <row r="6857" spans="6:7" x14ac:dyDescent="0.2">
      <c r="F6857" s="591">
        <v>6848</v>
      </c>
      <c r="G6857" s="420">
        <f t="shared" ca="1" si="114"/>
        <v>-4.9534389134956849E-2</v>
      </c>
    </row>
    <row r="6858" spans="6:7" x14ac:dyDescent="0.2">
      <c r="F6858" s="591">
        <v>6849</v>
      </c>
      <c r="G6858" s="420">
        <f t="shared" ca="1" si="114"/>
        <v>-9.0563044965876055E-3</v>
      </c>
    </row>
    <row r="6859" spans="6:7" x14ac:dyDescent="0.2">
      <c r="F6859" s="591">
        <v>6850</v>
      </c>
      <c r="G6859" s="420">
        <f t="shared" ref="G6859:G6922" ca="1" si="115">_xlfn.NORM.INV(RAND(), $M$11,$M$12)</f>
        <v>3.7228344739825558E-3</v>
      </c>
    </row>
    <row r="6860" spans="6:7" x14ac:dyDescent="0.2">
      <c r="F6860" s="591">
        <v>6851</v>
      </c>
      <c r="G6860" s="420">
        <f t="shared" ca="1" si="115"/>
        <v>0.10897999420693136</v>
      </c>
    </row>
    <row r="6861" spans="6:7" x14ac:dyDescent="0.2">
      <c r="F6861" s="591">
        <v>6852</v>
      </c>
      <c r="G6861" s="420">
        <f t="shared" ca="1" si="115"/>
        <v>-8.7821831943833709E-2</v>
      </c>
    </row>
    <row r="6862" spans="6:7" x14ac:dyDescent="0.2">
      <c r="F6862" s="591">
        <v>6853</v>
      </c>
      <c r="G6862" s="420">
        <f t="shared" ca="1" si="115"/>
        <v>4.8017197022710525E-2</v>
      </c>
    </row>
    <row r="6863" spans="6:7" x14ac:dyDescent="0.2">
      <c r="F6863" s="591">
        <v>6854</v>
      </c>
      <c r="G6863" s="420">
        <f t="shared" ca="1" si="115"/>
        <v>8.9277955118105476E-2</v>
      </c>
    </row>
    <row r="6864" spans="6:7" x14ac:dyDescent="0.2">
      <c r="F6864" s="591">
        <v>6855</v>
      </c>
      <c r="G6864" s="420">
        <f t="shared" ca="1" si="115"/>
        <v>1.5168945387626125E-2</v>
      </c>
    </row>
    <row r="6865" spans="6:7" x14ac:dyDescent="0.2">
      <c r="F6865" s="591">
        <v>6856</v>
      </c>
      <c r="G6865" s="420">
        <f t="shared" ca="1" si="115"/>
        <v>4.5306805240377543E-2</v>
      </c>
    </row>
    <row r="6866" spans="6:7" x14ac:dyDescent="0.2">
      <c r="F6866" s="591">
        <v>6857</v>
      </c>
      <c r="G6866" s="420">
        <f t="shared" ca="1" si="115"/>
        <v>-7.148359354022106E-2</v>
      </c>
    </row>
    <row r="6867" spans="6:7" x14ac:dyDescent="0.2">
      <c r="F6867" s="591">
        <v>6858</v>
      </c>
      <c r="G6867" s="420">
        <f t="shared" ca="1" si="115"/>
        <v>-3.9528352752609061E-2</v>
      </c>
    </row>
    <row r="6868" spans="6:7" x14ac:dyDescent="0.2">
      <c r="F6868" s="591">
        <v>6859</v>
      </c>
      <c r="G6868" s="420">
        <f t="shared" ca="1" si="115"/>
        <v>-6.1290568883918289E-2</v>
      </c>
    </row>
    <row r="6869" spans="6:7" x14ac:dyDescent="0.2">
      <c r="F6869" s="591">
        <v>6860</v>
      </c>
      <c r="G6869" s="420">
        <f t="shared" ca="1" si="115"/>
        <v>3.0410840474533886E-2</v>
      </c>
    </row>
    <row r="6870" spans="6:7" x14ac:dyDescent="0.2">
      <c r="F6870" s="591">
        <v>6861</v>
      </c>
      <c r="G6870" s="420">
        <f t="shared" ca="1" si="115"/>
        <v>-0.12159118368480966</v>
      </c>
    </row>
    <row r="6871" spans="6:7" x14ac:dyDescent="0.2">
      <c r="F6871" s="591">
        <v>6862</v>
      </c>
      <c r="G6871" s="420">
        <f t="shared" ca="1" si="115"/>
        <v>-6.5043249819113885E-2</v>
      </c>
    </row>
    <row r="6872" spans="6:7" x14ac:dyDescent="0.2">
      <c r="F6872" s="591">
        <v>6863</v>
      </c>
      <c r="G6872" s="420">
        <f t="shared" ca="1" si="115"/>
        <v>-6.0160525880385979E-3</v>
      </c>
    </row>
    <row r="6873" spans="6:7" x14ac:dyDescent="0.2">
      <c r="F6873" s="591">
        <v>6864</v>
      </c>
      <c r="G6873" s="420">
        <f t="shared" ca="1" si="115"/>
        <v>-7.2149048707598126E-3</v>
      </c>
    </row>
    <row r="6874" spans="6:7" x14ac:dyDescent="0.2">
      <c r="F6874" s="591">
        <v>6865</v>
      </c>
      <c r="G6874" s="420">
        <f t="shared" ca="1" si="115"/>
        <v>-1.1906506931196239E-2</v>
      </c>
    </row>
    <row r="6875" spans="6:7" x14ac:dyDescent="0.2">
      <c r="F6875" s="591">
        <v>6866</v>
      </c>
      <c r="G6875" s="420">
        <f t="shared" ca="1" si="115"/>
        <v>7.4543857216482934E-2</v>
      </c>
    </row>
    <row r="6876" spans="6:7" x14ac:dyDescent="0.2">
      <c r="F6876" s="591">
        <v>6867</v>
      </c>
      <c r="G6876" s="420">
        <f t="shared" ca="1" si="115"/>
        <v>4.4470954723239919E-2</v>
      </c>
    </row>
    <row r="6877" spans="6:7" x14ac:dyDescent="0.2">
      <c r="F6877" s="591">
        <v>6868</v>
      </c>
      <c r="G6877" s="420">
        <f t="shared" ca="1" si="115"/>
        <v>-5.7071100966194527E-2</v>
      </c>
    </row>
    <row r="6878" spans="6:7" x14ac:dyDescent="0.2">
      <c r="F6878" s="591">
        <v>6869</v>
      </c>
      <c r="G6878" s="420">
        <f t="shared" ca="1" si="115"/>
        <v>-1.3591291500650714E-2</v>
      </c>
    </row>
    <row r="6879" spans="6:7" x14ac:dyDescent="0.2">
      <c r="F6879" s="591">
        <v>6870</v>
      </c>
      <c r="G6879" s="420">
        <f t="shared" ca="1" si="115"/>
        <v>8.8689532204858784E-2</v>
      </c>
    </row>
    <row r="6880" spans="6:7" x14ac:dyDescent="0.2">
      <c r="F6880" s="591">
        <v>6871</v>
      </c>
      <c r="G6880" s="420">
        <f t="shared" ca="1" si="115"/>
        <v>-9.6544677074444848E-2</v>
      </c>
    </row>
    <row r="6881" spans="6:7" x14ac:dyDescent="0.2">
      <c r="F6881" s="591">
        <v>6872</v>
      </c>
      <c r="G6881" s="420">
        <f t="shared" ca="1" si="115"/>
        <v>-3.8068062354361012E-2</v>
      </c>
    </row>
    <row r="6882" spans="6:7" x14ac:dyDescent="0.2">
      <c r="F6882" s="591">
        <v>6873</v>
      </c>
      <c r="G6882" s="420">
        <f t="shared" ca="1" si="115"/>
        <v>-6.8141128443948026E-2</v>
      </c>
    </row>
    <row r="6883" spans="6:7" x14ac:dyDescent="0.2">
      <c r="F6883" s="591">
        <v>6874</v>
      </c>
      <c r="G6883" s="420">
        <f t="shared" ca="1" si="115"/>
        <v>0.10248302612603742</v>
      </c>
    </row>
    <row r="6884" spans="6:7" x14ac:dyDescent="0.2">
      <c r="F6884" s="591">
        <v>6875</v>
      </c>
      <c r="G6884" s="420">
        <f t="shared" ca="1" si="115"/>
        <v>-9.2733272656724923E-3</v>
      </c>
    </row>
    <row r="6885" spans="6:7" x14ac:dyDescent="0.2">
      <c r="F6885" s="591">
        <v>6876</v>
      </c>
      <c r="G6885" s="420">
        <f t="shared" ca="1" si="115"/>
        <v>-1.7151597879881807E-3</v>
      </c>
    </row>
    <row r="6886" spans="6:7" x14ac:dyDescent="0.2">
      <c r="F6886" s="591">
        <v>6877</v>
      </c>
      <c r="G6886" s="420">
        <f t="shared" ca="1" si="115"/>
        <v>1.0371485961825673E-2</v>
      </c>
    </row>
    <row r="6887" spans="6:7" x14ac:dyDescent="0.2">
      <c r="F6887" s="591">
        <v>6878</v>
      </c>
      <c r="G6887" s="420">
        <f t="shared" ca="1" si="115"/>
        <v>8.8244622939512418E-3</v>
      </c>
    </row>
    <row r="6888" spans="6:7" x14ac:dyDescent="0.2">
      <c r="F6888" s="591">
        <v>6879</v>
      </c>
      <c r="G6888" s="420">
        <f t="shared" ca="1" si="115"/>
        <v>-3.7473868253048853E-2</v>
      </c>
    </row>
    <row r="6889" spans="6:7" x14ac:dyDescent="0.2">
      <c r="F6889" s="591">
        <v>6880</v>
      </c>
      <c r="G6889" s="420">
        <f t="shared" ca="1" si="115"/>
        <v>3.683811709692663E-2</v>
      </c>
    </row>
    <row r="6890" spans="6:7" x14ac:dyDescent="0.2">
      <c r="F6890" s="591">
        <v>6881</v>
      </c>
      <c r="G6890" s="420">
        <f t="shared" ca="1" si="115"/>
        <v>2.3483282295574903E-2</v>
      </c>
    </row>
    <row r="6891" spans="6:7" x14ac:dyDescent="0.2">
      <c r="F6891" s="591">
        <v>6882</v>
      </c>
      <c r="G6891" s="420">
        <f t="shared" ca="1" si="115"/>
        <v>6.1140789553143532E-2</v>
      </c>
    </row>
    <row r="6892" spans="6:7" x14ac:dyDescent="0.2">
      <c r="F6892" s="591">
        <v>6883</v>
      </c>
      <c r="G6892" s="420">
        <f t="shared" ca="1" si="115"/>
        <v>6.7395849189113038E-2</v>
      </c>
    </row>
    <row r="6893" spans="6:7" x14ac:dyDescent="0.2">
      <c r="F6893" s="591">
        <v>6884</v>
      </c>
      <c r="G6893" s="420">
        <f t="shared" ca="1" si="115"/>
        <v>3.6672379993825194E-2</v>
      </c>
    </row>
    <row r="6894" spans="6:7" x14ac:dyDescent="0.2">
      <c r="F6894" s="591">
        <v>6885</v>
      </c>
      <c r="G6894" s="420">
        <f t="shared" ca="1" si="115"/>
        <v>-4.2992690627171107E-2</v>
      </c>
    </row>
    <row r="6895" spans="6:7" x14ac:dyDescent="0.2">
      <c r="F6895" s="591">
        <v>6886</v>
      </c>
      <c r="G6895" s="420">
        <f t="shared" ca="1" si="115"/>
        <v>-2.2919810359277034E-2</v>
      </c>
    </row>
    <row r="6896" spans="6:7" x14ac:dyDescent="0.2">
      <c r="F6896" s="591">
        <v>6887</v>
      </c>
      <c r="G6896" s="420">
        <f t="shared" ca="1" si="115"/>
        <v>-0.15376142125262018</v>
      </c>
    </row>
    <row r="6897" spans="6:7" x14ac:dyDescent="0.2">
      <c r="F6897" s="591">
        <v>6888</v>
      </c>
      <c r="G6897" s="420">
        <f t="shared" ca="1" si="115"/>
        <v>0.15660122404717333</v>
      </c>
    </row>
    <row r="6898" spans="6:7" x14ac:dyDescent="0.2">
      <c r="F6898" s="591">
        <v>6889</v>
      </c>
      <c r="G6898" s="420">
        <f t="shared" ca="1" si="115"/>
        <v>-1.7835043898529485E-2</v>
      </c>
    </row>
    <row r="6899" spans="6:7" x14ac:dyDescent="0.2">
      <c r="F6899" s="591">
        <v>6890</v>
      </c>
      <c r="G6899" s="420">
        <f t="shared" ca="1" si="115"/>
        <v>-7.3497801826081122E-2</v>
      </c>
    </row>
    <row r="6900" spans="6:7" x14ac:dyDescent="0.2">
      <c r="F6900" s="591">
        <v>6891</v>
      </c>
      <c r="G6900" s="420">
        <f t="shared" ca="1" si="115"/>
        <v>0.13931068121865092</v>
      </c>
    </row>
    <row r="6901" spans="6:7" x14ac:dyDescent="0.2">
      <c r="F6901" s="591">
        <v>6892</v>
      </c>
      <c r="G6901" s="420">
        <f t="shared" ca="1" si="115"/>
        <v>9.4470278196354771E-2</v>
      </c>
    </row>
    <row r="6902" spans="6:7" x14ac:dyDescent="0.2">
      <c r="F6902" s="591">
        <v>6893</v>
      </c>
      <c r="G6902" s="420">
        <f t="shared" ca="1" si="115"/>
        <v>1.9147876059044239E-2</v>
      </c>
    </row>
    <row r="6903" spans="6:7" x14ac:dyDescent="0.2">
      <c r="F6903" s="591">
        <v>6894</v>
      </c>
      <c r="G6903" s="420">
        <f t="shared" ca="1" si="115"/>
        <v>0.10058316495812912</v>
      </c>
    </row>
    <row r="6904" spans="6:7" x14ac:dyDescent="0.2">
      <c r="F6904" s="591">
        <v>6895</v>
      </c>
      <c r="G6904" s="420">
        <f t="shared" ca="1" si="115"/>
        <v>2.8061831536347556E-2</v>
      </c>
    </row>
    <row r="6905" spans="6:7" x14ac:dyDescent="0.2">
      <c r="F6905" s="591">
        <v>6896</v>
      </c>
      <c r="G6905" s="420">
        <f t="shared" ca="1" si="115"/>
        <v>-7.4011499159545219E-2</v>
      </c>
    </row>
    <row r="6906" spans="6:7" x14ac:dyDescent="0.2">
      <c r="F6906" s="591">
        <v>6897</v>
      </c>
      <c r="G6906" s="420">
        <f t="shared" ca="1" si="115"/>
        <v>-0.14978157060457323</v>
      </c>
    </row>
    <row r="6907" spans="6:7" x14ac:dyDescent="0.2">
      <c r="F6907" s="591">
        <v>6898</v>
      </c>
      <c r="G6907" s="420">
        <f t="shared" ca="1" si="115"/>
        <v>-1.7585054453135934E-2</v>
      </c>
    </row>
    <row r="6908" spans="6:7" x14ac:dyDescent="0.2">
      <c r="F6908" s="591">
        <v>6899</v>
      </c>
      <c r="G6908" s="420">
        <f t="shared" ca="1" si="115"/>
        <v>0.10575547941825994</v>
      </c>
    </row>
    <row r="6909" spans="6:7" x14ac:dyDescent="0.2">
      <c r="F6909" s="591">
        <v>6900</v>
      </c>
      <c r="G6909" s="420">
        <f t="shared" ca="1" si="115"/>
        <v>8.704959837730375E-2</v>
      </c>
    </row>
    <row r="6910" spans="6:7" x14ac:dyDescent="0.2">
      <c r="F6910" s="591">
        <v>6901</v>
      </c>
      <c r="G6910" s="420">
        <f t="shared" ca="1" si="115"/>
        <v>-6.1809303037931834E-2</v>
      </c>
    </row>
    <row r="6911" spans="6:7" x14ac:dyDescent="0.2">
      <c r="F6911" s="591">
        <v>6902</v>
      </c>
      <c r="G6911" s="420">
        <f t="shared" ca="1" si="115"/>
        <v>-1.1500403775247938E-2</v>
      </c>
    </row>
    <row r="6912" spans="6:7" x14ac:dyDescent="0.2">
      <c r="F6912" s="591">
        <v>6903</v>
      </c>
      <c r="G6912" s="420">
        <f t="shared" ca="1" si="115"/>
        <v>-1.8952137745445925E-2</v>
      </c>
    </row>
    <row r="6913" spans="6:7" x14ac:dyDescent="0.2">
      <c r="F6913" s="591">
        <v>6904</v>
      </c>
      <c r="G6913" s="420">
        <f t="shared" ca="1" si="115"/>
        <v>9.1891971483528859E-2</v>
      </c>
    </row>
    <row r="6914" spans="6:7" x14ac:dyDescent="0.2">
      <c r="F6914" s="591">
        <v>6905</v>
      </c>
      <c r="G6914" s="420">
        <f t="shared" ca="1" si="115"/>
        <v>-1.4370155055184498E-3</v>
      </c>
    </row>
    <row r="6915" spans="6:7" x14ac:dyDescent="0.2">
      <c r="F6915" s="591">
        <v>6906</v>
      </c>
      <c r="G6915" s="420">
        <f t="shared" ca="1" si="115"/>
        <v>4.7832580732101948E-2</v>
      </c>
    </row>
    <row r="6916" spans="6:7" x14ac:dyDescent="0.2">
      <c r="F6916" s="591">
        <v>6907</v>
      </c>
      <c r="G6916" s="420">
        <f t="shared" ca="1" si="115"/>
        <v>5.3344431876982026E-2</v>
      </c>
    </row>
    <row r="6917" spans="6:7" x14ac:dyDescent="0.2">
      <c r="F6917" s="591">
        <v>6908</v>
      </c>
      <c r="G6917" s="420">
        <f t="shared" ca="1" si="115"/>
        <v>-2.0629358338466051E-2</v>
      </c>
    </row>
    <row r="6918" spans="6:7" x14ac:dyDescent="0.2">
      <c r="F6918" s="591">
        <v>6909</v>
      </c>
      <c r="G6918" s="420">
        <f t="shared" ca="1" si="115"/>
        <v>8.1211289812665149E-2</v>
      </c>
    </row>
    <row r="6919" spans="6:7" x14ac:dyDescent="0.2">
      <c r="F6919" s="591">
        <v>6910</v>
      </c>
      <c r="G6919" s="420">
        <f t="shared" ca="1" si="115"/>
        <v>6.8722949217606558E-3</v>
      </c>
    </row>
    <row r="6920" spans="6:7" x14ac:dyDescent="0.2">
      <c r="F6920" s="591">
        <v>6911</v>
      </c>
      <c r="G6920" s="420">
        <f t="shared" ca="1" si="115"/>
        <v>-2.1887196308380426E-2</v>
      </c>
    </row>
    <row r="6921" spans="6:7" x14ac:dyDescent="0.2">
      <c r="F6921" s="591">
        <v>6912</v>
      </c>
      <c r="G6921" s="420">
        <f t="shared" ca="1" si="115"/>
        <v>-2.5443134558147586E-2</v>
      </c>
    </row>
    <row r="6922" spans="6:7" x14ac:dyDescent="0.2">
      <c r="F6922" s="591">
        <v>6913</v>
      </c>
      <c r="G6922" s="420">
        <f t="shared" ca="1" si="115"/>
        <v>-5.060234075745873E-2</v>
      </c>
    </row>
    <row r="6923" spans="6:7" x14ac:dyDescent="0.2">
      <c r="F6923" s="591">
        <v>6914</v>
      </c>
      <c r="G6923" s="420">
        <f t="shared" ref="G6923:G6986" ca="1" si="116">_xlfn.NORM.INV(RAND(), $M$11,$M$12)</f>
        <v>6.7587080746657827E-2</v>
      </c>
    </row>
    <row r="6924" spans="6:7" x14ac:dyDescent="0.2">
      <c r="F6924" s="591">
        <v>6915</v>
      </c>
      <c r="G6924" s="420">
        <f t="shared" ca="1" si="116"/>
        <v>9.371220602044425E-2</v>
      </c>
    </row>
    <row r="6925" spans="6:7" x14ac:dyDescent="0.2">
      <c r="F6925" s="591">
        <v>6916</v>
      </c>
      <c r="G6925" s="420">
        <f t="shared" ca="1" si="116"/>
        <v>0.1504622019536617</v>
      </c>
    </row>
    <row r="6926" spans="6:7" x14ac:dyDescent="0.2">
      <c r="F6926" s="591">
        <v>6917</v>
      </c>
      <c r="G6926" s="420">
        <f t="shared" ca="1" si="116"/>
        <v>-0.10502158716610685</v>
      </c>
    </row>
    <row r="6927" spans="6:7" x14ac:dyDescent="0.2">
      <c r="F6927" s="591">
        <v>6918</v>
      </c>
      <c r="G6927" s="420">
        <f t="shared" ca="1" si="116"/>
        <v>2.2872917901802535E-2</v>
      </c>
    </row>
    <row r="6928" spans="6:7" x14ac:dyDescent="0.2">
      <c r="F6928" s="591">
        <v>6919</v>
      </c>
      <c r="G6928" s="420">
        <f t="shared" ca="1" si="116"/>
        <v>2.0974794617732554E-2</v>
      </c>
    </row>
    <row r="6929" spans="6:7" x14ac:dyDescent="0.2">
      <c r="F6929" s="591">
        <v>6920</v>
      </c>
      <c r="G6929" s="420">
        <f t="shared" ca="1" si="116"/>
        <v>-2.9842706218989653E-2</v>
      </c>
    </row>
    <row r="6930" spans="6:7" x14ac:dyDescent="0.2">
      <c r="F6930" s="591">
        <v>6921</v>
      </c>
      <c r="G6930" s="420">
        <f t="shared" ca="1" si="116"/>
        <v>1.4190525124930065E-2</v>
      </c>
    </row>
    <row r="6931" spans="6:7" x14ac:dyDescent="0.2">
      <c r="F6931" s="591">
        <v>6922</v>
      </c>
      <c r="G6931" s="420">
        <f t="shared" ca="1" si="116"/>
        <v>-2.9143778451745667E-2</v>
      </c>
    </row>
    <row r="6932" spans="6:7" x14ac:dyDescent="0.2">
      <c r="F6932" s="591">
        <v>6923</v>
      </c>
      <c r="G6932" s="420">
        <f t="shared" ca="1" si="116"/>
        <v>9.6403011486418694E-2</v>
      </c>
    </row>
    <row r="6933" spans="6:7" x14ac:dyDescent="0.2">
      <c r="F6933" s="591">
        <v>6924</v>
      </c>
      <c r="G6933" s="420">
        <f t="shared" ca="1" si="116"/>
        <v>3.0888322043838744E-2</v>
      </c>
    </row>
    <row r="6934" spans="6:7" x14ac:dyDescent="0.2">
      <c r="F6934" s="591">
        <v>6925</v>
      </c>
      <c r="G6934" s="420">
        <f t="shared" ca="1" si="116"/>
        <v>-2.0492775482539409E-3</v>
      </c>
    </row>
    <row r="6935" spans="6:7" x14ac:dyDescent="0.2">
      <c r="F6935" s="591">
        <v>6926</v>
      </c>
      <c r="G6935" s="420">
        <f t="shared" ca="1" si="116"/>
        <v>9.1222496098829764E-2</v>
      </c>
    </row>
    <row r="6936" spans="6:7" x14ac:dyDescent="0.2">
      <c r="F6936" s="591">
        <v>6927</v>
      </c>
      <c r="G6936" s="420">
        <f t="shared" ca="1" si="116"/>
        <v>4.2875519938151446E-2</v>
      </c>
    </row>
    <row r="6937" spans="6:7" x14ac:dyDescent="0.2">
      <c r="F6937" s="591">
        <v>6928</v>
      </c>
      <c r="G6937" s="420">
        <f t="shared" ca="1" si="116"/>
        <v>-5.3115954474978772E-2</v>
      </c>
    </row>
    <row r="6938" spans="6:7" x14ac:dyDescent="0.2">
      <c r="F6938" s="591">
        <v>6929</v>
      </c>
      <c r="G6938" s="420">
        <f t="shared" ca="1" si="116"/>
        <v>-3.4076931949164377E-2</v>
      </c>
    </row>
    <row r="6939" spans="6:7" x14ac:dyDescent="0.2">
      <c r="F6939" s="591">
        <v>6930</v>
      </c>
      <c r="G6939" s="420">
        <f t="shared" ca="1" si="116"/>
        <v>-9.7709607937682755E-2</v>
      </c>
    </row>
    <row r="6940" spans="6:7" x14ac:dyDescent="0.2">
      <c r="F6940" s="591">
        <v>6931</v>
      </c>
      <c r="G6940" s="420">
        <f t="shared" ca="1" si="116"/>
        <v>7.8832587583660269E-2</v>
      </c>
    </row>
    <row r="6941" spans="6:7" x14ac:dyDescent="0.2">
      <c r="F6941" s="591">
        <v>6932</v>
      </c>
      <c r="G6941" s="420">
        <f t="shared" ca="1" si="116"/>
        <v>0.12628144099372302</v>
      </c>
    </row>
    <row r="6942" spans="6:7" x14ac:dyDescent="0.2">
      <c r="F6942" s="591">
        <v>6933</v>
      </c>
      <c r="G6942" s="420">
        <f t="shared" ca="1" si="116"/>
        <v>-1.7055024084632026E-2</v>
      </c>
    </row>
    <row r="6943" spans="6:7" x14ac:dyDescent="0.2">
      <c r="F6943" s="591">
        <v>6934</v>
      </c>
      <c r="G6943" s="420">
        <f t="shared" ca="1" si="116"/>
        <v>1.0386705063878246E-2</v>
      </c>
    </row>
    <row r="6944" spans="6:7" x14ac:dyDescent="0.2">
      <c r="F6944" s="591">
        <v>6935</v>
      </c>
      <c r="G6944" s="420">
        <f t="shared" ca="1" si="116"/>
        <v>-5.5119264224491635E-2</v>
      </c>
    </row>
    <row r="6945" spans="6:7" x14ac:dyDescent="0.2">
      <c r="F6945" s="591">
        <v>6936</v>
      </c>
      <c r="G6945" s="420">
        <f t="shared" ca="1" si="116"/>
        <v>2.806690413966215E-2</v>
      </c>
    </row>
    <row r="6946" spans="6:7" x14ac:dyDescent="0.2">
      <c r="F6946" s="591">
        <v>6937</v>
      </c>
      <c r="G6946" s="420">
        <f t="shared" ca="1" si="116"/>
        <v>3.1882132575579404E-2</v>
      </c>
    </row>
    <row r="6947" spans="6:7" x14ac:dyDescent="0.2">
      <c r="F6947" s="591">
        <v>6938</v>
      </c>
      <c r="G6947" s="420">
        <f t="shared" ca="1" si="116"/>
        <v>-0.13570685916785535</v>
      </c>
    </row>
    <row r="6948" spans="6:7" x14ac:dyDescent="0.2">
      <c r="F6948" s="591">
        <v>6939</v>
      </c>
      <c r="G6948" s="420">
        <f t="shared" ca="1" si="116"/>
        <v>-7.0375989448783177E-2</v>
      </c>
    </row>
    <row r="6949" spans="6:7" x14ac:dyDescent="0.2">
      <c r="F6949" s="591">
        <v>6940</v>
      </c>
      <c r="G6949" s="420">
        <f t="shared" ca="1" si="116"/>
        <v>3.6406973317037794E-2</v>
      </c>
    </row>
    <row r="6950" spans="6:7" x14ac:dyDescent="0.2">
      <c r="F6950" s="591">
        <v>6941</v>
      </c>
      <c r="G6950" s="420">
        <f t="shared" ca="1" si="116"/>
        <v>1.2839158372273198E-2</v>
      </c>
    </row>
    <row r="6951" spans="6:7" x14ac:dyDescent="0.2">
      <c r="F6951" s="591">
        <v>6942</v>
      </c>
      <c r="G6951" s="420">
        <f t="shared" ca="1" si="116"/>
        <v>-0.10758854354055619</v>
      </c>
    </row>
    <row r="6952" spans="6:7" x14ac:dyDescent="0.2">
      <c r="F6952" s="591">
        <v>6943</v>
      </c>
      <c r="G6952" s="420">
        <f t="shared" ca="1" si="116"/>
        <v>-2.14316818079117E-2</v>
      </c>
    </row>
    <row r="6953" spans="6:7" x14ac:dyDescent="0.2">
      <c r="F6953" s="591">
        <v>6944</v>
      </c>
      <c r="G6953" s="420">
        <f t="shared" ca="1" si="116"/>
        <v>9.4663331065380107E-2</v>
      </c>
    </row>
    <row r="6954" spans="6:7" x14ac:dyDescent="0.2">
      <c r="F6954" s="591">
        <v>6945</v>
      </c>
      <c r="G6954" s="420">
        <f t="shared" ca="1" si="116"/>
        <v>-9.0259191587453574E-3</v>
      </c>
    </row>
    <row r="6955" spans="6:7" x14ac:dyDescent="0.2">
      <c r="F6955" s="591">
        <v>6946</v>
      </c>
      <c r="G6955" s="420">
        <f t="shared" ca="1" si="116"/>
        <v>2.4580372381231477E-3</v>
      </c>
    </row>
    <row r="6956" spans="6:7" x14ac:dyDescent="0.2">
      <c r="F6956" s="591">
        <v>6947</v>
      </c>
      <c r="G6956" s="420">
        <f t="shared" ca="1" si="116"/>
        <v>0.11474965423662709</v>
      </c>
    </row>
    <row r="6957" spans="6:7" x14ac:dyDescent="0.2">
      <c r="F6957" s="591">
        <v>6948</v>
      </c>
      <c r="G6957" s="420">
        <f t="shared" ca="1" si="116"/>
        <v>-1.4433920281624185E-2</v>
      </c>
    </row>
    <row r="6958" spans="6:7" x14ac:dyDescent="0.2">
      <c r="F6958" s="591">
        <v>6949</v>
      </c>
      <c r="G6958" s="420">
        <f t="shared" ca="1" si="116"/>
        <v>-3.159264649648251E-2</v>
      </c>
    </row>
    <row r="6959" spans="6:7" x14ac:dyDescent="0.2">
      <c r="F6959" s="591">
        <v>6950</v>
      </c>
      <c r="G6959" s="420">
        <f t="shared" ca="1" si="116"/>
        <v>-8.0663451019170399E-2</v>
      </c>
    </row>
    <row r="6960" spans="6:7" x14ac:dyDescent="0.2">
      <c r="F6960" s="591">
        <v>6951</v>
      </c>
      <c r="G6960" s="420">
        <f t="shared" ca="1" si="116"/>
        <v>0.19238964315037863</v>
      </c>
    </row>
    <row r="6961" spans="6:7" x14ac:dyDescent="0.2">
      <c r="F6961" s="591">
        <v>6952</v>
      </c>
      <c r="G6961" s="420">
        <f t="shared" ca="1" si="116"/>
        <v>3.1774500032353076E-2</v>
      </c>
    </row>
    <row r="6962" spans="6:7" x14ac:dyDescent="0.2">
      <c r="F6962" s="591">
        <v>6953</v>
      </c>
      <c r="G6962" s="420">
        <f t="shared" ca="1" si="116"/>
        <v>-0.14013598540322841</v>
      </c>
    </row>
    <row r="6963" spans="6:7" x14ac:dyDescent="0.2">
      <c r="F6963" s="591">
        <v>6954</v>
      </c>
      <c r="G6963" s="420">
        <f t="shared" ca="1" si="116"/>
        <v>9.3462533371718115E-2</v>
      </c>
    </row>
    <row r="6964" spans="6:7" x14ac:dyDescent="0.2">
      <c r="F6964" s="591">
        <v>6955</v>
      </c>
      <c r="G6964" s="420">
        <f t="shared" ca="1" si="116"/>
        <v>1.0532541201795621E-2</v>
      </c>
    </row>
    <row r="6965" spans="6:7" x14ac:dyDescent="0.2">
      <c r="F6965" s="591">
        <v>6956</v>
      </c>
      <c r="G6965" s="420">
        <f t="shared" ca="1" si="116"/>
        <v>-9.5453061463406041E-2</v>
      </c>
    </row>
    <row r="6966" spans="6:7" x14ac:dyDescent="0.2">
      <c r="F6966" s="591">
        <v>6957</v>
      </c>
      <c r="G6966" s="420">
        <f t="shared" ca="1" si="116"/>
        <v>5.2706000906061964E-2</v>
      </c>
    </row>
    <row r="6967" spans="6:7" x14ac:dyDescent="0.2">
      <c r="F6967" s="591">
        <v>6958</v>
      </c>
      <c r="G6967" s="420">
        <f t="shared" ca="1" si="116"/>
        <v>5.8522706868786661E-2</v>
      </c>
    </row>
    <row r="6968" spans="6:7" x14ac:dyDescent="0.2">
      <c r="F6968" s="591">
        <v>6959</v>
      </c>
      <c r="G6968" s="420">
        <f t="shared" ca="1" si="116"/>
        <v>-0.12986567731515913</v>
      </c>
    </row>
    <row r="6969" spans="6:7" x14ac:dyDescent="0.2">
      <c r="F6969" s="591">
        <v>6960</v>
      </c>
      <c r="G6969" s="420">
        <f t="shared" ca="1" si="116"/>
        <v>2.5373670199164138E-2</v>
      </c>
    </row>
    <row r="6970" spans="6:7" x14ac:dyDescent="0.2">
      <c r="F6970" s="591">
        <v>6961</v>
      </c>
      <c r="G6970" s="420">
        <f t="shared" ca="1" si="116"/>
        <v>6.0533680288995306E-2</v>
      </c>
    </row>
    <row r="6971" spans="6:7" x14ac:dyDescent="0.2">
      <c r="F6971" s="591">
        <v>6962</v>
      </c>
      <c r="G6971" s="420">
        <f t="shared" ca="1" si="116"/>
        <v>5.4630745917138998E-2</v>
      </c>
    </row>
    <row r="6972" spans="6:7" x14ac:dyDescent="0.2">
      <c r="F6972" s="591">
        <v>6963</v>
      </c>
      <c r="G6972" s="420">
        <f t="shared" ca="1" si="116"/>
        <v>0.10122101031777715</v>
      </c>
    </row>
    <row r="6973" spans="6:7" x14ac:dyDescent="0.2">
      <c r="F6973" s="591">
        <v>6964</v>
      </c>
      <c r="G6973" s="420">
        <f t="shared" ca="1" si="116"/>
        <v>4.3601884538245969E-2</v>
      </c>
    </row>
    <row r="6974" spans="6:7" x14ac:dyDescent="0.2">
      <c r="F6974" s="591">
        <v>6965</v>
      </c>
      <c r="G6974" s="420">
        <f t="shared" ca="1" si="116"/>
        <v>5.3223880954851657E-3</v>
      </c>
    </row>
    <row r="6975" spans="6:7" x14ac:dyDescent="0.2">
      <c r="F6975" s="591">
        <v>6966</v>
      </c>
      <c r="G6975" s="420">
        <f t="shared" ca="1" si="116"/>
        <v>-6.8482891286627698E-2</v>
      </c>
    </row>
    <row r="6976" spans="6:7" x14ac:dyDescent="0.2">
      <c r="F6976" s="591">
        <v>6967</v>
      </c>
      <c r="G6976" s="420">
        <f t="shared" ca="1" si="116"/>
        <v>7.9660358513754817E-2</v>
      </c>
    </row>
    <row r="6977" spans="6:7" x14ac:dyDescent="0.2">
      <c r="F6977" s="591">
        <v>6968</v>
      </c>
      <c r="G6977" s="420">
        <f t="shared" ca="1" si="116"/>
        <v>8.3699433252442501E-2</v>
      </c>
    </row>
    <row r="6978" spans="6:7" x14ac:dyDescent="0.2">
      <c r="F6978" s="591">
        <v>6969</v>
      </c>
      <c r="G6978" s="420">
        <f t="shared" ca="1" si="116"/>
        <v>-7.5175170571775113E-2</v>
      </c>
    </row>
    <row r="6979" spans="6:7" x14ac:dyDescent="0.2">
      <c r="F6979" s="591">
        <v>6970</v>
      </c>
      <c r="G6979" s="420">
        <f t="shared" ca="1" si="116"/>
        <v>0.13017425202323266</v>
      </c>
    </row>
    <row r="6980" spans="6:7" x14ac:dyDescent="0.2">
      <c r="F6980" s="591">
        <v>6971</v>
      </c>
      <c r="G6980" s="420">
        <f t="shared" ca="1" si="116"/>
        <v>-8.0808974527344091E-2</v>
      </c>
    </row>
    <row r="6981" spans="6:7" x14ac:dyDescent="0.2">
      <c r="F6981" s="591">
        <v>6972</v>
      </c>
      <c r="G6981" s="420">
        <f t="shared" ca="1" si="116"/>
        <v>2.5647586865550825E-2</v>
      </c>
    </row>
    <row r="6982" spans="6:7" x14ac:dyDescent="0.2">
      <c r="F6982" s="591">
        <v>6973</v>
      </c>
      <c r="G6982" s="420">
        <f t="shared" ca="1" si="116"/>
        <v>-3.9588417456608377E-2</v>
      </c>
    </row>
    <row r="6983" spans="6:7" x14ac:dyDescent="0.2">
      <c r="F6983" s="591">
        <v>6974</v>
      </c>
      <c r="G6983" s="420">
        <f t="shared" ca="1" si="116"/>
        <v>1.5967733345207024E-2</v>
      </c>
    </row>
    <row r="6984" spans="6:7" x14ac:dyDescent="0.2">
      <c r="F6984" s="591">
        <v>6975</v>
      </c>
      <c r="G6984" s="420">
        <f t="shared" ca="1" si="116"/>
        <v>7.7346409283554476E-2</v>
      </c>
    </row>
    <row r="6985" spans="6:7" x14ac:dyDescent="0.2">
      <c r="F6985" s="591">
        <v>6976</v>
      </c>
      <c r="G6985" s="420">
        <f t="shared" ca="1" si="116"/>
        <v>-5.4501089754993043E-2</v>
      </c>
    </row>
    <row r="6986" spans="6:7" x14ac:dyDescent="0.2">
      <c r="F6986" s="591">
        <v>6977</v>
      </c>
      <c r="G6986" s="420">
        <f t="shared" ca="1" si="116"/>
        <v>-3.3383123209196716E-2</v>
      </c>
    </row>
    <row r="6987" spans="6:7" x14ac:dyDescent="0.2">
      <c r="F6987" s="591">
        <v>6978</v>
      </c>
      <c r="G6987" s="420">
        <f t="shared" ref="G6987:G7050" ca="1" si="117">_xlfn.NORM.INV(RAND(), $M$11,$M$12)</f>
        <v>-4.739452044357103E-3</v>
      </c>
    </row>
    <row r="6988" spans="6:7" x14ac:dyDescent="0.2">
      <c r="F6988" s="591">
        <v>6979</v>
      </c>
      <c r="G6988" s="420">
        <f t="shared" ca="1" si="117"/>
        <v>0.10583013423002217</v>
      </c>
    </row>
    <row r="6989" spans="6:7" x14ac:dyDescent="0.2">
      <c r="F6989" s="591">
        <v>6980</v>
      </c>
      <c r="G6989" s="420">
        <f t="shared" ca="1" si="117"/>
        <v>9.2203843213415293E-2</v>
      </c>
    </row>
    <row r="6990" spans="6:7" x14ac:dyDescent="0.2">
      <c r="F6990" s="591">
        <v>6981</v>
      </c>
      <c r="G6990" s="420">
        <f t="shared" ca="1" si="117"/>
        <v>5.5646211153626113E-2</v>
      </c>
    </row>
    <row r="6991" spans="6:7" x14ac:dyDescent="0.2">
      <c r="F6991" s="591">
        <v>6982</v>
      </c>
      <c r="G6991" s="420">
        <f t="shared" ca="1" si="117"/>
        <v>2.192153302551212E-2</v>
      </c>
    </row>
    <row r="6992" spans="6:7" x14ac:dyDescent="0.2">
      <c r="F6992" s="591">
        <v>6983</v>
      </c>
      <c r="G6992" s="420">
        <f t="shared" ca="1" si="117"/>
        <v>1.5374369680495024E-2</v>
      </c>
    </row>
    <row r="6993" spans="6:7" x14ac:dyDescent="0.2">
      <c r="F6993" s="591">
        <v>6984</v>
      </c>
      <c r="G6993" s="420">
        <f t="shared" ca="1" si="117"/>
        <v>6.5577589089166111E-2</v>
      </c>
    </row>
    <row r="6994" spans="6:7" x14ac:dyDescent="0.2">
      <c r="F6994" s="591">
        <v>6985</v>
      </c>
      <c r="G6994" s="420">
        <f t="shared" ca="1" si="117"/>
        <v>6.9890577935502837E-2</v>
      </c>
    </row>
    <row r="6995" spans="6:7" x14ac:dyDescent="0.2">
      <c r="F6995" s="591">
        <v>6986</v>
      </c>
      <c r="G6995" s="420">
        <f t="shared" ca="1" si="117"/>
        <v>1.1731645309727468E-2</v>
      </c>
    </row>
    <row r="6996" spans="6:7" x14ac:dyDescent="0.2">
      <c r="F6996" s="591">
        <v>6987</v>
      </c>
      <c r="G6996" s="420">
        <f t="shared" ca="1" si="117"/>
        <v>4.5253483429257238E-2</v>
      </c>
    </row>
    <row r="6997" spans="6:7" x14ac:dyDescent="0.2">
      <c r="F6997" s="591">
        <v>6988</v>
      </c>
      <c r="G6997" s="420">
        <f t="shared" ca="1" si="117"/>
        <v>-3.3638446645605016E-2</v>
      </c>
    </row>
    <row r="6998" spans="6:7" x14ac:dyDescent="0.2">
      <c r="F6998" s="591">
        <v>6989</v>
      </c>
      <c r="G6998" s="420">
        <f t="shared" ca="1" si="117"/>
        <v>2.6651601387934754E-2</v>
      </c>
    </row>
    <row r="6999" spans="6:7" x14ac:dyDescent="0.2">
      <c r="F6999" s="591">
        <v>6990</v>
      </c>
      <c r="G6999" s="420">
        <f t="shared" ca="1" si="117"/>
        <v>-6.4297100476420704E-2</v>
      </c>
    </row>
    <row r="7000" spans="6:7" x14ac:dyDescent="0.2">
      <c r="F7000" s="591">
        <v>6991</v>
      </c>
      <c r="G7000" s="420">
        <f t="shared" ca="1" si="117"/>
        <v>-0.13231762031656655</v>
      </c>
    </row>
    <row r="7001" spans="6:7" x14ac:dyDescent="0.2">
      <c r="F7001" s="591">
        <v>6992</v>
      </c>
      <c r="G7001" s="420">
        <f t="shared" ca="1" si="117"/>
        <v>1.1577919285657526E-2</v>
      </c>
    </row>
    <row r="7002" spans="6:7" x14ac:dyDescent="0.2">
      <c r="F7002" s="591">
        <v>6993</v>
      </c>
      <c r="G7002" s="420">
        <f t="shared" ca="1" si="117"/>
        <v>2.6475711758819718E-2</v>
      </c>
    </row>
    <row r="7003" spans="6:7" x14ac:dyDescent="0.2">
      <c r="F7003" s="591">
        <v>6994</v>
      </c>
      <c r="G7003" s="420">
        <f t="shared" ca="1" si="117"/>
        <v>-1.2225176624252328E-2</v>
      </c>
    </row>
    <row r="7004" spans="6:7" x14ac:dyDescent="0.2">
      <c r="F7004" s="591">
        <v>6995</v>
      </c>
      <c r="G7004" s="420">
        <f t="shared" ca="1" si="117"/>
        <v>-5.1629207960456447E-2</v>
      </c>
    </row>
    <row r="7005" spans="6:7" x14ac:dyDescent="0.2">
      <c r="F7005" s="591">
        <v>6996</v>
      </c>
      <c r="G7005" s="420">
        <f t="shared" ca="1" si="117"/>
        <v>8.7976522360626738E-2</v>
      </c>
    </row>
    <row r="7006" spans="6:7" x14ac:dyDescent="0.2">
      <c r="F7006" s="591">
        <v>6997</v>
      </c>
      <c r="G7006" s="420">
        <f t="shared" ca="1" si="117"/>
        <v>3.5153596807670121E-2</v>
      </c>
    </row>
    <row r="7007" spans="6:7" x14ac:dyDescent="0.2">
      <c r="F7007" s="591">
        <v>6998</v>
      </c>
      <c r="G7007" s="420">
        <f t="shared" ca="1" si="117"/>
        <v>-6.9520420468319605E-3</v>
      </c>
    </row>
    <row r="7008" spans="6:7" x14ac:dyDescent="0.2">
      <c r="F7008" s="591">
        <v>6999</v>
      </c>
      <c r="G7008" s="420">
        <f t="shared" ca="1" si="117"/>
        <v>-1.0471562804390454E-2</v>
      </c>
    </row>
    <row r="7009" spans="6:7" x14ac:dyDescent="0.2">
      <c r="F7009" s="591">
        <v>7000</v>
      </c>
      <c r="G7009" s="420">
        <f t="shared" ca="1" si="117"/>
        <v>-4.0651376924976154E-2</v>
      </c>
    </row>
    <row r="7010" spans="6:7" x14ac:dyDescent="0.2">
      <c r="F7010" s="591">
        <v>7001</v>
      </c>
      <c r="G7010" s="420">
        <f t="shared" ca="1" si="117"/>
        <v>-6.5893189638379993E-2</v>
      </c>
    </row>
    <row r="7011" spans="6:7" x14ac:dyDescent="0.2">
      <c r="F7011" s="591">
        <v>7002</v>
      </c>
      <c r="G7011" s="420">
        <f t="shared" ca="1" si="117"/>
        <v>4.7338792790147077E-2</v>
      </c>
    </row>
    <row r="7012" spans="6:7" x14ac:dyDescent="0.2">
      <c r="F7012" s="591">
        <v>7003</v>
      </c>
      <c r="G7012" s="420">
        <f t="shared" ca="1" si="117"/>
        <v>-5.5692983118470346E-3</v>
      </c>
    </row>
    <row r="7013" spans="6:7" x14ac:dyDescent="0.2">
      <c r="F7013" s="591">
        <v>7004</v>
      </c>
      <c r="G7013" s="420">
        <f t="shared" ca="1" si="117"/>
        <v>-8.1984968772628161E-2</v>
      </c>
    </row>
    <row r="7014" spans="6:7" x14ac:dyDescent="0.2">
      <c r="F7014" s="591">
        <v>7005</v>
      </c>
      <c r="G7014" s="420">
        <f t="shared" ca="1" si="117"/>
        <v>-4.7929727452508536E-2</v>
      </c>
    </row>
    <row r="7015" spans="6:7" x14ac:dyDescent="0.2">
      <c r="F7015" s="591">
        <v>7006</v>
      </c>
      <c r="G7015" s="420">
        <f t="shared" ca="1" si="117"/>
        <v>-4.8608699468433325E-2</v>
      </c>
    </row>
    <row r="7016" spans="6:7" x14ac:dyDescent="0.2">
      <c r="F7016" s="591">
        <v>7007</v>
      </c>
      <c r="G7016" s="420">
        <f t="shared" ca="1" si="117"/>
        <v>1.2275104572880568E-2</v>
      </c>
    </row>
    <row r="7017" spans="6:7" x14ac:dyDescent="0.2">
      <c r="F7017" s="591">
        <v>7008</v>
      </c>
      <c r="G7017" s="420">
        <f t="shared" ca="1" si="117"/>
        <v>2.3864417729429085E-2</v>
      </c>
    </row>
    <row r="7018" spans="6:7" x14ac:dyDescent="0.2">
      <c r="F7018" s="591">
        <v>7009</v>
      </c>
      <c r="G7018" s="420">
        <f t="shared" ca="1" si="117"/>
        <v>-2.9867370032360927E-2</v>
      </c>
    </row>
    <row r="7019" spans="6:7" x14ac:dyDescent="0.2">
      <c r="F7019" s="591">
        <v>7010</v>
      </c>
      <c r="G7019" s="420">
        <f t="shared" ca="1" si="117"/>
        <v>0.18520651566296492</v>
      </c>
    </row>
    <row r="7020" spans="6:7" x14ac:dyDescent="0.2">
      <c r="F7020" s="591">
        <v>7011</v>
      </c>
      <c r="G7020" s="420">
        <f t="shared" ca="1" si="117"/>
        <v>5.2543134573711764E-2</v>
      </c>
    </row>
    <row r="7021" spans="6:7" x14ac:dyDescent="0.2">
      <c r="F7021" s="591">
        <v>7012</v>
      </c>
      <c r="G7021" s="420">
        <f t="shared" ca="1" si="117"/>
        <v>-0.11091832271649361</v>
      </c>
    </row>
    <row r="7022" spans="6:7" x14ac:dyDescent="0.2">
      <c r="F7022" s="591">
        <v>7013</v>
      </c>
      <c r="G7022" s="420">
        <f t="shared" ca="1" si="117"/>
        <v>-5.6986154015557289E-2</v>
      </c>
    </row>
    <row r="7023" spans="6:7" x14ac:dyDescent="0.2">
      <c r="F7023" s="591">
        <v>7014</v>
      </c>
      <c r="G7023" s="420">
        <f t="shared" ca="1" si="117"/>
        <v>3.9440711221705609E-2</v>
      </c>
    </row>
    <row r="7024" spans="6:7" x14ac:dyDescent="0.2">
      <c r="F7024" s="591">
        <v>7015</v>
      </c>
      <c r="G7024" s="420">
        <f t="shared" ca="1" si="117"/>
        <v>7.2070780694710707E-2</v>
      </c>
    </row>
    <row r="7025" spans="6:7" x14ac:dyDescent="0.2">
      <c r="F7025" s="591">
        <v>7016</v>
      </c>
      <c r="G7025" s="420">
        <f t="shared" ca="1" si="117"/>
        <v>-9.3060792455567184E-2</v>
      </c>
    </row>
    <row r="7026" spans="6:7" x14ac:dyDescent="0.2">
      <c r="F7026" s="591">
        <v>7017</v>
      </c>
      <c r="G7026" s="420">
        <f t="shared" ca="1" si="117"/>
        <v>3.1251713019961769E-2</v>
      </c>
    </row>
    <row r="7027" spans="6:7" x14ac:dyDescent="0.2">
      <c r="F7027" s="591">
        <v>7018</v>
      </c>
      <c r="G7027" s="420">
        <f t="shared" ca="1" si="117"/>
        <v>7.7741674264197813E-2</v>
      </c>
    </row>
    <row r="7028" spans="6:7" x14ac:dyDescent="0.2">
      <c r="F7028" s="591">
        <v>7019</v>
      </c>
      <c r="G7028" s="420">
        <f t="shared" ca="1" si="117"/>
        <v>2.9481842339950434E-2</v>
      </c>
    </row>
    <row r="7029" spans="6:7" x14ac:dyDescent="0.2">
      <c r="F7029" s="591">
        <v>7020</v>
      </c>
      <c r="G7029" s="420">
        <f t="shared" ca="1" si="117"/>
        <v>6.1260461972758348E-2</v>
      </c>
    </row>
    <row r="7030" spans="6:7" x14ac:dyDescent="0.2">
      <c r="F7030" s="591">
        <v>7021</v>
      </c>
      <c r="G7030" s="420">
        <f t="shared" ca="1" si="117"/>
        <v>8.7825406081314131E-2</v>
      </c>
    </row>
    <row r="7031" spans="6:7" x14ac:dyDescent="0.2">
      <c r="F7031" s="591">
        <v>7022</v>
      </c>
      <c r="G7031" s="420">
        <f t="shared" ca="1" si="117"/>
        <v>-5.0652567408401336E-2</v>
      </c>
    </row>
    <row r="7032" spans="6:7" x14ac:dyDescent="0.2">
      <c r="F7032" s="591">
        <v>7023</v>
      </c>
      <c r="G7032" s="420">
        <f t="shared" ca="1" si="117"/>
        <v>7.3913254944482296E-2</v>
      </c>
    </row>
    <row r="7033" spans="6:7" x14ac:dyDescent="0.2">
      <c r="F7033" s="591">
        <v>7024</v>
      </c>
      <c r="G7033" s="420">
        <f t="shared" ca="1" si="117"/>
        <v>-1.6562395745972076E-2</v>
      </c>
    </row>
    <row r="7034" spans="6:7" x14ac:dyDescent="0.2">
      <c r="F7034" s="591">
        <v>7025</v>
      </c>
      <c r="G7034" s="420">
        <f t="shared" ca="1" si="117"/>
        <v>2.9321668477547736E-2</v>
      </c>
    </row>
    <row r="7035" spans="6:7" x14ac:dyDescent="0.2">
      <c r="F7035" s="591">
        <v>7026</v>
      </c>
      <c r="G7035" s="420">
        <f t="shared" ca="1" si="117"/>
        <v>0.12398868035880696</v>
      </c>
    </row>
    <row r="7036" spans="6:7" x14ac:dyDescent="0.2">
      <c r="F7036" s="591">
        <v>7027</v>
      </c>
      <c r="G7036" s="420">
        <f t="shared" ca="1" si="117"/>
        <v>0.14701848203361179</v>
      </c>
    </row>
    <row r="7037" spans="6:7" x14ac:dyDescent="0.2">
      <c r="F7037" s="591">
        <v>7028</v>
      </c>
      <c r="G7037" s="420">
        <f t="shared" ca="1" si="117"/>
        <v>-6.1950888206254787E-3</v>
      </c>
    </row>
    <row r="7038" spans="6:7" x14ac:dyDescent="0.2">
      <c r="F7038" s="591">
        <v>7029</v>
      </c>
      <c r="G7038" s="420">
        <f t="shared" ca="1" si="117"/>
        <v>0.13008010087756228</v>
      </c>
    </row>
    <row r="7039" spans="6:7" x14ac:dyDescent="0.2">
      <c r="F7039" s="591">
        <v>7030</v>
      </c>
      <c r="G7039" s="420">
        <f t="shared" ca="1" si="117"/>
        <v>4.2884516122644628E-2</v>
      </c>
    </row>
    <row r="7040" spans="6:7" x14ac:dyDescent="0.2">
      <c r="F7040" s="591">
        <v>7031</v>
      </c>
      <c r="G7040" s="420">
        <f t="shared" ca="1" si="117"/>
        <v>8.7671522174227703E-2</v>
      </c>
    </row>
    <row r="7041" spans="6:7" x14ac:dyDescent="0.2">
      <c r="F7041" s="591">
        <v>7032</v>
      </c>
      <c r="G7041" s="420">
        <f t="shared" ca="1" si="117"/>
        <v>9.550990917039922E-3</v>
      </c>
    </row>
    <row r="7042" spans="6:7" x14ac:dyDescent="0.2">
      <c r="F7042" s="591">
        <v>7033</v>
      </c>
      <c r="G7042" s="420">
        <f t="shared" ca="1" si="117"/>
        <v>5.0111501882221243E-2</v>
      </c>
    </row>
    <row r="7043" spans="6:7" x14ac:dyDescent="0.2">
      <c r="F7043" s="591">
        <v>7034</v>
      </c>
      <c r="G7043" s="420">
        <f t="shared" ca="1" si="117"/>
        <v>2.5266847058147197E-2</v>
      </c>
    </row>
    <row r="7044" spans="6:7" x14ac:dyDescent="0.2">
      <c r="F7044" s="591">
        <v>7035</v>
      </c>
      <c r="G7044" s="420">
        <f t="shared" ca="1" si="117"/>
        <v>-5.4237889398260714E-2</v>
      </c>
    </row>
    <row r="7045" spans="6:7" x14ac:dyDescent="0.2">
      <c r="F7045" s="591">
        <v>7036</v>
      </c>
      <c r="G7045" s="420">
        <f t="shared" ca="1" si="117"/>
        <v>2.9406715169837332E-2</v>
      </c>
    </row>
    <row r="7046" spans="6:7" x14ac:dyDescent="0.2">
      <c r="F7046" s="591">
        <v>7037</v>
      </c>
      <c r="G7046" s="420">
        <f t="shared" ca="1" si="117"/>
        <v>-1.8432170009642455E-2</v>
      </c>
    </row>
    <row r="7047" spans="6:7" x14ac:dyDescent="0.2">
      <c r="F7047" s="591">
        <v>7038</v>
      </c>
      <c r="G7047" s="420">
        <f t="shared" ca="1" si="117"/>
        <v>-7.053516654454306E-2</v>
      </c>
    </row>
    <row r="7048" spans="6:7" x14ac:dyDescent="0.2">
      <c r="F7048" s="591">
        <v>7039</v>
      </c>
      <c r="G7048" s="420">
        <f t="shared" ca="1" si="117"/>
        <v>5.5332674865189897E-4</v>
      </c>
    </row>
    <row r="7049" spans="6:7" x14ac:dyDescent="0.2">
      <c r="F7049" s="591">
        <v>7040</v>
      </c>
      <c r="G7049" s="420">
        <f t="shared" ca="1" si="117"/>
        <v>-1.0103353580698429E-2</v>
      </c>
    </row>
    <row r="7050" spans="6:7" x14ac:dyDescent="0.2">
      <c r="F7050" s="591">
        <v>7041</v>
      </c>
      <c r="G7050" s="420">
        <f t="shared" ca="1" si="117"/>
        <v>-1.5306761504815341E-2</v>
      </c>
    </row>
    <row r="7051" spans="6:7" x14ac:dyDescent="0.2">
      <c r="F7051" s="591">
        <v>7042</v>
      </c>
      <c r="G7051" s="420">
        <f t="shared" ref="G7051:G7114" ca="1" si="118">_xlfn.NORM.INV(RAND(), $M$11,$M$12)</f>
        <v>4.4372977347689295E-3</v>
      </c>
    </row>
    <row r="7052" spans="6:7" x14ac:dyDescent="0.2">
      <c r="F7052" s="591">
        <v>7043</v>
      </c>
      <c r="G7052" s="420">
        <f t="shared" ca="1" si="118"/>
        <v>-3.2478823952773031E-2</v>
      </c>
    </row>
    <row r="7053" spans="6:7" x14ac:dyDescent="0.2">
      <c r="F7053" s="591">
        <v>7044</v>
      </c>
      <c r="G7053" s="420">
        <f t="shared" ca="1" si="118"/>
        <v>-9.6218541919129541E-2</v>
      </c>
    </row>
    <row r="7054" spans="6:7" x14ac:dyDescent="0.2">
      <c r="F7054" s="591">
        <v>7045</v>
      </c>
      <c r="G7054" s="420">
        <f t="shared" ca="1" si="118"/>
        <v>-0.14761480238279315</v>
      </c>
    </row>
    <row r="7055" spans="6:7" x14ac:dyDescent="0.2">
      <c r="F7055" s="591">
        <v>7046</v>
      </c>
      <c r="G7055" s="420">
        <f t="shared" ca="1" si="118"/>
        <v>-4.2259096144541333E-3</v>
      </c>
    </row>
    <row r="7056" spans="6:7" x14ac:dyDescent="0.2">
      <c r="F7056" s="591">
        <v>7047</v>
      </c>
      <c r="G7056" s="420">
        <f t="shared" ca="1" si="118"/>
        <v>-2.5505230096172064E-2</v>
      </c>
    </row>
    <row r="7057" spans="6:7" x14ac:dyDescent="0.2">
      <c r="F7057" s="591">
        <v>7048</v>
      </c>
      <c r="G7057" s="420">
        <f t="shared" ca="1" si="118"/>
        <v>-7.2171095425411537E-3</v>
      </c>
    </row>
    <row r="7058" spans="6:7" x14ac:dyDescent="0.2">
      <c r="F7058" s="591">
        <v>7049</v>
      </c>
      <c r="G7058" s="420">
        <f t="shared" ca="1" si="118"/>
        <v>1.512156007379677E-2</v>
      </c>
    </row>
    <row r="7059" spans="6:7" x14ac:dyDescent="0.2">
      <c r="F7059" s="591">
        <v>7050</v>
      </c>
      <c r="G7059" s="420">
        <f t="shared" ca="1" si="118"/>
        <v>0.20427558277575131</v>
      </c>
    </row>
    <row r="7060" spans="6:7" x14ac:dyDescent="0.2">
      <c r="F7060" s="591">
        <v>7051</v>
      </c>
      <c r="G7060" s="420">
        <f t="shared" ca="1" si="118"/>
        <v>-0.11156625441846074</v>
      </c>
    </row>
    <row r="7061" spans="6:7" x14ac:dyDescent="0.2">
      <c r="F7061" s="591">
        <v>7052</v>
      </c>
      <c r="G7061" s="420">
        <f t="shared" ca="1" si="118"/>
        <v>1.5790773589437097E-2</v>
      </c>
    </row>
    <row r="7062" spans="6:7" x14ac:dyDescent="0.2">
      <c r="F7062" s="591">
        <v>7053</v>
      </c>
      <c r="G7062" s="420">
        <f t="shared" ca="1" si="118"/>
        <v>-2.4796255789687281E-3</v>
      </c>
    </row>
    <row r="7063" spans="6:7" x14ac:dyDescent="0.2">
      <c r="F7063" s="591">
        <v>7054</v>
      </c>
      <c r="G7063" s="420">
        <f t="shared" ca="1" si="118"/>
        <v>3.0285632412800908E-2</v>
      </c>
    </row>
    <row r="7064" spans="6:7" x14ac:dyDescent="0.2">
      <c r="F7064" s="591">
        <v>7055</v>
      </c>
      <c r="G7064" s="420">
        <f t="shared" ca="1" si="118"/>
        <v>1.6037594052533785E-2</v>
      </c>
    </row>
    <row r="7065" spans="6:7" x14ac:dyDescent="0.2">
      <c r="F7065" s="591">
        <v>7056</v>
      </c>
      <c r="G7065" s="420">
        <f t="shared" ca="1" si="118"/>
        <v>-7.1345010482442697E-2</v>
      </c>
    </row>
    <row r="7066" spans="6:7" x14ac:dyDescent="0.2">
      <c r="F7066" s="591">
        <v>7057</v>
      </c>
      <c r="G7066" s="420">
        <f t="shared" ca="1" si="118"/>
        <v>5.3916856133722865E-2</v>
      </c>
    </row>
    <row r="7067" spans="6:7" x14ac:dyDescent="0.2">
      <c r="F7067" s="591">
        <v>7058</v>
      </c>
      <c r="G7067" s="420">
        <f t="shared" ca="1" si="118"/>
        <v>-0.10394975142681713</v>
      </c>
    </row>
    <row r="7068" spans="6:7" x14ac:dyDescent="0.2">
      <c r="F7068" s="591">
        <v>7059</v>
      </c>
      <c r="G7068" s="420">
        <f t="shared" ca="1" si="118"/>
        <v>-0.10673337939362103</v>
      </c>
    </row>
    <row r="7069" spans="6:7" x14ac:dyDescent="0.2">
      <c r="F7069" s="591">
        <v>7060</v>
      </c>
      <c r="G7069" s="420">
        <f t="shared" ca="1" si="118"/>
        <v>0.10219420555855757</v>
      </c>
    </row>
    <row r="7070" spans="6:7" x14ac:dyDescent="0.2">
      <c r="F7070" s="591">
        <v>7061</v>
      </c>
      <c r="G7070" s="420">
        <f t="shared" ca="1" si="118"/>
        <v>5.251356276166759E-2</v>
      </c>
    </row>
    <row r="7071" spans="6:7" x14ac:dyDescent="0.2">
      <c r="F7071" s="591">
        <v>7062</v>
      </c>
      <c r="G7071" s="420">
        <f t="shared" ca="1" si="118"/>
        <v>-4.4239116352833979E-2</v>
      </c>
    </row>
    <row r="7072" spans="6:7" x14ac:dyDescent="0.2">
      <c r="F7072" s="591">
        <v>7063</v>
      </c>
      <c r="G7072" s="420">
        <f t="shared" ca="1" si="118"/>
        <v>-1.5934179660400241E-2</v>
      </c>
    </row>
    <row r="7073" spans="6:7" x14ac:dyDescent="0.2">
      <c r="F7073" s="591">
        <v>7064</v>
      </c>
      <c r="G7073" s="420">
        <f t="shared" ca="1" si="118"/>
        <v>-6.2608011139011918E-2</v>
      </c>
    </row>
    <row r="7074" spans="6:7" x14ac:dyDescent="0.2">
      <c r="F7074" s="591">
        <v>7065</v>
      </c>
      <c r="G7074" s="420">
        <f t="shared" ca="1" si="118"/>
        <v>2.7110434079593532E-2</v>
      </c>
    </row>
    <row r="7075" spans="6:7" x14ac:dyDescent="0.2">
      <c r="F7075" s="591">
        <v>7066</v>
      </c>
      <c r="G7075" s="420">
        <f t="shared" ca="1" si="118"/>
        <v>9.0229731443665986E-3</v>
      </c>
    </row>
    <row r="7076" spans="6:7" x14ac:dyDescent="0.2">
      <c r="F7076" s="591">
        <v>7067</v>
      </c>
      <c r="G7076" s="420">
        <f t="shared" ca="1" si="118"/>
        <v>4.605574576511777E-2</v>
      </c>
    </row>
    <row r="7077" spans="6:7" x14ac:dyDescent="0.2">
      <c r="F7077" s="591">
        <v>7068</v>
      </c>
      <c r="G7077" s="420">
        <f t="shared" ca="1" si="118"/>
        <v>7.0710153698359979E-2</v>
      </c>
    </row>
    <row r="7078" spans="6:7" x14ac:dyDescent="0.2">
      <c r="F7078" s="591">
        <v>7069</v>
      </c>
      <c r="G7078" s="420">
        <f t="shared" ca="1" si="118"/>
        <v>-3.983169478688596E-2</v>
      </c>
    </row>
    <row r="7079" spans="6:7" x14ac:dyDescent="0.2">
      <c r="F7079" s="591">
        <v>7070</v>
      </c>
      <c r="G7079" s="420">
        <f t="shared" ca="1" si="118"/>
        <v>3.9779049635883551E-2</v>
      </c>
    </row>
    <row r="7080" spans="6:7" x14ac:dyDescent="0.2">
      <c r="F7080" s="591">
        <v>7071</v>
      </c>
      <c r="G7080" s="420">
        <f t="shared" ca="1" si="118"/>
        <v>-1.9068288738610037E-2</v>
      </c>
    </row>
    <row r="7081" spans="6:7" x14ac:dyDescent="0.2">
      <c r="F7081" s="591">
        <v>7072</v>
      </c>
      <c r="G7081" s="420">
        <f t="shared" ca="1" si="118"/>
        <v>2.651504698829419E-2</v>
      </c>
    </row>
    <row r="7082" spans="6:7" x14ac:dyDescent="0.2">
      <c r="F7082" s="591">
        <v>7073</v>
      </c>
      <c r="G7082" s="420">
        <f t="shared" ca="1" si="118"/>
        <v>-6.1210777531177651E-3</v>
      </c>
    </row>
    <row r="7083" spans="6:7" x14ac:dyDescent="0.2">
      <c r="F7083" s="591">
        <v>7074</v>
      </c>
      <c r="G7083" s="420">
        <f t="shared" ca="1" si="118"/>
        <v>4.2013095721048508E-3</v>
      </c>
    </row>
    <row r="7084" spans="6:7" x14ac:dyDescent="0.2">
      <c r="F7084" s="591">
        <v>7075</v>
      </c>
      <c r="G7084" s="420">
        <f t="shared" ca="1" si="118"/>
        <v>-6.8421184181707381E-2</v>
      </c>
    </row>
    <row r="7085" spans="6:7" x14ac:dyDescent="0.2">
      <c r="F7085" s="591">
        <v>7076</v>
      </c>
      <c r="G7085" s="420">
        <f t="shared" ca="1" si="118"/>
        <v>2.4827991978260439E-2</v>
      </c>
    </row>
    <row r="7086" spans="6:7" x14ac:dyDescent="0.2">
      <c r="F7086" s="591">
        <v>7077</v>
      </c>
      <c r="G7086" s="420">
        <f t="shared" ca="1" si="118"/>
        <v>-2.1485169619468041E-2</v>
      </c>
    </row>
    <row r="7087" spans="6:7" x14ac:dyDescent="0.2">
      <c r="F7087" s="591">
        <v>7078</v>
      </c>
      <c r="G7087" s="420">
        <f t="shared" ca="1" si="118"/>
        <v>-8.1367087619013984E-2</v>
      </c>
    </row>
    <row r="7088" spans="6:7" x14ac:dyDescent="0.2">
      <c r="F7088" s="591">
        <v>7079</v>
      </c>
      <c r="G7088" s="420">
        <f t="shared" ca="1" si="118"/>
        <v>-7.8948456128558643E-3</v>
      </c>
    </row>
    <row r="7089" spans="6:7" x14ac:dyDescent="0.2">
      <c r="F7089" s="591">
        <v>7080</v>
      </c>
      <c r="G7089" s="420">
        <f t="shared" ca="1" si="118"/>
        <v>0.12562172042231393</v>
      </c>
    </row>
    <row r="7090" spans="6:7" x14ac:dyDescent="0.2">
      <c r="F7090" s="591">
        <v>7081</v>
      </c>
      <c r="G7090" s="420">
        <f t="shared" ca="1" si="118"/>
        <v>6.8488053370752824E-2</v>
      </c>
    </row>
    <row r="7091" spans="6:7" x14ac:dyDescent="0.2">
      <c r="F7091" s="591">
        <v>7082</v>
      </c>
      <c r="G7091" s="420">
        <f t="shared" ca="1" si="118"/>
        <v>-5.6386155914811789E-2</v>
      </c>
    </row>
    <row r="7092" spans="6:7" x14ac:dyDescent="0.2">
      <c r="F7092" s="591">
        <v>7083</v>
      </c>
      <c r="G7092" s="420">
        <f t="shared" ca="1" si="118"/>
        <v>0.17266905023430265</v>
      </c>
    </row>
    <row r="7093" spans="6:7" x14ac:dyDescent="0.2">
      <c r="F7093" s="591">
        <v>7084</v>
      </c>
      <c r="G7093" s="420">
        <f t="shared" ca="1" si="118"/>
        <v>-3.432755439699893E-2</v>
      </c>
    </row>
    <row r="7094" spans="6:7" x14ac:dyDescent="0.2">
      <c r="F7094" s="591">
        <v>7085</v>
      </c>
      <c r="G7094" s="420">
        <f t="shared" ca="1" si="118"/>
        <v>-6.4954205058643799E-3</v>
      </c>
    </row>
    <row r="7095" spans="6:7" x14ac:dyDescent="0.2">
      <c r="F7095" s="591">
        <v>7086</v>
      </c>
      <c r="G7095" s="420">
        <f t="shared" ca="1" si="118"/>
        <v>-1.3638772803305717E-2</v>
      </c>
    </row>
    <row r="7096" spans="6:7" x14ac:dyDescent="0.2">
      <c r="F7096" s="591">
        <v>7087</v>
      </c>
      <c r="G7096" s="420">
        <f t="shared" ca="1" si="118"/>
        <v>1.1198677411538006E-2</v>
      </c>
    </row>
    <row r="7097" spans="6:7" x14ac:dyDescent="0.2">
      <c r="F7097" s="591">
        <v>7088</v>
      </c>
      <c r="G7097" s="420">
        <f t="shared" ca="1" si="118"/>
        <v>3.991533159898932E-3</v>
      </c>
    </row>
    <row r="7098" spans="6:7" x14ac:dyDescent="0.2">
      <c r="F7098" s="591">
        <v>7089</v>
      </c>
      <c r="G7098" s="420">
        <f t="shared" ca="1" si="118"/>
        <v>-0.11426132726583439</v>
      </c>
    </row>
    <row r="7099" spans="6:7" x14ac:dyDescent="0.2">
      <c r="F7099" s="591">
        <v>7090</v>
      </c>
      <c r="G7099" s="420">
        <f t="shared" ca="1" si="118"/>
        <v>0.10949878252108018</v>
      </c>
    </row>
    <row r="7100" spans="6:7" x14ac:dyDescent="0.2">
      <c r="F7100" s="591">
        <v>7091</v>
      </c>
      <c r="G7100" s="420">
        <f t="shared" ca="1" si="118"/>
        <v>3.8756193193350198E-2</v>
      </c>
    </row>
    <row r="7101" spans="6:7" x14ac:dyDescent="0.2">
      <c r="F7101" s="591">
        <v>7092</v>
      </c>
      <c r="G7101" s="420">
        <f t="shared" ca="1" si="118"/>
        <v>2.6019357124786591E-2</v>
      </c>
    </row>
    <row r="7102" spans="6:7" x14ac:dyDescent="0.2">
      <c r="F7102" s="591">
        <v>7093</v>
      </c>
      <c r="G7102" s="420">
        <f t="shared" ca="1" si="118"/>
        <v>0.18126264133818581</v>
      </c>
    </row>
    <row r="7103" spans="6:7" x14ac:dyDescent="0.2">
      <c r="F7103" s="591">
        <v>7094</v>
      </c>
      <c r="G7103" s="420">
        <f t="shared" ca="1" si="118"/>
        <v>7.2708635104045446E-2</v>
      </c>
    </row>
    <row r="7104" spans="6:7" x14ac:dyDescent="0.2">
      <c r="F7104" s="591">
        <v>7095</v>
      </c>
      <c r="G7104" s="420">
        <f t="shared" ca="1" si="118"/>
        <v>-1.9797233018115992E-2</v>
      </c>
    </row>
    <row r="7105" spans="6:7" x14ac:dyDescent="0.2">
      <c r="F7105" s="591">
        <v>7096</v>
      </c>
      <c r="G7105" s="420">
        <f t="shared" ca="1" si="118"/>
        <v>-5.3532143844766095E-2</v>
      </c>
    </row>
    <row r="7106" spans="6:7" x14ac:dyDescent="0.2">
      <c r="F7106" s="591">
        <v>7097</v>
      </c>
      <c r="G7106" s="420">
        <f t="shared" ca="1" si="118"/>
        <v>6.2420673727890411E-2</v>
      </c>
    </row>
    <row r="7107" spans="6:7" x14ac:dyDescent="0.2">
      <c r="F7107" s="591">
        <v>7098</v>
      </c>
      <c r="G7107" s="420">
        <f t="shared" ca="1" si="118"/>
        <v>-5.3938466732559864E-2</v>
      </c>
    </row>
    <row r="7108" spans="6:7" x14ac:dyDescent="0.2">
      <c r="F7108" s="591">
        <v>7099</v>
      </c>
      <c r="G7108" s="420">
        <f t="shared" ca="1" si="118"/>
        <v>-1.7442296893253179E-2</v>
      </c>
    </row>
    <row r="7109" spans="6:7" x14ac:dyDescent="0.2">
      <c r="F7109" s="591">
        <v>7100</v>
      </c>
      <c r="G7109" s="420">
        <f t="shared" ca="1" si="118"/>
        <v>6.7006439291034739E-2</v>
      </c>
    </row>
    <row r="7110" spans="6:7" x14ac:dyDescent="0.2">
      <c r="F7110" s="591">
        <v>7101</v>
      </c>
      <c r="G7110" s="420">
        <f t="shared" ca="1" si="118"/>
        <v>6.2779775363714443E-2</v>
      </c>
    </row>
    <row r="7111" spans="6:7" x14ac:dyDescent="0.2">
      <c r="F7111" s="591">
        <v>7102</v>
      </c>
      <c r="G7111" s="420">
        <f t="shared" ca="1" si="118"/>
        <v>0.12348278833396346</v>
      </c>
    </row>
    <row r="7112" spans="6:7" x14ac:dyDescent="0.2">
      <c r="F7112" s="591">
        <v>7103</v>
      </c>
      <c r="G7112" s="420">
        <f t="shared" ca="1" si="118"/>
        <v>-5.3709552663358709E-2</v>
      </c>
    </row>
    <row r="7113" spans="6:7" x14ac:dyDescent="0.2">
      <c r="F7113" s="591">
        <v>7104</v>
      </c>
      <c r="G7113" s="420">
        <f t="shared" ca="1" si="118"/>
        <v>9.2567045590564209E-2</v>
      </c>
    </row>
    <row r="7114" spans="6:7" x14ac:dyDescent="0.2">
      <c r="F7114" s="591">
        <v>7105</v>
      </c>
      <c r="G7114" s="420">
        <f t="shared" ca="1" si="118"/>
        <v>4.4222099814681393E-2</v>
      </c>
    </row>
    <row r="7115" spans="6:7" x14ac:dyDescent="0.2">
      <c r="F7115" s="591">
        <v>7106</v>
      </c>
      <c r="G7115" s="420">
        <f t="shared" ref="G7115:G7178" ca="1" si="119">_xlfn.NORM.INV(RAND(), $M$11,$M$12)</f>
        <v>5.2913301100247626E-2</v>
      </c>
    </row>
    <row r="7116" spans="6:7" x14ac:dyDescent="0.2">
      <c r="F7116" s="591">
        <v>7107</v>
      </c>
      <c r="G7116" s="420">
        <f t="shared" ca="1" si="119"/>
        <v>0.16697316465183307</v>
      </c>
    </row>
    <row r="7117" spans="6:7" x14ac:dyDescent="0.2">
      <c r="F7117" s="591">
        <v>7108</v>
      </c>
      <c r="G7117" s="420">
        <f t="shared" ca="1" si="119"/>
        <v>6.3397863226921189E-2</v>
      </c>
    </row>
    <row r="7118" spans="6:7" x14ac:dyDescent="0.2">
      <c r="F7118" s="591">
        <v>7109</v>
      </c>
      <c r="G7118" s="420">
        <f t="shared" ca="1" si="119"/>
        <v>-0.10860189922651339</v>
      </c>
    </row>
    <row r="7119" spans="6:7" x14ac:dyDescent="0.2">
      <c r="F7119" s="591">
        <v>7110</v>
      </c>
      <c r="G7119" s="420">
        <f t="shared" ca="1" si="119"/>
        <v>7.4292740469612303E-2</v>
      </c>
    </row>
    <row r="7120" spans="6:7" x14ac:dyDescent="0.2">
      <c r="F7120" s="591">
        <v>7111</v>
      </c>
      <c r="G7120" s="420">
        <f t="shared" ca="1" si="119"/>
        <v>-6.2177918728570605E-2</v>
      </c>
    </row>
    <row r="7121" spans="6:7" x14ac:dyDescent="0.2">
      <c r="F7121" s="591">
        <v>7112</v>
      </c>
      <c r="G7121" s="420">
        <f t="shared" ca="1" si="119"/>
        <v>-7.6756914911308788E-2</v>
      </c>
    </row>
    <row r="7122" spans="6:7" x14ac:dyDescent="0.2">
      <c r="F7122" s="591">
        <v>7113</v>
      </c>
      <c r="G7122" s="420">
        <f t="shared" ca="1" si="119"/>
        <v>0.12829877640955079</v>
      </c>
    </row>
    <row r="7123" spans="6:7" x14ac:dyDescent="0.2">
      <c r="F7123" s="591">
        <v>7114</v>
      </c>
      <c r="G7123" s="420">
        <f t="shared" ca="1" si="119"/>
        <v>1.9574862783361919E-2</v>
      </c>
    </row>
    <row r="7124" spans="6:7" x14ac:dyDescent="0.2">
      <c r="F7124" s="591">
        <v>7115</v>
      </c>
      <c r="G7124" s="420">
        <f t="shared" ca="1" si="119"/>
        <v>-1.9504775458346092E-2</v>
      </c>
    </row>
    <row r="7125" spans="6:7" x14ac:dyDescent="0.2">
      <c r="F7125" s="591">
        <v>7116</v>
      </c>
      <c r="G7125" s="420">
        <f t="shared" ca="1" si="119"/>
        <v>1.1847589356314315E-2</v>
      </c>
    </row>
    <row r="7126" spans="6:7" x14ac:dyDescent="0.2">
      <c r="F7126" s="591">
        <v>7117</v>
      </c>
      <c r="G7126" s="420">
        <f t="shared" ca="1" si="119"/>
        <v>-3.842816059294836E-2</v>
      </c>
    </row>
    <row r="7127" spans="6:7" x14ac:dyDescent="0.2">
      <c r="F7127" s="591">
        <v>7118</v>
      </c>
      <c r="G7127" s="420">
        <f t="shared" ca="1" si="119"/>
        <v>-3.1906981089303271E-3</v>
      </c>
    </row>
    <row r="7128" spans="6:7" x14ac:dyDescent="0.2">
      <c r="F7128" s="591">
        <v>7119</v>
      </c>
      <c r="G7128" s="420">
        <f t="shared" ca="1" si="119"/>
        <v>-3.5007782242081814E-2</v>
      </c>
    </row>
    <row r="7129" spans="6:7" x14ac:dyDescent="0.2">
      <c r="F7129" s="591">
        <v>7120</v>
      </c>
      <c r="G7129" s="420">
        <f t="shared" ca="1" si="119"/>
        <v>-4.2889515527750985E-2</v>
      </c>
    </row>
    <row r="7130" spans="6:7" x14ac:dyDescent="0.2">
      <c r="F7130" s="591">
        <v>7121</v>
      </c>
      <c r="G7130" s="420">
        <f t="shared" ca="1" si="119"/>
        <v>0.12181597476803613</v>
      </c>
    </row>
    <row r="7131" spans="6:7" x14ac:dyDescent="0.2">
      <c r="F7131" s="591">
        <v>7122</v>
      </c>
      <c r="G7131" s="420">
        <f t="shared" ca="1" si="119"/>
        <v>8.4743173990253703E-3</v>
      </c>
    </row>
    <row r="7132" spans="6:7" x14ac:dyDescent="0.2">
      <c r="F7132" s="591">
        <v>7123</v>
      </c>
      <c r="G7132" s="420">
        <f t="shared" ca="1" si="119"/>
        <v>-3.5744528541619927E-2</v>
      </c>
    </row>
    <row r="7133" spans="6:7" x14ac:dyDescent="0.2">
      <c r="F7133" s="591">
        <v>7124</v>
      </c>
      <c r="G7133" s="420">
        <f t="shared" ca="1" si="119"/>
        <v>-1.1672495134886954E-2</v>
      </c>
    </row>
    <row r="7134" spans="6:7" x14ac:dyDescent="0.2">
      <c r="F7134" s="591">
        <v>7125</v>
      </c>
      <c r="G7134" s="420">
        <f t="shared" ca="1" si="119"/>
        <v>4.6490531918415359E-2</v>
      </c>
    </row>
    <row r="7135" spans="6:7" x14ac:dyDescent="0.2">
      <c r="F7135" s="591">
        <v>7126</v>
      </c>
      <c r="G7135" s="420">
        <f t="shared" ca="1" si="119"/>
        <v>2.2808242050632387E-2</v>
      </c>
    </row>
    <row r="7136" spans="6:7" x14ac:dyDescent="0.2">
      <c r="F7136" s="591">
        <v>7127</v>
      </c>
      <c r="G7136" s="420">
        <f t="shared" ca="1" si="119"/>
        <v>-7.9434787992301151E-2</v>
      </c>
    </row>
    <row r="7137" spans="6:7" x14ac:dyDescent="0.2">
      <c r="F7137" s="591">
        <v>7128</v>
      </c>
      <c r="G7137" s="420">
        <f t="shared" ca="1" si="119"/>
        <v>0.11392747713594124</v>
      </c>
    </row>
    <row r="7138" spans="6:7" x14ac:dyDescent="0.2">
      <c r="F7138" s="591">
        <v>7129</v>
      </c>
      <c r="G7138" s="420">
        <f t="shared" ca="1" si="119"/>
        <v>-1.7459830274648706E-2</v>
      </c>
    </row>
    <row r="7139" spans="6:7" x14ac:dyDescent="0.2">
      <c r="F7139" s="591">
        <v>7130</v>
      </c>
      <c r="G7139" s="420">
        <f t="shared" ca="1" si="119"/>
        <v>-3.0277991116965001E-2</v>
      </c>
    </row>
    <row r="7140" spans="6:7" x14ac:dyDescent="0.2">
      <c r="F7140" s="591">
        <v>7131</v>
      </c>
      <c r="G7140" s="420">
        <f t="shared" ca="1" si="119"/>
        <v>3.932046107175028E-2</v>
      </c>
    </row>
    <row r="7141" spans="6:7" x14ac:dyDescent="0.2">
      <c r="F7141" s="591">
        <v>7132</v>
      </c>
      <c r="G7141" s="420">
        <f t="shared" ca="1" si="119"/>
        <v>-1.9619041146151282E-2</v>
      </c>
    </row>
    <row r="7142" spans="6:7" x14ac:dyDescent="0.2">
      <c r="F7142" s="591">
        <v>7133</v>
      </c>
      <c r="G7142" s="420">
        <f t="shared" ca="1" si="119"/>
        <v>2.0770182573919209E-2</v>
      </c>
    </row>
    <row r="7143" spans="6:7" x14ac:dyDescent="0.2">
      <c r="F7143" s="591">
        <v>7134</v>
      </c>
      <c r="G7143" s="420">
        <f t="shared" ca="1" si="119"/>
        <v>5.6215469906494842E-3</v>
      </c>
    </row>
    <row r="7144" spans="6:7" x14ac:dyDescent="0.2">
      <c r="F7144" s="591">
        <v>7135</v>
      </c>
      <c r="G7144" s="420">
        <f t="shared" ca="1" si="119"/>
        <v>-2.0160808073959775E-2</v>
      </c>
    </row>
    <row r="7145" spans="6:7" x14ac:dyDescent="0.2">
      <c r="F7145" s="591">
        <v>7136</v>
      </c>
      <c r="G7145" s="420">
        <f t="shared" ca="1" si="119"/>
        <v>9.9465419011957323E-2</v>
      </c>
    </row>
    <row r="7146" spans="6:7" x14ac:dyDescent="0.2">
      <c r="F7146" s="591">
        <v>7137</v>
      </c>
      <c r="G7146" s="420">
        <f t="shared" ca="1" si="119"/>
        <v>-3.6409299316351437E-2</v>
      </c>
    </row>
    <row r="7147" spans="6:7" x14ac:dyDescent="0.2">
      <c r="F7147" s="591">
        <v>7138</v>
      </c>
      <c r="G7147" s="420">
        <f t="shared" ca="1" si="119"/>
        <v>7.9848732414718182E-3</v>
      </c>
    </row>
    <row r="7148" spans="6:7" x14ac:dyDescent="0.2">
      <c r="F7148" s="591">
        <v>7139</v>
      </c>
      <c r="G7148" s="420">
        <f t="shared" ca="1" si="119"/>
        <v>0.13625735396598729</v>
      </c>
    </row>
    <row r="7149" spans="6:7" x14ac:dyDescent="0.2">
      <c r="F7149" s="591">
        <v>7140</v>
      </c>
      <c r="G7149" s="420">
        <f t="shared" ca="1" si="119"/>
        <v>9.6371138434617164E-3</v>
      </c>
    </row>
    <row r="7150" spans="6:7" x14ac:dyDescent="0.2">
      <c r="F7150" s="591">
        <v>7141</v>
      </c>
      <c r="G7150" s="420">
        <f t="shared" ca="1" si="119"/>
        <v>0.10562573063158436</v>
      </c>
    </row>
    <row r="7151" spans="6:7" x14ac:dyDescent="0.2">
      <c r="F7151" s="591">
        <v>7142</v>
      </c>
      <c r="G7151" s="420">
        <f t="shared" ca="1" si="119"/>
        <v>-5.0007521223665183E-2</v>
      </c>
    </row>
    <row r="7152" spans="6:7" x14ac:dyDescent="0.2">
      <c r="F7152" s="591">
        <v>7143</v>
      </c>
      <c r="G7152" s="420">
        <f t="shared" ca="1" si="119"/>
        <v>-1.4421696958150217E-2</v>
      </c>
    </row>
    <row r="7153" spans="6:7" x14ac:dyDescent="0.2">
      <c r="F7153" s="591">
        <v>7144</v>
      </c>
      <c r="G7153" s="420">
        <f t="shared" ca="1" si="119"/>
        <v>7.0983536977981807E-2</v>
      </c>
    </row>
    <row r="7154" spans="6:7" x14ac:dyDescent="0.2">
      <c r="F7154" s="591">
        <v>7145</v>
      </c>
      <c r="G7154" s="420">
        <f t="shared" ca="1" si="119"/>
        <v>-0.12892097517301424</v>
      </c>
    </row>
    <row r="7155" spans="6:7" x14ac:dyDescent="0.2">
      <c r="F7155" s="591">
        <v>7146</v>
      </c>
      <c r="G7155" s="420">
        <f t="shared" ca="1" si="119"/>
        <v>1.6005153843551296E-2</v>
      </c>
    </row>
    <row r="7156" spans="6:7" x14ac:dyDescent="0.2">
      <c r="F7156" s="591">
        <v>7147</v>
      </c>
      <c r="G7156" s="420">
        <f t="shared" ca="1" si="119"/>
        <v>-0.16939809539990167</v>
      </c>
    </row>
    <row r="7157" spans="6:7" x14ac:dyDescent="0.2">
      <c r="F7157" s="591">
        <v>7148</v>
      </c>
      <c r="G7157" s="420">
        <f t="shared" ca="1" si="119"/>
        <v>2.507117766361068E-2</v>
      </c>
    </row>
    <row r="7158" spans="6:7" x14ac:dyDescent="0.2">
      <c r="F7158" s="591">
        <v>7149</v>
      </c>
      <c r="G7158" s="420">
        <f t="shared" ca="1" si="119"/>
        <v>6.1501945440888425E-2</v>
      </c>
    </row>
    <row r="7159" spans="6:7" x14ac:dyDescent="0.2">
      <c r="F7159" s="591">
        <v>7150</v>
      </c>
      <c r="G7159" s="420">
        <f t="shared" ca="1" si="119"/>
        <v>1.5519263116636553E-2</v>
      </c>
    </row>
    <row r="7160" spans="6:7" x14ac:dyDescent="0.2">
      <c r="F7160" s="591">
        <v>7151</v>
      </c>
      <c r="G7160" s="420">
        <f t="shared" ca="1" si="119"/>
        <v>2.8296493390734017E-2</v>
      </c>
    </row>
    <row r="7161" spans="6:7" x14ac:dyDescent="0.2">
      <c r="F7161" s="591">
        <v>7152</v>
      </c>
      <c r="G7161" s="420">
        <f t="shared" ca="1" si="119"/>
        <v>-6.6951901114690696E-2</v>
      </c>
    </row>
    <row r="7162" spans="6:7" x14ac:dyDescent="0.2">
      <c r="F7162" s="591">
        <v>7153</v>
      </c>
      <c r="G7162" s="420">
        <f t="shared" ca="1" si="119"/>
        <v>-6.3466087857026142E-3</v>
      </c>
    </row>
    <row r="7163" spans="6:7" x14ac:dyDescent="0.2">
      <c r="F7163" s="591">
        <v>7154</v>
      </c>
      <c r="G7163" s="420">
        <f t="shared" ca="1" si="119"/>
        <v>-6.0711599875155189E-2</v>
      </c>
    </row>
    <row r="7164" spans="6:7" x14ac:dyDescent="0.2">
      <c r="F7164" s="591">
        <v>7155</v>
      </c>
      <c r="G7164" s="420">
        <f t="shared" ca="1" si="119"/>
        <v>5.517476877123415E-3</v>
      </c>
    </row>
    <row r="7165" spans="6:7" x14ac:dyDescent="0.2">
      <c r="F7165" s="591">
        <v>7156</v>
      </c>
      <c r="G7165" s="420">
        <f t="shared" ca="1" si="119"/>
        <v>-3.1747461533536032E-3</v>
      </c>
    </row>
    <row r="7166" spans="6:7" x14ac:dyDescent="0.2">
      <c r="F7166" s="591">
        <v>7157</v>
      </c>
      <c r="G7166" s="420">
        <f t="shared" ca="1" si="119"/>
        <v>0.18583056101177056</v>
      </c>
    </row>
    <row r="7167" spans="6:7" x14ac:dyDescent="0.2">
      <c r="F7167" s="591">
        <v>7158</v>
      </c>
      <c r="G7167" s="420">
        <f t="shared" ca="1" si="119"/>
        <v>4.4765515115436208E-2</v>
      </c>
    </row>
    <row r="7168" spans="6:7" x14ac:dyDescent="0.2">
      <c r="F7168" s="591">
        <v>7159</v>
      </c>
      <c r="G7168" s="420">
        <f t="shared" ca="1" si="119"/>
        <v>9.22855350122017E-2</v>
      </c>
    </row>
    <row r="7169" spans="6:7" x14ac:dyDescent="0.2">
      <c r="F7169" s="591">
        <v>7160</v>
      </c>
      <c r="G7169" s="420">
        <f t="shared" ca="1" si="119"/>
        <v>1.0317883712775771E-2</v>
      </c>
    </row>
    <row r="7170" spans="6:7" x14ac:dyDescent="0.2">
      <c r="F7170" s="591">
        <v>7161</v>
      </c>
      <c r="G7170" s="420">
        <f t="shared" ca="1" si="119"/>
        <v>-2.6813271350337255E-2</v>
      </c>
    </row>
    <row r="7171" spans="6:7" x14ac:dyDescent="0.2">
      <c r="F7171" s="591">
        <v>7162</v>
      </c>
      <c r="G7171" s="420">
        <f t="shared" ca="1" si="119"/>
        <v>3.3209781664633821E-2</v>
      </c>
    </row>
    <row r="7172" spans="6:7" x14ac:dyDescent="0.2">
      <c r="F7172" s="591">
        <v>7163</v>
      </c>
      <c r="G7172" s="420">
        <f t="shared" ca="1" si="119"/>
        <v>3.8467042214872932E-3</v>
      </c>
    </row>
    <row r="7173" spans="6:7" x14ac:dyDescent="0.2">
      <c r="F7173" s="591">
        <v>7164</v>
      </c>
      <c r="G7173" s="420">
        <f t="shared" ca="1" si="119"/>
        <v>1.7010966717480314E-2</v>
      </c>
    </row>
    <row r="7174" spans="6:7" x14ac:dyDescent="0.2">
      <c r="F7174" s="591">
        <v>7165</v>
      </c>
      <c r="G7174" s="420">
        <f t="shared" ca="1" si="119"/>
        <v>-9.0459441577108862E-3</v>
      </c>
    </row>
    <row r="7175" spans="6:7" x14ac:dyDescent="0.2">
      <c r="F7175" s="591">
        <v>7166</v>
      </c>
      <c r="G7175" s="420">
        <f t="shared" ca="1" si="119"/>
        <v>7.3474645741216649E-2</v>
      </c>
    </row>
    <row r="7176" spans="6:7" x14ac:dyDescent="0.2">
      <c r="F7176" s="591">
        <v>7167</v>
      </c>
      <c r="G7176" s="420">
        <f t="shared" ca="1" si="119"/>
        <v>-0.10767048618430208</v>
      </c>
    </row>
    <row r="7177" spans="6:7" x14ac:dyDescent="0.2">
      <c r="F7177" s="591">
        <v>7168</v>
      </c>
      <c r="G7177" s="420">
        <f t="shared" ca="1" si="119"/>
        <v>-8.9092485468798055E-2</v>
      </c>
    </row>
    <row r="7178" spans="6:7" x14ac:dyDescent="0.2">
      <c r="F7178" s="591">
        <v>7169</v>
      </c>
      <c r="G7178" s="420">
        <f t="shared" ca="1" si="119"/>
        <v>0.12323364553937634</v>
      </c>
    </row>
    <row r="7179" spans="6:7" x14ac:dyDescent="0.2">
      <c r="F7179" s="591">
        <v>7170</v>
      </c>
      <c r="G7179" s="420">
        <f t="shared" ref="G7179:G7242" ca="1" si="120">_xlfn.NORM.INV(RAND(), $M$11,$M$12)</f>
        <v>-5.3164456093716839E-2</v>
      </c>
    </row>
    <row r="7180" spans="6:7" x14ac:dyDescent="0.2">
      <c r="F7180" s="591">
        <v>7171</v>
      </c>
      <c r="G7180" s="420">
        <f t="shared" ca="1" si="120"/>
        <v>0.11400879064299779</v>
      </c>
    </row>
    <row r="7181" spans="6:7" x14ac:dyDescent="0.2">
      <c r="F7181" s="591">
        <v>7172</v>
      </c>
      <c r="G7181" s="420">
        <f t="shared" ca="1" si="120"/>
        <v>-3.8701652650324089E-2</v>
      </c>
    </row>
    <row r="7182" spans="6:7" x14ac:dyDescent="0.2">
      <c r="F7182" s="591">
        <v>7173</v>
      </c>
      <c r="G7182" s="420">
        <f t="shared" ca="1" si="120"/>
        <v>-5.1825769685154899E-2</v>
      </c>
    </row>
    <row r="7183" spans="6:7" x14ac:dyDescent="0.2">
      <c r="F7183" s="591">
        <v>7174</v>
      </c>
      <c r="G7183" s="420">
        <f t="shared" ca="1" si="120"/>
        <v>-9.0407492658971314E-2</v>
      </c>
    </row>
    <row r="7184" spans="6:7" x14ac:dyDescent="0.2">
      <c r="F7184" s="591">
        <v>7175</v>
      </c>
      <c r="G7184" s="420">
        <f t="shared" ca="1" si="120"/>
        <v>9.3085225082426587E-2</v>
      </c>
    </row>
    <row r="7185" spans="6:7" x14ac:dyDescent="0.2">
      <c r="F7185" s="591">
        <v>7176</v>
      </c>
      <c r="G7185" s="420">
        <f t="shared" ca="1" si="120"/>
        <v>0.17567748931991833</v>
      </c>
    </row>
    <row r="7186" spans="6:7" x14ac:dyDescent="0.2">
      <c r="F7186" s="591">
        <v>7177</v>
      </c>
      <c r="G7186" s="420">
        <f t="shared" ca="1" si="120"/>
        <v>-0.12368454233607627</v>
      </c>
    </row>
    <row r="7187" spans="6:7" x14ac:dyDescent="0.2">
      <c r="F7187" s="591">
        <v>7178</v>
      </c>
      <c r="G7187" s="420">
        <f t="shared" ca="1" si="120"/>
        <v>0.13558556039460634</v>
      </c>
    </row>
    <row r="7188" spans="6:7" x14ac:dyDescent="0.2">
      <c r="F7188" s="591">
        <v>7179</v>
      </c>
      <c r="G7188" s="420">
        <f t="shared" ca="1" si="120"/>
        <v>0.10954041530390599</v>
      </c>
    </row>
    <row r="7189" spans="6:7" x14ac:dyDescent="0.2">
      <c r="F7189" s="591">
        <v>7180</v>
      </c>
      <c r="G7189" s="420">
        <f t="shared" ca="1" si="120"/>
        <v>1.5626968472096568E-2</v>
      </c>
    </row>
    <row r="7190" spans="6:7" x14ac:dyDescent="0.2">
      <c r="F7190" s="591">
        <v>7181</v>
      </c>
      <c r="G7190" s="420">
        <f t="shared" ca="1" si="120"/>
        <v>4.1820698267933679E-2</v>
      </c>
    </row>
    <row r="7191" spans="6:7" x14ac:dyDescent="0.2">
      <c r="F7191" s="591">
        <v>7182</v>
      </c>
      <c r="G7191" s="420">
        <f t="shared" ca="1" si="120"/>
        <v>8.9814111022591903E-2</v>
      </c>
    </row>
    <row r="7192" spans="6:7" x14ac:dyDescent="0.2">
      <c r="F7192" s="591">
        <v>7183</v>
      </c>
      <c r="G7192" s="420">
        <f t="shared" ca="1" si="120"/>
        <v>-6.8414831639899247E-3</v>
      </c>
    </row>
    <row r="7193" spans="6:7" x14ac:dyDescent="0.2">
      <c r="F7193" s="591">
        <v>7184</v>
      </c>
      <c r="G7193" s="420">
        <f t="shared" ca="1" si="120"/>
        <v>-3.4910196026946921E-2</v>
      </c>
    </row>
    <row r="7194" spans="6:7" x14ac:dyDescent="0.2">
      <c r="F7194" s="591">
        <v>7185</v>
      </c>
      <c r="G7194" s="420">
        <f t="shared" ca="1" si="120"/>
        <v>-6.8210844594997308E-2</v>
      </c>
    </row>
    <row r="7195" spans="6:7" x14ac:dyDescent="0.2">
      <c r="F7195" s="591">
        <v>7186</v>
      </c>
      <c r="G7195" s="420">
        <f t="shared" ca="1" si="120"/>
        <v>-2.8794803571734872E-2</v>
      </c>
    </row>
    <row r="7196" spans="6:7" x14ac:dyDescent="0.2">
      <c r="F7196" s="591">
        <v>7187</v>
      </c>
      <c r="G7196" s="420">
        <f t="shared" ca="1" si="120"/>
        <v>5.1080709299182042E-2</v>
      </c>
    </row>
    <row r="7197" spans="6:7" x14ac:dyDescent="0.2">
      <c r="F7197" s="591">
        <v>7188</v>
      </c>
      <c r="G7197" s="420">
        <f t="shared" ca="1" si="120"/>
        <v>5.6120034906937358E-2</v>
      </c>
    </row>
    <row r="7198" spans="6:7" x14ac:dyDescent="0.2">
      <c r="F7198" s="591">
        <v>7189</v>
      </c>
      <c r="G7198" s="420">
        <f t="shared" ca="1" si="120"/>
        <v>1.4526846775814176E-2</v>
      </c>
    </row>
    <row r="7199" spans="6:7" x14ac:dyDescent="0.2">
      <c r="F7199" s="591">
        <v>7190</v>
      </c>
      <c r="G7199" s="420">
        <f t="shared" ca="1" si="120"/>
        <v>-8.3437132173066628E-2</v>
      </c>
    </row>
    <row r="7200" spans="6:7" x14ac:dyDescent="0.2">
      <c r="F7200" s="591">
        <v>7191</v>
      </c>
      <c r="G7200" s="420">
        <f t="shared" ca="1" si="120"/>
        <v>-5.3663677043585656E-2</v>
      </c>
    </row>
    <row r="7201" spans="6:7" x14ac:dyDescent="0.2">
      <c r="F7201" s="591">
        <v>7192</v>
      </c>
      <c r="G7201" s="420">
        <f t="shared" ca="1" si="120"/>
        <v>3.3488819303031075E-2</v>
      </c>
    </row>
    <row r="7202" spans="6:7" x14ac:dyDescent="0.2">
      <c r="F7202" s="591">
        <v>7193</v>
      </c>
      <c r="G7202" s="420">
        <f t="shared" ca="1" si="120"/>
        <v>-7.4245495800447883E-2</v>
      </c>
    </row>
    <row r="7203" spans="6:7" x14ac:dyDescent="0.2">
      <c r="F7203" s="591">
        <v>7194</v>
      </c>
      <c r="G7203" s="420">
        <f t="shared" ca="1" si="120"/>
        <v>5.681894294345248E-2</v>
      </c>
    </row>
    <row r="7204" spans="6:7" x14ac:dyDescent="0.2">
      <c r="F7204" s="591">
        <v>7195</v>
      </c>
      <c r="G7204" s="420">
        <f t="shared" ca="1" si="120"/>
        <v>2.7850052959673383E-2</v>
      </c>
    </row>
    <row r="7205" spans="6:7" x14ac:dyDescent="0.2">
      <c r="F7205" s="591">
        <v>7196</v>
      </c>
      <c r="G7205" s="420">
        <f t="shared" ca="1" si="120"/>
        <v>4.4063781270653732E-2</v>
      </c>
    </row>
    <row r="7206" spans="6:7" x14ac:dyDescent="0.2">
      <c r="F7206" s="591">
        <v>7197</v>
      </c>
      <c r="G7206" s="420">
        <f t="shared" ca="1" si="120"/>
        <v>0.10992718670033697</v>
      </c>
    </row>
    <row r="7207" spans="6:7" x14ac:dyDescent="0.2">
      <c r="F7207" s="591">
        <v>7198</v>
      </c>
      <c r="G7207" s="420">
        <f t="shared" ca="1" si="120"/>
        <v>-7.994065467465182E-2</v>
      </c>
    </row>
    <row r="7208" spans="6:7" x14ac:dyDescent="0.2">
      <c r="F7208" s="591">
        <v>7199</v>
      </c>
      <c r="G7208" s="420">
        <f t="shared" ca="1" si="120"/>
        <v>3.8698448874088603E-2</v>
      </c>
    </row>
    <row r="7209" spans="6:7" x14ac:dyDescent="0.2">
      <c r="F7209" s="591">
        <v>7200</v>
      </c>
      <c r="G7209" s="420">
        <f t="shared" ca="1" si="120"/>
        <v>8.3444619836908915E-2</v>
      </c>
    </row>
    <row r="7210" spans="6:7" x14ac:dyDescent="0.2">
      <c r="F7210" s="591">
        <v>7201</v>
      </c>
      <c r="G7210" s="420">
        <f t="shared" ca="1" si="120"/>
        <v>7.2179759867385868E-2</v>
      </c>
    </row>
    <row r="7211" spans="6:7" x14ac:dyDescent="0.2">
      <c r="F7211" s="591">
        <v>7202</v>
      </c>
      <c r="G7211" s="420">
        <f t="shared" ca="1" si="120"/>
        <v>7.7820958053488432E-2</v>
      </c>
    </row>
    <row r="7212" spans="6:7" x14ac:dyDescent="0.2">
      <c r="F7212" s="591">
        <v>7203</v>
      </c>
      <c r="G7212" s="420">
        <f t="shared" ca="1" si="120"/>
        <v>-2.9757940988500511E-2</v>
      </c>
    </row>
    <row r="7213" spans="6:7" x14ac:dyDescent="0.2">
      <c r="F7213" s="591">
        <v>7204</v>
      </c>
      <c r="G7213" s="420">
        <f t="shared" ca="1" si="120"/>
        <v>6.0430232529260511E-2</v>
      </c>
    </row>
    <row r="7214" spans="6:7" x14ac:dyDescent="0.2">
      <c r="F7214" s="591">
        <v>7205</v>
      </c>
      <c r="G7214" s="420">
        <f t="shared" ca="1" si="120"/>
        <v>-6.1948223763477889E-2</v>
      </c>
    </row>
    <row r="7215" spans="6:7" x14ac:dyDescent="0.2">
      <c r="F7215" s="591">
        <v>7206</v>
      </c>
      <c r="G7215" s="420">
        <f t="shared" ca="1" si="120"/>
        <v>5.0614893349662723E-2</v>
      </c>
    </row>
    <row r="7216" spans="6:7" x14ac:dyDescent="0.2">
      <c r="F7216" s="591">
        <v>7207</v>
      </c>
      <c r="G7216" s="420">
        <f t="shared" ca="1" si="120"/>
        <v>-6.4919653141228689E-5</v>
      </c>
    </row>
    <row r="7217" spans="6:7" x14ac:dyDescent="0.2">
      <c r="F7217" s="591">
        <v>7208</v>
      </c>
      <c r="G7217" s="420">
        <f t="shared" ca="1" si="120"/>
        <v>8.4606872321027635E-2</v>
      </c>
    </row>
    <row r="7218" spans="6:7" x14ac:dyDescent="0.2">
      <c r="F7218" s="591">
        <v>7209</v>
      </c>
      <c r="G7218" s="420">
        <f t="shared" ca="1" si="120"/>
        <v>-5.3855683264221688E-2</v>
      </c>
    </row>
    <row r="7219" spans="6:7" x14ac:dyDescent="0.2">
      <c r="F7219" s="591">
        <v>7210</v>
      </c>
      <c r="G7219" s="420">
        <f t="shared" ca="1" si="120"/>
        <v>7.9839320283446782E-3</v>
      </c>
    </row>
    <row r="7220" spans="6:7" x14ac:dyDescent="0.2">
      <c r="F7220" s="591">
        <v>7211</v>
      </c>
      <c r="G7220" s="420">
        <f t="shared" ca="1" si="120"/>
        <v>-8.4218228589190841E-2</v>
      </c>
    </row>
    <row r="7221" spans="6:7" x14ac:dyDescent="0.2">
      <c r="F7221" s="591">
        <v>7212</v>
      </c>
      <c r="G7221" s="420">
        <f t="shared" ca="1" si="120"/>
        <v>-1.7219871901411936E-2</v>
      </c>
    </row>
    <row r="7222" spans="6:7" x14ac:dyDescent="0.2">
      <c r="F7222" s="591">
        <v>7213</v>
      </c>
      <c r="G7222" s="420">
        <f t="shared" ca="1" si="120"/>
        <v>-1.3626509720899446E-2</v>
      </c>
    </row>
    <row r="7223" spans="6:7" x14ac:dyDescent="0.2">
      <c r="F7223" s="591">
        <v>7214</v>
      </c>
      <c r="G7223" s="420">
        <f t="shared" ca="1" si="120"/>
        <v>6.992311163411391E-2</v>
      </c>
    </row>
    <row r="7224" spans="6:7" x14ac:dyDescent="0.2">
      <c r="F7224" s="591">
        <v>7215</v>
      </c>
      <c r="G7224" s="420">
        <f t="shared" ca="1" si="120"/>
        <v>-8.2585019830673317E-2</v>
      </c>
    </row>
    <row r="7225" spans="6:7" x14ac:dyDescent="0.2">
      <c r="F7225" s="591">
        <v>7216</v>
      </c>
      <c r="G7225" s="420">
        <f t="shared" ca="1" si="120"/>
        <v>0.11136392729141834</v>
      </c>
    </row>
    <row r="7226" spans="6:7" x14ac:dyDescent="0.2">
      <c r="F7226" s="591">
        <v>7217</v>
      </c>
      <c r="G7226" s="420">
        <f t="shared" ca="1" si="120"/>
        <v>-4.4342573232625304E-2</v>
      </c>
    </row>
    <row r="7227" spans="6:7" x14ac:dyDescent="0.2">
      <c r="F7227" s="591">
        <v>7218</v>
      </c>
      <c r="G7227" s="420">
        <f t="shared" ca="1" si="120"/>
        <v>0.11061825895227295</v>
      </c>
    </row>
    <row r="7228" spans="6:7" x14ac:dyDescent="0.2">
      <c r="F7228" s="591">
        <v>7219</v>
      </c>
      <c r="G7228" s="420">
        <f t="shared" ca="1" si="120"/>
        <v>-4.4883471499293642E-2</v>
      </c>
    </row>
    <row r="7229" spans="6:7" x14ac:dyDescent="0.2">
      <c r="F7229" s="591">
        <v>7220</v>
      </c>
      <c r="G7229" s="420">
        <f t="shared" ca="1" si="120"/>
        <v>0.11865506288311316</v>
      </c>
    </row>
    <row r="7230" spans="6:7" x14ac:dyDescent="0.2">
      <c r="F7230" s="591">
        <v>7221</v>
      </c>
      <c r="G7230" s="420">
        <f t="shared" ca="1" si="120"/>
        <v>4.8117018184572809E-3</v>
      </c>
    </row>
    <row r="7231" spans="6:7" x14ac:dyDescent="0.2">
      <c r="F7231" s="591">
        <v>7222</v>
      </c>
      <c r="G7231" s="420">
        <f t="shared" ca="1" si="120"/>
        <v>5.9196944376163046E-2</v>
      </c>
    </row>
    <row r="7232" spans="6:7" x14ac:dyDescent="0.2">
      <c r="F7232" s="591">
        <v>7223</v>
      </c>
      <c r="G7232" s="420">
        <f t="shared" ca="1" si="120"/>
        <v>-7.6370445165395096E-2</v>
      </c>
    </row>
    <row r="7233" spans="6:7" x14ac:dyDescent="0.2">
      <c r="F7233" s="591">
        <v>7224</v>
      </c>
      <c r="G7233" s="420">
        <f t="shared" ca="1" si="120"/>
        <v>7.2918843457727311E-2</v>
      </c>
    </row>
    <row r="7234" spans="6:7" x14ac:dyDescent="0.2">
      <c r="F7234" s="591">
        <v>7225</v>
      </c>
      <c r="G7234" s="420">
        <f t="shared" ca="1" si="120"/>
        <v>-0.1101312790106441</v>
      </c>
    </row>
    <row r="7235" spans="6:7" x14ac:dyDescent="0.2">
      <c r="F7235" s="591">
        <v>7226</v>
      </c>
      <c r="G7235" s="420">
        <f t="shared" ca="1" si="120"/>
        <v>3.2422282732245677E-2</v>
      </c>
    </row>
    <row r="7236" spans="6:7" x14ac:dyDescent="0.2">
      <c r="F7236" s="591">
        <v>7227</v>
      </c>
      <c r="G7236" s="420">
        <f t="shared" ca="1" si="120"/>
        <v>-1.9539398252506494E-2</v>
      </c>
    </row>
    <row r="7237" spans="6:7" x14ac:dyDescent="0.2">
      <c r="F7237" s="591">
        <v>7228</v>
      </c>
      <c r="G7237" s="420">
        <f t="shared" ca="1" si="120"/>
        <v>3.3963721618596739E-2</v>
      </c>
    </row>
    <row r="7238" spans="6:7" x14ac:dyDescent="0.2">
      <c r="F7238" s="591">
        <v>7229</v>
      </c>
      <c r="G7238" s="420">
        <f t="shared" ca="1" si="120"/>
        <v>2.7606322675130635E-2</v>
      </c>
    </row>
    <row r="7239" spans="6:7" x14ac:dyDescent="0.2">
      <c r="F7239" s="591">
        <v>7230</v>
      </c>
      <c r="G7239" s="420">
        <f t="shared" ca="1" si="120"/>
        <v>5.3585088921630289E-2</v>
      </c>
    </row>
    <row r="7240" spans="6:7" x14ac:dyDescent="0.2">
      <c r="F7240" s="591">
        <v>7231</v>
      </c>
      <c r="G7240" s="420">
        <f t="shared" ca="1" si="120"/>
        <v>-1.5803544276878956E-2</v>
      </c>
    </row>
    <row r="7241" spans="6:7" x14ac:dyDescent="0.2">
      <c r="F7241" s="591">
        <v>7232</v>
      </c>
      <c r="G7241" s="420">
        <f t="shared" ca="1" si="120"/>
        <v>3.1486554203654815E-2</v>
      </c>
    </row>
    <row r="7242" spans="6:7" x14ac:dyDescent="0.2">
      <c r="F7242" s="591">
        <v>7233</v>
      </c>
      <c r="G7242" s="420">
        <f t="shared" ca="1" si="120"/>
        <v>-8.212610974180222E-2</v>
      </c>
    </row>
    <row r="7243" spans="6:7" x14ac:dyDescent="0.2">
      <c r="F7243" s="591">
        <v>7234</v>
      </c>
      <c r="G7243" s="420">
        <f t="shared" ref="G7243:G7306" ca="1" si="121">_xlfn.NORM.INV(RAND(), $M$11,$M$12)</f>
        <v>3.7699408016113697E-2</v>
      </c>
    </row>
    <row r="7244" spans="6:7" x14ac:dyDescent="0.2">
      <c r="F7244" s="591">
        <v>7235</v>
      </c>
      <c r="G7244" s="420">
        <f t="shared" ca="1" si="121"/>
        <v>-4.6740676558501532E-2</v>
      </c>
    </row>
    <row r="7245" spans="6:7" x14ac:dyDescent="0.2">
      <c r="F7245" s="591">
        <v>7236</v>
      </c>
      <c r="G7245" s="420">
        <f t="shared" ca="1" si="121"/>
        <v>-0.11410820955658284</v>
      </c>
    </row>
    <row r="7246" spans="6:7" x14ac:dyDescent="0.2">
      <c r="F7246" s="591">
        <v>7237</v>
      </c>
      <c r="G7246" s="420">
        <f t="shared" ca="1" si="121"/>
        <v>-2.8602557666596373E-2</v>
      </c>
    </row>
    <row r="7247" spans="6:7" x14ac:dyDescent="0.2">
      <c r="F7247" s="591">
        <v>7238</v>
      </c>
      <c r="G7247" s="420">
        <f t="shared" ca="1" si="121"/>
        <v>0.12662082528770191</v>
      </c>
    </row>
    <row r="7248" spans="6:7" x14ac:dyDescent="0.2">
      <c r="F7248" s="591">
        <v>7239</v>
      </c>
      <c r="G7248" s="420">
        <f t="shared" ca="1" si="121"/>
        <v>7.8236146281944793E-2</v>
      </c>
    </row>
    <row r="7249" spans="6:7" x14ac:dyDescent="0.2">
      <c r="F7249" s="591">
        <v>7240</v>
      </c>
      <c r="G7249" s="420">
        <f t="shared" ca="1" si="121"/>
        <v>3.5356913269542933E-2</v>
      </c>
    </row>
    <row r="7250" spans="6:7" x14ac:dyDescent="0.2">
      <c r="F7250" s="591">
        <v>7241</v>
      </c>
      <c r="G7250" s="420">
        <f t="shared" ca="1" si="121"/>
        <v>1.8175523808173347E-2</v>
      </c>
    </row>
    <row r="7251" spans="6:7" x14ac:dyDescent="0.2">
      <c r="F7251" s="591">
        <v>7242</v>
      </c>
      <c r="G7251" s="420">
        <f t="shared" ca="1" si="121"/>
        <v>2.9190204314832172E-2</v>
      </c>
    </row>
    <row r="7252" spans="6:7" x14ac:dyDescent="0.2">
      <c r="F7252" s="591">
        <v>7243</v>
      </c>
      <c r="G7252" s="420">
        <f t="shared" ca="1" si="121"/>
        <v>-5.1992301721370329E-2</v>
      </c>
    </row>
    <row r="7253" spans="6:7" x14ac:dyDescent="0.2">
      <c r="F7253" s="591">
        <v>7244</v>
      </c>
      <c r="G7253" s="420">
        <f t="shared" ca="1" si="121"/>
        <v>-0.1075496292423537</v>
      </c>
    </row>
    <row r="7254" spans="6:7" x14ac:dyDescent="0.2">
      <c r="F7254" s="591">
        <v>7245</v>
      </c>
      <c r="G7254" s="420">
        <f t="shared" ca="1" si="121"/>
        <v>-4.0671111219547362E-2</v>
      </c>
    </row>
    <row r="7255" spans="6:7" x14ac:dyDescent="0.2">
      <c r="F7255" s="591">
        <v>7246</v>
      </c>
      <c r="G7255" s="420">
        <f t="shared" ca="1" si="121"/>
        <v>-5.1627142546217517E-2</v>
      </c>
    </row>
    <row r="7256" spans="6:7" x14ac:dyDescent="0.2">
      <c r="F7256" s="591">
        <v>7247</v>
      </c>
      <c r="G7256" s="420">
        <f t="shared" ca="1" si="121"/>
        <v>0.11498738800022307</v>
      </c>
    </row>
    <row r="7257" spans="6:7" x14ac:dyDescent="0.2">
      <c r="F7257" s="591">
        <v>7248</v>
      </c>
      <c r="G7257" s="420">
        <f t="shared" ca="1" si="121"/>
        <v>-8.6655331669898999E-2</v>
      </c>
    </row>
    <row r="7258" spans="6:7" x14ac:dyDescent="0.2">
      <c r="F7258" s="591">
        <v>7249</v>
      </c>
      <c r="G7258" s="420">
        <f t="shared" ca="1" si="121"/>
        <v>-2.638511380174725E-2</v>
      </c>
    </row>
    <row r="7259" spans="6:7" x14ac:dyDescent="0.2">
      <c r="F7259" s="591">
        <v>7250</v>
      </c>
      <c r="G7259" s="420">
        <f t="shared" ca="1" si="121"/>
        <v>4.3636749738538136E-2</v>
      </c>
    </row>
    <row r="7260" spans="6:7" x14ac:dyDescent="0.2">
      <c r="F7260" s="591">
        <v>7251</v>
      </c>
      <c r="G7260" s="420">
        <f t="shared" ca="1" si="121"/>
        <v>6.1559696721229119E-3</v>
      </c>
    </row>
    <row r="7261" spans="6:7" x14ac:dyDescent="0.2">
      <c r="F7261" s="591">
        <v>7252</v>
      </c>
      <c r="G7261" s="420">
        <f t="shared" ca="1" si="121"/>
        <v>6.4043453596438288E-2</v>
      </c>
    </row>
    <row r="7262" spans="6:7" x14ac:dyDescent="0.2">
      <c r="F7262" s="591">
        <v>7253</v>
      </c>
      <c r="G7262" s="420">
        <f t="shared" ca="1" si="121"/>
        <v>9.7264457619821873E-2</v>
      </c>
    </row>
    <row r="7263" spans="6:7" x14ac:dyDescent="0.2">
      <c r="F7263" s="591">
        <v>7254</v>
      </c>
      <c r="G7263" s="420">
        <f t="shared" ca="1" si="121"/>
        <v>4.2032748550384802E-2</v>
      </c>
    </row>
    <row r="7264" spans="6:7" x14ac:dyDescent="0.2">
      <c r="F7264" s="591">
        <v>7255</v>
      </c>
      <c r="G7264" s="420">
        <f t="shared" ca="1" si="121"/>
        <v>6.6886071256720109E-2</v>
      </c>
    </row>
    <row r="7265" spans="6:7" x14ac:dyDescent="0.2">
      <c r="F7265" s="591">
        <v>7256</v>
      </c>
      <c r="G7265" s="420">
        <f t="shared" ca="1" si="121"/>
        <v>-3.1853437301236506E-2</v>
      </c>
    </row>
    <row r="7266" spans="6:7" x14ac:dyDescent="0.2">
      <c r="F7266" s="591">
        <v>7257</v>
      </c>
      <c r="G7266" s="420">
        <f t="shared" ca="1" si="121"/>
        <v>-2.6770772398641649E-2</v>
      </c>
    </row>
    <row r="7267" spans="6:7" x14ac:dyDescent="0.2">
      <c r="F7267" s="591">
        <v>7258</v>
      </c>
      <c r="G7267" s="420">
        <f t="shared" ca="1" si="121"/>
        <v>4.6088936037502776E-2</v>
      </c>
    </row>
    <row r="7268" spans="6:7" x14ac:dyDescent="0.2">
      <c r="F7268" s="591">
        <v>7259</v>
      </c>
      <c r="G7268" s="420">
        <f t="shared" ca="1" si="121"/>
        <v>2.9229951707356455E-2</v>
      </c>
    </row>
    <row r="7269" spans="6:7" x14ac:dyDescent="0.2">
      <c r="F7269" s="591">
        <v>7260</v>
      </c>
      <c r="G7269" s="420">
        <f t="shared" ca="1" si="121"/>
        <v>-0.14767596540477596</v>
      </c>
    </row>
    <row r="7270" spans="6:7" x14ac:dyDescent="0.2">
      <c r="F7270" s="591">
        <v>7261</v>
      </c>
      <c r="G7270" s="420">
        <f t="shared" ca="1" si="121"/>
        <v>-1.754658508078899E-2</v>
      </c>
    </row>
    <row r="7271" spans="6:7" x14ac:dyDescent="0.2">
      <c r="F7271" s="591">
        <v>7262</v>
      </c>
      <c r="G7271" s="420">
        <f t="shared" ca="1" si="121"/>
        <v>4.1403918883275159E-2</v>
      </c>
    </row>
    <row r="7272" spans="6:7" x14ac:dyDescent="0.2">
      <c r="F7272" s="591">
        <v>7263</v>
      </c>
      <c r="G7272" s="420">
        <f t="shared" ca="1" si="121"/>
        <v>-8.2852441764976137E-2</v>
      </c>
    </row>
    <row r="7273" spans="6:7" x14ac:dyDescent="0.2">
      <c r="F7273" s="591">
        <v>7264</v>
      </c>
      <c r="G7273" s="420">
        <f t="shared" ca="1" si="121"/>
        <v>3.335515957536675E-2</v>
      </c>
    </row>
    <row r="7274" spans="6:7" x14ac:dyDescent="0.2">
      <c r="F7274" s="591">
        <v>7265</v>
      </c>
      <c r="G7274" s="420">
        <f t="shared" ca="1" si="121"/>
        <v>5.6496487971825105E-2</v>
      </c>
    </row>
    <row r="7275" spans="6:7" x14ac:dyDescent="0.2">
      <c r="F7275" s="591">
        <v>7266</v>
      </c>
      <c r="G7275" s="420">
        <f t="shared" ca="1" si="121"/>
        <v>8.789034419194143E-2</v>
      </c>
    </row>
    <row r="7276" spans="6:7" x14ac:dyDescent="0.2">
      <c r="F7276" s="591">
        <v>7267</v>
      </c>
      <c r="G7276" s="420">
        <f t="shared" ca="1" si="121"/>
        <v>6.1976806849797037E-3</v>
      </c>
    </row>
    <row r="7277" spans="6:7" x14ac:dyDescent="0.2">
      <c r="F7277" s="591">
        <v>7268</v>
      </c>
      <c r="G7277" s="420">
        <f t="shared" ca="1" si="121"/>
        <v>-3.9356356579611132E-2</v>
      </c>
    </row>
    <row r="7278" spans="6:7" x14ac:dyDescent="0.2">
      <c r="F7278" s="591">
        <v>7269</v>
      </c>
      <c r="G7278" s="420">
        <f t="shared" ca="1" si="121"/>
        <v>1.5123345603757238E-3</v>
      </c>
    </row>
    <row r="7279" spans="6:7" x14ac:dyDescent="0.2">
      <c r="F7279" s="591">
        <v>7270</v>
      </c>
      <c r="G7279" s="420">
        <f t="shared" ca="1" si="121"/>
        <v>-2.5961024270387486E-2</v>
      </c>
    </row>
    <row r="7280" spans="6:7" x14ac:dyDescent="0.2">
      <c r="F7280" s="591">
        <v>7271</v>
      </c>
      <c r="G7280" s="420">
        <f t="shared" ca="1" si="121"/>
        <v>8.4520126623759614E-2</v>
      </c>
    </row>
    <row r="7281" spans="6:7" x14ac:dyDescent="0.2">
      <c r="F7281" s="591">
        <v>7272</v>
      </c>
      <c r="G7281" s="420">
        <f t="shared" ca="1" si="121"/>
        <v>3.2291747965665293E-2</v>
      </c>
    </row>
    <row r="7282" spans="6:7" x14ac:dyDescent="0.2">
      <c r="F7282" s="591">
        <v>7273</v>
      </c>
      <c r="G7282" s="420">
        <f t="shared" ca="1" si="121"/>
        <v>1.0076487151906306E-3</v>
      </c>
    </row>
    <row r="7283" spans="6:7" x14ac:dyDescent="0.2">
      <c r="F7283" s="591">
        <v>7274</v>
      </c>
      <c r="G7283" s="420">
        <f t="shared" ca="1" si="121"/>
        <v>6.6912103923065513E-2</v>
      </c>
    </row>
    <row r="7284" spans="6:7" x14ac:dyDescent="0.2">
      <c r="F7284" s="591">
        <v>7275</v>
      </c>
      <c r="G7284" s="420">
        <f t="shared" ca="1" si="121"/>
        <v>0.13188991407912465</v>
      </c>
    </row>
    <row r="7285" spans="6:7" x14ac:dyDescent="0.2">
      <c r="F7285" s="591">
        <v>7276</v>
      </c>
      <c r="G7285" s="420">
        <f t="shared" ca="1" si="121"/>
        <v>2.8316381123322718E-2</v>
      </c>
    </row>
    <row r="7286" spans="6:7" x14ac:dyDescent="0.2">
      <c r="F7286" s="591">
        <v>7277</v>
      </c>
      <c r="G7286" s="420">
        <f t="shared" ca="1" si="121"/>
        <v>3.1079551148056862E-2</v>
      </c>
    </row>
    <row r="7287" spans="6:7" x14ac:dyDescent="0.2">
      <c r="F7287" s="591">
        <v>7278</v>
      </c>
      <c r="G7287" s="420">
        <f t="shared" ca="1" si="121"/>
        <v>4.0637523035440104E-2</v>
      </c>
    </row>
    <row r="7288" spans="6:7" x14ac:dyDescent="0.2">
      <c r="F7288" s="591">
        <v>7279</v>
      </c>
      <c r="G7288" s="420">
        <f t="shared" ca="1" si="121"/>
        <v>0.12282562582020735</v>
      </c>
    </row>
    <row r="7289" spans="6:7" x14ac:dyDescent="0.2">
      <c r="F7289" s="591">
        <v>7280</v>
      </c>
      <c r="G7289" s="420">
        <f t="shared" ca="1" si="121"/>
        <v>1.6624376465365076E-2</v>
      </c>
    </row>
    <row r="7290" spans="6:7" x14ac:dyDescent="0.2">
      <c r="F7290" s="591">
        <v>7281</v>
      </c>
      <c r="G7290" s="420">
        <f t="shared" ca="1" si="121"/>
        <v>-5.8233796291108211E-2</v>
      </c>
    </row>
    <row r="7291" spans="6:7" x14ac:dyDescent="0.2">
      <c r="F7291" s="591">
        <v>7282</v>
      </c>
      <c r="G7291" s="420">
        <f t="shared" ca="1" si="121"/>
        <v>-4.5542570931992654E-2</v>
      </c>
    </row>
    <row r="7292" spans="6:7" x14ac:dyDescent="0.2">
      <c r="F7292" s="591">
        <v>7283</v>
      </c>
      <c r="G7292" s="420">
        <f t="shared" ca="1" si="121"/>
        <v>7.6732785591225344E-2</v>
      </c>
    </row>
    <row r="7293" spans="6:7" x14ac:dyDescent="0.2">
      <c r="F7293" s="591">
        <v>7284</v>
      </c>
      <c r="G7293" s="420">
        <f t="shared" ca="1" si="121"/>
        <v>9.6133237040193983E-2</v>
      </c>
    </row>
    <row r="7294" spans="6:7" x14ac:dyDescent="0.2">
      <c r="F7294" s="591">
        <v>7285</v>
      </c>
      <c r="G7294" s="420">
        <f t="shared" ca="1" si="121"/>
        <v>8.9326970621173007E-2</v>
      </c>
    </row>
    <row r="7295" spans="6:7" x14ac:dyDescent="0.2">
      <c r="F7295" s="591">
        <v>7286</v>
      </c>
      <c r="G7295" s="420">
        <f t="shared" ca="1" si="121"/>
        <v>5.8146552376762348E-2</v>
      </c>
    </row>
    <row r="7296" spans="6:7" x14ac:dyDescent="0.2">
      <c r="F7296" s="591">
        <v>7287</v>
      </c>
      <c r="G7296" s="420">
        <f t="shared" ca="1" si="121"/>
        <v>0.11295743543070487</v>
      </c>
    </row>
    <row r="7297" spans="6:7" x14ac:dyDescent="0.2">
      <c r="F7297" s="591">
        <v>7288</v>
      </c>
      <c r="G7297" s="420">
        <f t="shared" ca="1" si="121"/>
        <v>3.8640843226950564E-2</v>
      </c>
    </row>
    <row r="7298" spans="6:7" x14ac:dyDescent="0.2">
      <c r="F7298" s="591">
        <v>7289</v>
      </c>
      <c r="G7298" s="420">
        <f t="shared" ca="1" si="121"/>
        <v>-3.8617733249100825E-2</v>
      </c>
    </row>
    <row r="7299" spans="6:7" x14ac:dyDescent="0.2">
      <c r="F7299" s="591">
        <v>7290</v>
      </c>
      <c r="G7299" s="420">
        <f t="shared" ca="1" si="121"/>
        <v>-8.1276944207645183E-3</v>
      </c>
    </row>
    <row r="7300" spans="6:7" x14ac:dyDescent="0.2">
      <c r="F7300" s="591">
        <v>7291</v>
      </c>
      <c r="G7300" s="420">
        <f t="shared" ca="1" si="121"/>
        <v>-7.4912497600383668E-2</v>
      </c>
    </row>
    <row r="7301" spans="6:7" x14ac:dyDescent="0.2">
      <c r="F7301" s="591">
        <v>7292</v>
      </c>
      <c r="G7301" s="420">
        <f t="shared" ca="1" si="121"/>
        <v>0.10429123868497048</v>
      </c>
    </row>
    <row r="7302" spans="6:7" x14ac:dyDescent="0.2">
      <c r="F7302" s="591">
        <v>7293</v>
      </c>
      <c r="G7302" s="420">
        <f t="shared" ca="1" si="121"/>
        <v>-1.8621525973047507E-2</v>
      </c>
    </row>
    <row r="7303" spans="6:7" x14ac:dyDescent="0.2">
      <c r="F7303" s="591">
        <v>7294</v>
      </c>
      <c r="G7303" s="420">
        <f t="shared" ca="1" si="121"/>
        <v>3.3087208529805227E-2</v>
      </c>
    </row>
    <row r="7304" spans="6:7" x14ac:dyDescent="0.2">
      <c r="F7304" s="591">
        <v>7295</v>
      </c>
      <c r="G7304" s="420">
        <f t="shared" ca="1" si="121"/>
        <v>-7.5930147570984374E-2</v>
      </c>
    </row>
    <row r="7305" spans="6:7" x14ac:dyDescent="0.2">
      <c r="F7305" s="591">
        <v>7296</v>
      </c>
      <c r="G7305" s="420">
        <f t="shared" ca="1" si="121"/>
        <v>-4.9557793133273548E-2</v>
      </c>
    </row>
    <row r="7306" spans="6:7" x14ac:dyDescent="0.2">
      <c r="F7306" s="591">
        <v>7297</v>
      </c>
      <c r="G7306" s="420">
        <f t="shared" ca="1" si="121"/>
        <v>-2.541156265092603E-2</v>
      </c>
    </row>
    <row r="7307" spans="6:7" x14ac:dyDescent="0.2">
      <c r="F7307" s="591">
        <v>7298</v>
      </c>
      <c r="G7307" s="420">
        <f t="shared" ref="G7307:G7370" ca="1" si="122">_xlfn.NORM.INV(RAND(), $M$11,$M$12)</f>
        <v>0.1257271165229355</v>
      </c>
    </row>
    <row r="7308" spans="6:7" x14ac:dyDescent="0.2">
      <c r="F7308" s="591">
        <v>7299</v>
      </c>
      <c r="G7308" s="420">
        <f t="shared" ca="1" si="122"/>
        <v>1.9180565626664859E-2</v>
      </c>
    </row>
    <row r="7309" spans="6:7" x14ac:dyDescent="0.2">
      <c r="F7309" s="591">
        <v>7300</v>
      </c>
      <c r="G7309" s="420">
        <f t="shared" ca="1" si="122"/>
        <v>4.1215130133190156E-2</v>
      </c>
    </row>
    <row r="7310" spans="6:7" x14ac:dyDescent="0.2">
      <c r="F7310" s="591">
        <v>7301</v>
      </c>
      <c r="G7310" s="420">
        <f t="shared" ca="1" si="122"/>
        <v>0.10623739074883556</v>
      </c>
    </row>
    <row r="7311" spans="6:7" x14ac:dyDescent="0.2">
      <c r="F7311" s="591">
        <v>7302</v>
      </c>
      <c r="G7311" s="420">
        <f t="shared" ca="1" si="122"/>
        <v>4.7245365062977968E-2</v>
      </c>
    </row>
    <row r="7312" spans="6:7" x14ac:dyDescent="0.2">
      <c r="F7312" s="591">
        <v>7303</v>
      </c>
      <c r="G7312" s="420">
        <f t="shared" ca="1" si="122"/>
        <v>-8.2352434329426141E-2</v>
      </c>
    </row>
    <row r="7313" spans="6:7" x14ac:dyDescent="0.2">
      <c r="F7313" s="591">
        <v>7304</v>
      </c>
      <c r="G7313" s="420">
        <f t="shared" ca="1" si="122"/>
        <v>0.14776361963836479</v>
      </c>
    </row>
    <row r="7314" spans="6:7" x14ac:dyDescent="0.2">
      <c r="F7314" s="591">
        <v>7305</v>
      </c>
      <c r="G7314" s="420">
        <f t="shared" ca="1" si="122"/>
        <v>0.14629146198612875</v>
      </c>
    </row>
    <row r="7315" spans="6:7" x14ac:dyDescent="0.2">
      <c r="F7315" s="591">
        <v>7306</v>
      </c>
      <c r="G7315" s="420">
        <f t="shared" ca="1" si="122"/>
        <v>-9.6707489425655546E-2</v>
      </c>
    </row>
    <row r="7316" spans="6:7" x14ac:dyDescent="0.2">
      <c r="F7316" s="591">
        <v>7307</v>
      </c>
      <c r="G7316" s="420">
        <f t="shared" ca="1" si="122"/>
        <v>8.8068196393401063E-2</v>
      </c>
    </row>
    <row r="7317" spans="6:7" x14ac:dyDescent="0.2">
      <c r="F7317" s="591">
        <v>7308</v>
      </c>
      <c r="G7317" s="420">
        <f t="shared" ca="1" si="122"/>
        <v>6.6420028792253991E-2</v>
      </c>
    </row>
    <row r="7318" spans="6:7" x14ac:dyDescent="0.2">
      <c r="F7318" s="591">
        <v>7309</v>
      </c>
      <c r="G7318" s="420">
        <f t="shared" ca="1" si="122"/>
        <v>-2.7988132967468788E-2</v>
      </c>
    </row>
    <row r="7319" spans="6:7" x14ac:dyDescent="0.2">
      <c r="F7319" s="591">
        <v>7310</v>
      </c>
      <c r="G7319" s="420">
        <f t="shared" ca="1" si="122"/>
        <v>-1.3887855917435531E-2</v>
      </c>
    </row>
    <row r="7320" spans="6:7" x14ac:dyDescent="0.2">
      <c r="F7320" s="591">
        <v>7311</v>
      </c>
      <c r="G7320" s="420">
        <f t="shared" ca="1" si="122"/>
        <v>7.9262825919562685E-2</v>
      </c>
    </row>
    <row r="7321" spans="6:7" x14ac:dyDescent="0.2">
      <c r="F7321" s="591">
        <v>7312</v>
      </c>
      <c r="G7321" s="420">
        <f t="shared" ca="1" si="122"/>
        <v>-3.5491607028757435E-2</v>
      </c>
    </row>
    <row r="7322" spans="6:7" x14ac:dyDescent="0.2">
      <c r="F7322" s="591">
        <v>7313</v>
      </c>
      <c r="G7322" s="420">
        <f t="shared" ca="1" si="122"/>
        <v>-2.5897097365323179E-2</v>
      </c>
    </row>
    <row r="7323" spans="6:7" x14ac:dyDescent="0.2">
      <c r="F7323" s="591">
        <v>7314</v>
      </c>
      <c r="G7323" s="420">
        <f t="shared" ca="1" si="122"/>
        <v>-2.7169709102993756E-2</v>
      </c>
    </row>
    <row r="7324" spans="6:7" x14ac:dyDescent="0.2">
      <c r="F7324" s="591">
        <v>7315</v>
      </c>
      <c r="G7324" s="420">
        <f t="shared" ca="1" si="122"/>
        <v>-2.0561271414431762E-2</v>
      </c>
    </row>
    <row r="7325" spans="6:7" x14ac:dyDescent="0.2">
      <c r="F7325" s="591">
        <v>7316</v>
      </c>
      <c r="G7325" s="420">
        <f t="shared" ca="1" si="122"/>
        <v>-7.8288091449917788E-2</v>
      </c>
    </row>
    <row r="7326" spans="6:7" x14ac:dyDescent="0.2">
      <c r="F7326" s="591">
        <v>7317</v>
      </c>
      <c r="G7326" s="420">
        <f t="shared" ca="1" si="122"/>
        <v>-4.3845142316585178E-2</v>
      </c>
    </row>
    <row r="7327" spans="6:7" x14ac:dyDescent="0.2">
      <c r="F7327" s="591">
        <v>7318</v>
      </c>
      <c r="G7327" s="420">
        <f t="shared" ca="1" si="122"/>
        <v>5.9845425704695282E-2</v>
      </c>
    </row>
    <row r="7328" spans="6:7" x14ac:dyDescent="0.2">
      <c r="F7328" s="591">
        <v>7319</v>
      </c>
      <c r="G7328" s="420">
        <f t="shared" ca="1" si="122"/>
        <v>3.5444110546157606E-2</v>
      </c>
    </row>
    <row r="7329" spans="6:7" x14ac:dyDescent="0.2">
      <c r="F7329" s="591">
        <v>7320</v>
      </c>
      <c r="G7329" s="420">
        <f t="shared" ca="1" si="122"/>
        <v>-4.103469331638572E-2</v>
      </c>
    </row>
    <row r="7330" spans="6:7" x14ac:dyDescent="0.2">
      <c r="F7330" s="591">
        <v>7321</v>
      </c>
      <c r="G7330" s="420">
        <f t="shared" ca="1" si="122"/>
        <v>8.7552770773981756E-2</v>
      </c>
    </row>
    <row r="7331" spans="6:7" x14ac:dyDescent="0.2">
      <c r="F7331" s="591">
        <v>7322</v>
      </c>
      <c r="G7331" s="420">
        <f t="shared" ca="1" si="122"/>
        <v>9.1156770436993828E-2</v>
      </c>
    </row>
    <row r="7332" spans="6:7" x14ac:dyDescent="0.2">
      <c r="F7332" s="591">
        <v>7323</v>
      </c>
      <c r="G7332" s="420">
        <f t="shared" ca="1" si="122"/>
        <v>-2.6435119990544983E-2</v>
      </c>
    </row>
    <row r="7333" spans="6:7" x14ac:dyDescent="0.2">
      <c r="F7333" s="591">
        <v>7324</v>
      </c>
      <c r="G7333" s="420">
        <f t="shared" ca="1" si="122"/>
        <v>1.7728704617213809E-2</v>
      </c>
    </row>
    <row r="7334" spans="6:7" x14ac:dyDescent="0.2">
      <c r="F7334" s="591">
        <v>7325</v>
      </c>
      <c r="G7334" s="420">
        <f t="shared" ca="1" si="122"/>
        <v>2.3370544682933255E-2</v>
      </c>
    </row>
    <row r="7335" spans="6:7" x14ac:dyDescent="0.2">
      <c r="F7335" s="591">
        <v>7326</v>
      </c>
      <c r="G7335" s="420">
        <f t="shared" ca="1" si="122"/>
        <v>2.2360793140462687E-2</v>
      </c>
    </row>
    <row r="7336" spans="6:7" x14ac:dyDescent="0.2">
      <c r="F7336" s="591">
        <v>7327</v>
      </c>
      <c r="G7336" s="420">
        <f t="shared" ca="1" si="122"/>
        <v>2.583642981567983E-2</v>
      </c>
    </row>
    <row r="7337" spans="6:7" x14ac:dyDescent="0.2">
      <c r="F7337" s="591">
        <v>7328</v>
      </c>
      <c r="G7337" s="420">
        <f t="shared" ca="1" si="122"/>
        <v>2.1134127319406677E-2</v>
      </c>
    </row>
    <row r="7338" spans="6:7" x14ac:dyDescent="0.2">
      <c r="F7338" s="591">
        <v>7329</v>
      </c>
      <c r="G7338" s="420">
        <f t="shared" ca="1" si="122"/>
        <v>-9.8222932895762449E-2</v>
      </c>
    </row>
    <row r="7339" spans="6:7" x14ac:dyDescent="0.2">
      <c r="F7339" s="591">
        <v>7330</v>
      </c>
      <c r="G7339" s="420">
        <f t="shared" ca="1" si="122"/>
        <v>1.5931086890795674E-2</v>
      </c>
    </row>
    <row r="7340" spans="6:7" x14ac:dyDescent="0.2">
      <c r="F7340" s="591">
        <v>7331</v>
      </c>
      <c r="G7340" s="420">
        <f t="shared" ca="1" si="122"/>
        <v>2.1220080614541514E-2</v>
      </c>
    </row>
    <row r="7341" spans="6:7" x14ac:dyDescent="0.2">
      <c r="F7341" s="591">
        <v>7332</v>
      </c>
      <c r="G7341" s="420">
        <f t="shared" ca="1" si="122"/>
        <v>6.3528891756891956E-2</v>
      </c>
    </row>
    <row r="7342" spans="6:7" x14ac:dyDescent="0.2">
      <c r="F7342" s="591">
        <v>7333</v>
      </c>
      <c r="G7342" s="420">
        <f t="shared" ca="1" si="122"/>
        <v>0.11035377573982716</v>
      </c>
    </row>
    <row r="7343" spans="6:7" x14ac:dyDescent="0.2">
      <c r="F7343" s="591">
        <v>7334</v>
      </c>
      <c r="G7343" s="420">
        <f t="shared" ca="1" si="122"/>
        <v>0.10967730823355216</v>
      </c>
    </row>
    <row r="7344" spans="6:7" x14ac:dyDescent="0.2">
      <c r="F7344" s="591">
        <v>7335</v>
      </c>
      <c r="G7344" s="420">
        <f t="shared" ca="1" si="122"/>
        <v>4.6537657059010891E-3</v>
      </c>
    </row>
    <row r="7345" spans="6:7" x14ac:dyDescent="0.2">
      <c r="F7345" s="591">
        <v>7336</v>
      </c>
      <c r="G7345" s="420">
        <f t="shared" ca="1" si="122"/>
        <v>0.12012818421493118</v>
      </c>
    </row>
    <row r="7346" spans="6:7" x14ac:dyDescent="0.2">
      <c r="F7346" s="591">
        <v>7337</v>
      </c>
      <c r="G7346" s="420">
        <f t="shared" ca="1" si="122"/>
        <v>0.11633328349012891</v>
      </c>
    </row>
    <row r="7347" spans="6:7" x14ac:dyDescent="0.2">
      <c r="F7347" s="591">
        <v>7338</v>
      </c>
      <c r="G7347" s="420">
        <f t="shared" ca="1" si="122"/>
        <v>5.2713138136397442E-2</v>
      </c>
    </row>
    <row r="7348" spans="6:7" x14ac:dyDescent="0.2">
      <c r="F7348" s="591">
        <v>7339</v>
      </c>
      <c r="G7348" s="420">
        <f t="shared" ca="1" si="122"/>
        <v>-1.6486965981331626E-2</v>
      </c>
    </row>
    <row r="7349" spans="6:7" x14ac:dyDescent="0.2">
      <c r="F7349" s="591">
        <v>7340</v>
      </c>
      <c r="G7349" s="420">
        <f t="shared" ca="1" si="122"/>
        <v>-1.669447884985973E-2</v>
      </c>
    </row>
    <row r="7350" spans="6:7" x14ac:dyDescent="0.2">
      <c r="F7350" s="591">
        <v>7341</v>
      </c>
      <c r="G7350" s="420">
        <f t="shared" ca="1" si="122"/>
        <v>8.2159035180191756E-2</v>
      </c>
    </row>
    <row r="7351" spans="6:7" x14ac:dyDescent="0.2">
      <c r="F7351" s="591">
        <v>7342</v>
      </c>
      <c r="G7351" s="420">
        <f t="shared" ca="1" si="122"/>
        <v>-7.5904936903279763E-2</v>
      </c>
    </row>
    <row r="7352" spans="6:7" x14ac:dyDescent="0.2">
      <c r="F7352" s="591">
        <v>7343</v>
      </c>
      <c r="G7352" s="420">
        <f t="shared" ca="1" si="122"/>
        <v>7.0949138619836413E-2</v>
      </c>
    </row>
    <row r="7353" spans="6:7" x14ac:dyDescent="0.2">
      <c r="F7353" s="591">
        <v>7344</v>
      </c>
      <c r="G7353" s="420">
        <f t="shared" ca="1" si="122"/>
        <v>-1.932471656169529E-2</v>
      </c>
    </row>
    <row r="7354" spans="6:7" x14ac:dyDescent="0.2">
      <c r="F7354" s="591">
        <v>7345</v>
      </c>
      <c r="G7354" s="420">
        <f t="shared" ca="1" si="122"/>
        <v>-3.5118482745173131E-4</v>
      </c>
    </row>
    <row r="7355" spans="6:7" x14ac:dyDescent="0.2">
      <c r="F7355" s="591">
        <v>7346</v>
      </c>
      <c r="G7355" s="420">
        <f t="shared" ca="1" si="122"/>
        <v>7.7514438094322527E-2</v>
      </c>
    </row>
    <row r="7356" spans="6:7" x14ac:dyDescent="0.2">
      <c r="F7356" s="591">
        <v>7347</v>
      </c>
      <c r="G7356" s="420">
        <f t="shared" ca="1" si="122"/>
        <v>-4.2888087950199438E-2</v>
      </c>
    </row>
    <row r="7357" spans="6:7" x14ac:dyDescent="0.2">
      <c r="F7357" s="591">
        <v>7348</v>
      </c>
      <c r="G7357" s="420">
        <f t="shared" ca="1" si="122"/>
        <v>7.2866307738901931E-2</v>
      </c>
    </row>
    <row r="7358" spans="6:7" x14ac:dyDescent="0.2">
      <c r="F7358" s="591">
        <v>7349</v>
      </c>
      <c r="G7358" s="420">
        <f t="shared" ca="1" si="122"/>
        <v>-2.7144996812505314E-2</v>
      </c>
    </row>
    <row r="7359" spans="6:7" x14ac:dyDescent="0.2">
      <c r="F7359" s="591">
        <v>7350</v>
      </c>
      <c r="G7359" s="420">
        <f t="shared" ca="1" si="122"/>
        <v>0.14078850931224163</v>
      </c>
    </row>
    <row r="7360" spans="6:7" x14ac:dyDescent="0.2">
      <c r="F7360" s="591">
        <v>7351</v>
      </c>
      <c r="G7360" s="420">
        <f t="shared" ca="1" si="122"/>
        <v>-4.5948994330542781E-2</v>
      </c>
    </row>
    <row r="7361" spans="6:7" x14ac:dyDescent="0.2">
      <c r="F7361" s="591">
        <v>7352</v>
      </c>
      <c r="G7361" s="420">
        <f t="shared" ca="1" si="122"/>
        <v>-1.9765480148827355E-3</v>
      </c>
    </row>
    <row r="7362" spans="6:7" x14ac:dyDescent="0.2">
      <c r="F7362" s="591">
        <v>7353</v>
      </c>
      <c r="G7362" s="420">
        <f t="shared" ca="1" si="122"/>
        <v>9.1970641531799416E-2</v>
      </c>
    </row>
    <row r="7363" spans="6:7" x14ac:dyDescent="0.2">
      <c r="F7363" s="591">
        <v>7354</v>
      </c>
      <c r="G7363" s="420">
        <f t="shared" ca="1" si="122"/>
        <v>-0.10589852442197277</v>
      </c>
    </row>
    <row r="7364" spans="6:7" x14ac:dyDescent="0.2">
      <c r="F7364" s="591">
        <v>7355</v>
      </c>
      <c r="G7364" s="420">
        <f t="shared" ca="1" si="122"/>
        <v>-1.3091241868303637E-2</v>
      </c>
    </row>
    <row r="7365" spans="6:7" x14ac:dyDescent="0.2">
      <c r="F7365" s="591">
        <v>7356</v>
      </c>
      <c r="G7365" s="420">
        <f t="shared" ca="1" si="122"/>
        <v>-0.14007841452656442</v>
      </c>
    </row>
    <row r="7366" spans="6:7" x14ac:dyDescent="0.2">
      <c r="F7366" s="591">
        <v>7357</v>
      </c>
      <c r="G7366" s="420">
        <f t="shared" ca="1" si="122"/>
        <v>2.1525267713067238E-2</v>
      </c>
    </row>
    <row r="7367" spans="6:7" x14ac:dyDescent="0.2">
      <c r="F7367" s="591">
        <v>7358</v>
      </c>
      <c r="G7367" s="420">
        <f t="shared" ca="1" si="122"/>
        <v>9.9507767780094694E-2</v>
      </c>
    </row>
    <row r="7368" spans="6:7" x14ac:dyDescent="0.2">
      <c r="F7368" s="591">
        <v>7359</v>
      </c>
      <c r="G7368" s="420">
        <f t="shared" ca="1" si="122"/>
        <v>-8.1919922232979489E-2</v>
      </c>
    </row>
    <row r="7369" spans="6:7" x14ac:dyDescent="0.2">
      <c r="F7369" s="591">
        <v>7360</v>
      </c>
      <c r="G7369" s="420">
        <f t="shared" ca="1" si="122"/>
        <v>8.4861202898396538E-3</v>
      </c>
    </row>
    <row r="7370" spans="6:7" x14ac:dyDescent="0.2">
      <c r="F7370" s="591">
        <v>7361</v>
      </c>
      <c r="G7370" s="420">
        <f t="shared" ca="1" si="122"/>
        <v>-9.775663265522988E-2</v>
      </c>
    </row>
    <row r="7371" spans="6:7" x14ac:dyDescent="0.2">
      <c r="F7371" s="591">
        <v>7362</v>
      </c>
      <c r="G7371" s="420">
        <f t="shared" ref="G7371:G7434" ca="1" si="123">_xlfn.NORM.INV(RAND(), $M$11,$M$12)</f>
        <v>8.8425865981894489E-2</v>
      </c>
    </row>
    <row r="7372" spans="6:7" x14ac:dyDescent="0.2">
      <c r="F7372" s="591">
        <v>7363</v>
      </c>
      <c r="G7372" s="420">
        <f t="shared" ca="1" si="123"/>
        <v>-2.9804096190064789E-2</v>
      </c>
    </row>
    <row r="7373" spans="6:7" x14ac:dyDescent="0.2">
      <c r="F7373" s="591">
        <v>7364</v>
      </c>
      <c r="G7373" s="420">
        <f t="shared" ca="1" si="123"/>
        <v>0.1330088953789238</v>
      </c>
    </row>
    <row r="7374" spans="6:7" x14ac:dyDescent="0.2">
      <c r="F7374" s="591">
        <v>7365</v>
      </c>
      <c r="G7374" s="420">
        <f t="shared" ca="1" si="123"/>
        <v>-8.5446669950772242E-2</v>
      </c>
    </row>
    <row r="7375" spans="6:7" x14ac:dyDescent="0.2">
      <c r="F7375" s="591">
        <v>7366</v>
      </c>
      <c r="G7375" s="420">
        <f t="shared" ca="1" si="123"/>
        <v>-4.471742015717152E-2</v>
      </c>
    </row>
    <row r="7376" spans="6:7" x14ac:dyDescent="0.2">
      <c r="F7376" s="591">
        <v>7367</v>
      </c>
      <c r="G7376" s="420">
        <f t="shared" ca="1" si="123"/>
        <v>-9.4937654945491473E-2</v>
      </c>
    </row>
    <row r="7377" spans="6:7" x14ac:dyDescent="0.2">
      <c r="F7377" s="591">
        <v>7368</v>
      </c>
      <c r="G7377" s="420">
        <f t="shared" ca="1" si="123"/>
        <v>6.8491056574469258E-2</v>
      </c>
    </row>
    <row r="7378" spans="6:7" x14ac:dyDescent="0.2">
      <c r="F7378" s="591">
        <v>7369</v>
      </c>
      <c r="G7378" s="420">
        <f t="shared" ca="1" si="123"/>
        <v>-1.684125262153369E-2</v>
      </c>
    </row>
    <row r="7379" spans="6:7" x14ac:dyDescent="0.2">
      <c r="F7379" s="591">
        <v>7370</v>
      </c>
      <c r="G7379" s="420">
        <f t="shared" ca="1" si="123"/>
        <v>-2.7162732867508307E-2</v>
      </c>
    </row>
    <row r="7380" spans="6:7" x14ac:dyDescent="0.2">
      <c r="F7380" s="591">
        <v>7371</v>
      </c>
      <c r="G7380" s="420">
        <f t="shared" ca="1" si="123"/>
        <v>-6.5989660644433887E-2</v>
      </c>
    </row>
    <row r="7381" spans="6:7" x14ac:dyDescent="0.2">
      <c r="F7381" s="591">
        <v>7372</v>
      </c>
      <c r="G7381" s="420">
        <f t="shared" ca="1" si="123"/>
        <v>-6.9032160203767734E-2</v>
      </c>
    </row>
    <row r="7382" spans="6:7" x14ac:dyDescent="0.2">
      <c r="F7382" s="591">
        <v>7373</v>
      </c>
      <c r="G7382" s="420">
        <f t="shared" ca="1" si="123"/>
        <v>4.2527194448968512E-2</v>
      </c>
    </row>
    <row r="7383" spans="6:7" x14ac:dyDescent="0.2">
      <c r="F7383" s="591">
        <v>7374</v>
      </c>
      <c r="G7383" s="420">
        <f t="shared" ca="1" si="123"/>
        <v>3.137815564172701E-2</v>
      </c>
    </row>
    <row r="7384" spans="6:7" x14ac:dyDescent="0.2">
      <c r="F7384" s="591">
        <v>7375</v>
      </c>
      <c r="G7384" s="420">
        <f t="shared" ca="1" si="123"/>
        <v>-0.10523111350465343</v>
      </c>
    </row>
    <row r="7385" spans="6:7" x14ac:dyDescent="0.2">
      <c r="F7385" s="591">
        <v>7376</v>
      </c>
      <c r="G7385" s="420">
        <f t="shared" ca="1" si="123"/>
        <v>-0.13293451650853055</v>
      </c>
    </row>
    <row r="7386" spans="6:7" x14ac:dyDescent="0.2">
      <c r="F7386" s="591">
        <v>7377</v>
      </c>
      <c r="G7386" s="420">
        <f t="shared" ca="1" si="123"/>
        <v>-1.8721048501090791E-2</v>
      </c>
    </row>
    <row r="7387" spans="6:7" x14ac:dyDescent="0.2">
      <c r="F7387" s="591">
        <v>7378</v>
      </c>
      <c r="G7387" s="420">
        <f t="shared" ca="1" si="123"/>
        <v>-5.0850930510564857E-2</v>
      </c>
    </row>
    <row r="7388" spans="6:7" x14ac:dyDescent="0.2">
      <c r="F7388" s="591">
        <v>7379</v>
      </c>
      <c r="G7388" s="420">
        <f t="shared" ca="1" si="123"/>
        <v>-1.2532256064581356E-2</v>
      </c>
    </row>
    <row r="7389" spans="6:7" x14ac:dyDescent="0.2">
      <c r="F7389" s="591">
        <v>7380</v>
      </c>
      <c r="G7389" s="420">
        <f t="shared" ca="1" si="123"/>
        <v>-4.3671978650597049E-2</v>
      </c>
    </row>
    <row r="7390" spans="6:7" x14ac:dyDescent="0.2">
      <c r="F7390" s="591">
        <v>7381</v>
      </c>
      <c r="G7390" s="420">
        <f t="shared" ca="1" si="123"/>
        <v>-3.4212181527283544E-2</v>
      </c>
    </row>
    <row r="7391" spans="6:7" x14ac:dyDescent="0.2">
      <c r="F7391" s="591">
        <v>7382</v>
      </c>
      <c r="G7391" s="420">
        <f t="shared" ca="1" si="123"/>
        <v>-8.6206766802942023E-2</v>
      </c>
    </row>
    <row r="7392" spans="6:7" x14ac:dyDescent="0.2">
      <c r="F7392" s="591">
        <v>7383</v>
      </c>
      <c r="G7392" s="420">
        <f t="shared" ca="1" si="123"/>
        <v>7.7076617657869897E-2</v>
      </c>
    </row>
    <row r="7393" spans="6:7" x14ac:dyDescent="0.2">
      <c r="F7393" s="591">
        <v>7384</v>
      </c>
      <c r="G7393" s="420">
        <f t="shared" ca="1" si="123"/>
        <v>2.0676196285564809E-2</v>
      </c>
    </row>
    <row r="7394" spans="6:7" x14ac:dyDescent="0.2">
      <c r="F7394" s="591">
        <v>7385</v>
      </c>
      <c r="G7394" s="420">
        <f t="shared" ca="1" si="123"/>
        <v>-2.1159112008298231E-5</v>
      </c>
    </row>
    <row r="7395" spans="6:7" x14ac:dyDescent="0.2">
      <c r="F7395" s="591">
        <v>7386</v>
      </c>
      <c r="G7395" s="420">
        <f t="shared" ca="1" si="123"/>
        <v>-1.9090276986286996E-2</v>
      </c>
    </row>
    <row r="7396" spans="6:7" x14ac:dyDescent="0.2">
      <c r="F7396" s="591">
        <v>7387</v>
      </c>
      <c r="G7396" s="420">
        <f t="shared" ca="1" si="123"/>
        <v>1.8546696321241399E-2</v>
      </c>
    </row>
    <row r="7397" spans="6:7" x14ac:dyDescent="0.2">
      <c r="F7397" s="591">
        <v>7388</v>
      </c>
      <c r="G7397" s="420">
        <f t="shared" ca="1" si="123"/>
        <v>0.13545967786800273</v>
      </c>
    </row>
    <row r="7398" spans="6:7" x14ac:dyDescent="0.2">
      <c r="F7398" s="591">
        <v>7389</v>
      </c>
      <c r="G7398" s="420">
        <f t="shared" ca="1" si="123"/>
        <v>-8.2395669963858983E-2</v>
      </c>
    </row>
    <row r="7399" spans="6:7" x14ac:dyDescent="0.2">
      <c r="F7399" s="591">
        <v>7390</v>
      </c>
      <c r="G7399" s="420">
        <f t="shared" ca="1" si="123"/>
        <v>5.7523201480790459E-2</v>
      </c>
    </row>
    <row r="7400" spans="6:7" x14ac:dyDescent="0.2">
      <c r="F7400" s="591">
        <v>7391</v>
      </c>
      <c r="G7400" s="420">
        <f t="shared" ca="1" si="123"/>
        <v>3.0212240848460879E-3</v>
      </c>
    </row>
    <row r="7401" spans="6:7" x14ac:dyDescent="0.2">
      <c r="F7401" s="591">
        <v>7392</v>
      </c>
      <c r="G7401" s="420">
        <f t="shared" ca="1" si="123"/>
        <v>-6.3975795256655768E-2</v>
      </c>
    </row>
    <row r="7402" spans="6:7" x14ac:dyDescent="0.2">
      <c r="F7402" s="591">
        <v>7393</v>
      </c>
      <c r="G7402" s="420">
        <f t="shared" ca="1" si="123"/>
        <v>6.0571267178340826E-2</v>
      </c>
    </row>
    <row r="7403" spans="6:7" x14ac:dyDescent="0.2">
      <c r="F7403" s="591">
        <v>7394</v>
      </c>
      <c r="G7403" s="420">
        <f t="shared" ca="1" si="123"/>
        <v>-8.2692444258239017E-2</v>
      </c>
    </row>
    <row r="7404" spans="6:7" x14ac:dyDescent="0.2">
      <c r="F7404" s="591">
        <v>7395</v>
      </c>
      <c r="G7404" s="420">
        <f t="shared" ca="1" si="123"/>
        <v>6.1437334148574496E-2</v>
      </c>
    </row>
    <row r="7405" spans="6:7" x14ac:dyDescent="0.2">
      <c r="F7405" s="591">
        <v>7396</v>
      </c>
      <c r="G7405" s="420">
        <f t="shared" ca="1" si="123"/>
        <v>-3.7549370606630689E-2</v>
      </c>
    </row>
    <row r="7406" spans="6:7" x14ac:dyDescent="0.2">
      <c r="F7406" s="591">
        <v>7397</v>
      </c>
      <c r="G7406" s="420">
        <f t="shared" ca="1" si="123"/>
        <v>-1.9776264167196706E-3</v>
      </c>
    </row>
    <row r="7407" spans="6:7" x14ac:dyDescent="0.2">
      <c r="F7407" s="591">
        <v>7398</v>
      </c>
      <c r="G7407" s="420">
        <f t="shared" ca="1" si="123"/>
        <v>-1.995924855882034E-2</v>
      </c>
    </row>
    <row r="7408" spans="6:7" x14ac:dyDescent="0.2">
      <c r="F7408" s="591">
        <v>7399</v>
      </c>
      <c r="G7408" s="420">
        <f t="shared" ca="1" si="123"/>
        <v>-1.6870129355424437E-2</v>
      </c>
    </row>
    <row r="7409" spans="6:7" x14ac:dyDescent="0.2">
      <c r="F7409" s="591">
        <v>7400</v>
      </c>
      <c r="G7409" s="420">
        <f t="shared" ca="1" si="123"/>
        <v>-9.3597934803541477E-2</v>
      </c>
    </row>
    <row r="7410" spans="6:7" x14ac:dyDescent="0.2">
      <c r="F7410" s="591">
        <v>7401</v>
      </c>
      <c r="G7410" s="420">
        <f t="shared" ca="1" si="123"/>
        <v>1.8499950184921975E-2</v>
      </c>
    </row>
    <row r="7411" spans="6:7" x14ac:dyDescent="0.2">
      <c r="F7411" s="591">
        <v>7402</v>
      </c>
      <c r="G7411" s="420">
        <f t="shared" ca="1" si="123"/>
        <v>-7.0429440941371352E-2</v>
      </c>
    </row>
    <row r="7412" spans="6:7" x14ac:dyDescent="0.2">
      <c r="F7412" s="591">
        <v>7403</v>
      </c>
      <c r="G7412" s="420">
        <f t="shared" ca="1" si="123"/>
        <v>2.5462418986619825E-2</v>
      </c>
    </row>
    <row r="7413" spans="6:7" x14ac:dyDescent="0.2">
      <c r="F7413" s="591">
        <v>7404</v>
      </c>
      <c r="G7413" s="420">
        <f t="shared" ca="1" si="123"/>
        <v>5.1128247814998737E-2</v>
      </c>
    </row>
    <row r="7414" spans="6:7" x14ac:dyDescent="0.2">
      <c r="F7414" s="591">
        <v>7405</v>
      </c>
      <c r="G7414" s="420">
        <f t="shared" ca="1" si="123"/>
        <v>-3.4333915443114579E-2</v>
      </c>
    </row>
    <row r="7415" spans="6:7" x14ac:dyDescent="0.2">
      <c r="F7415" s="591">
        <v>7406</v>
      </c>
      <c r="G7415" s="420">
        <f t="shared" ca="1" si="123"/>
        <v>3.5885118726445946E-3</v>
      </c>
    </row>
    <row r="7416" spans="6:7" x14ac:dyDescent="0.2">
      <c r="F7416" s="591">
        <v>7407</v>
      </c>
      <c r="G7416" s="420">
        <f t="shared" ca="1" si="123"/>
        <v>0.1153766509702038</v>
      </c>
    </row>
    <row r="7417" spans="6:7" x14ac:dyDescent="0.2">
      <c r="F7417" s="591">
        <v>7408</v>
      </c>
      <c r="G7417" s="420">
        <f t="shared" ca="1" si="123"/>
        <v>-3.3510396685784954E-2</v>
      </c>
    </row>
    <row r="7418" spans="6:7" x14ac:dyDescent="0.2">
      <c r="F7418" s="591">
        <v>7409</v>
      </c>
      <c r="G7418" s="420">
        <f t="shared" ca="1" si="123"/>
        <v>-9.7449772090698154E-3</v>
      </c>
    </row>
    <row r="7419" spans="6:7" x14ac:dyDescent="0.2">
      <c r="F7419" s="591">
        <v>7410</v>
      </c>
      <c r="G7419" s="420">
        <f t="shared" ca="1" si="123"/>
        <v>3.4872601116712934E-2</v>
      </c>
    </row>
    <row r="7420" spans="6:7" x14ac:dyDescent="0.2">
      <c r="F7420" s="591">
        <v>7411</v>
      </c>
      <c r="G7420" s="420">
        <f t="shared" ca="1" si="123"/>
        <v>-1.1387152513490206E-2</v>
      </c>
    </row>
    <row r="7421" spans="6:7" x14ac:dyDescent="0.2">
      <c r="F7421" s="591">
        <v>7412</v>
      </c>
      <c r="G7421" s="420">
        <f t="shared" ca="1" si="123"/>
        <v>8.4300999032436652E-2</v>
      </c>
    </row>
    <row r="7422" spans="6:7" x14ac:dyDescent="0.2">
      <c r="F7422" s="591">
        <v>7413</v>
      </c>
      <c r="G7422" s="420">
        <f t="shared" ca="1" si="123"/>
        <v>-8.7098217385912224E-2</v>
      </c>
    </row>
    <row r="7423" spans="6:7" x14ac:dyDescent="0.2">
      <c r="F7423" s="591">
        <v>7414</v>
      </c>
      <c r="G7423" s="420">
        <f t="shared" ca="1" si="123"/>
        <v>-1.2388670159325915E-2</v>
      </c>
    </row>
    <row r="7424" spans="6:7" x14ac:dyDescent="0.2">
      <c r="F7424" s="591">
        <v>7415</v>
      </c>
      <c r="G7424" s="420">
        <f t="shared" ca="1" si="123"/>
        <v>7.8694427145280715E-2</v>
      </c>
    </row>
    <row r="7425" spans="6:7" x14ac:dyDescent="0.2">
      <c r="F7425" s="591">
        <v>7416</v>
      </c>
      <c r="G7425" s="420">
        <f t="shared" ca="1" si="123"/>
        <v>-1.9702567979942028E-2</v>
      </c>
    </row>
    <row r="7426" spans="6:7" x14ac:dyDescent="0.2">
      <c r="F7426" s="591">
        <v>7417</v>
      </c>
      <c r="G7426" s="420">
        <f t="shared" ca="1" si="123"/>
        <v>2.7600460503891117E-5</v>
      </c>
    </row>
    <row r="7427" spans="6:7" x14ac:dyDescent="0.2">
      <c r="F7427" s="591">
        <v>7418</v>
      </c>
      <c r="G7427" s="420">
        <f t="shared" ca="1" si="123"/>
        <v>2.571714620776918E-2</v>
      </c>
    </row>
    <row r="7428" spans="6:7" x14ac:dyDescent="0.2">
      <c r="F7428" s="591">
        <v>7419</v>
      </c>
      <c r="G7428" s="420">
        <f t="shared" ca="1" si="123"/>
        <v>0.14496651213887632</v>
      </c>
    </row>
    <row r="7429" spans="6:7" x14ac:dyDescent="0.2">
      <c r="F7429" s="591">
        <v>7420</v>
      </c>
      <c r="G7429" s="420">
        <f t="shared" ca="1" si="123"/>
        <v>-1.6944589298678592E-2</v>
      </c>
    </row>
    <row r="7430" spans="6:7" x14ac:dyDescent="0.2">
      <c r="F7430" s="591">
        <v>7421</v>
      </c>
      <c r="G7430" s="420">
        <f t="shared" ca="1" si="123"/>
        <v>4.3230445020125324E-2</v>
      </c>
    </row>
    <row r="7431" spans="6:7" x14ac:dyDescent="0.2">
      <c r="F7431" s="591">
        <v>7422</v>
      </c>
      <c r="G7431" s="420">
        <f t="shared" ca="1" si="123"/>
        <v>0.11554378847852088</v>
      </c>
    </row>
    <row r="7432" spans="6:7" x14ac:dyDescent="0.2">
      <c r="F7432" s="591">
        <v>7423</v>
      </c>
      <c r="G7432" s="420">
        <f t="shared" ca="1" si="123"/>
        <v>-2.0771091276200599E-2</v>
      </c>
    </row>
    <row r="7433" spans="6:7" x14ac:dyDescent="0.2">
      <c r="F7433" s="591">
        <v>7424</v>
      </c>
      <c r="G7433" s="420">
        <f t="shared" ca="1" si="123"/>
        <v>2.603355376514745E-2</v>
      </c>
    </row>
    <row r="7434" spans="6:7" x14ac:dyDescent="0.2">
      <c r="F7434" s="591">
        <v>7425</v>
      </c>
      <c r="G7434" s="420">
        <f t="shared" ca="1" si="123"/>
        <v>-3.7279483693484147E-2</v>
      </c>
    </row>
    <row r="7435" spans="6:7" x14ac:dyDescent="0.2">
      <c r="F7435" s="591">
        <v>7426</v>
      </c>
      <c r="G7435" s="420">
        <f t="shared" ref="G7435:G7498" ca="1" si="124">_xlfn.NORM.INV(RAND(), $M$11,$M$12)</f>
        <v>6.8937731223422408E-2</v>
      </c>
    </row>
    <row r="7436" spans="6:7" x14ac:dyDescent="0.2">
      <c r="F7436" s="591">
        <v>7427</v>
      </c>
      <c r="G7436" s="420">
        <f t="shared" ca="1" si="124"/>
        <v>3.620003817642925E-2</v>
      </c>
    </row>
    <row r="7437" spans="6:7" x14ac:dyDescent="0.2">
      <c r="F7437" s="591">
        <v>7428</v>
      </c>
      <c r="G7437" s="420">
        <f t="shared" ca="1" si="124"/>
        <v>-3.2496691456741972E-2</v>
      </c>
    </row>
    <row r="7438" spans="6:7" x14ac:dyDescent="0.2">
      <c r="F7438" s="591">
        <v>7429</v>
      </c>
      <c r="G7438" s="420">
        <f t="shared" ca="1" si="124"/>
        <v>0.12617708437517905</v>
      </c>
    </row>
    <row r="7439" spans="6:7" x14ac:dyDescent="0.2">
      <c r="F7439" s="591">
        <v>7430</v>
      </c>
      <c r="G7439" s="420">
        <f t="shared" ca="1" si="124"/>
        <v>8.385646855331079E-2</v>
      </c>
    </row>
    <row r="7440" spans="6:7" x14ac:dyDescent="0.2">
      <c r="F7440" s="591">
        <v>7431</v>
      </c>
      <c r="G7440" s="420">
        <f t="shared" ca="1" si="124"/>
        <v>1.6743155649683261E-2</v>
      </c>
    </row>
    <row r="7441" spans="6:7" x14ac:dyDescent="0.2">
      <c r="F7441" s="591">
        <v>7432</v>
      </c>
      <c r="G7441" s="420">
        <f t="shared" ca="1" si="124"/>
        <v>-2.4683164291723968E-2</v>
      </c>
    </row>
    <row r="7442" spans="6:7" x14ac:dyDescent="0.2">
      <c r="F7442" s="591">
        <v>7433</v>
      </c>
      <c r="G7442" s="420">
        <f t="shared" ca="1" si="124"/>
        <v>2.150998513279441E-2</v>
      </c>
    </row>
    <row r="7443" spans="6:7" x14ac:dyDescent="0.2">
      <c r="F7443" s="591">
        <v>7434</v>
      </c>
      <c r="G7443" s="420">
        <f t="shared" ca="1" si="124"/>
        <v>-7.5187282038052264E-2</v>
      </c>
    </row>
    <row r="7444" spans="6:7" x14ac:dyDescent="0.2">
      <c r="F7444" s="591">
        <v>7435</v>
      </c>
      <c r="G7444" s="420">
        <f t="shared" ca="1" si="124"/>
        <v>0.11631383501026801</v>
      </c>
    </row>
    <row r="7445" spans="6:7" x14ac:dyDescent="0.2">
      <c r="F7445" s="591">
        <v>7436</v>
      </c>
      <c r="G7445" s="420">
        <f t="shared" ca="1" si="124"/>
        <v>-1.8359791326177096E-2</v>
      </c>
    </row>
    <row r="7446" spans="6:7" x14ac:dyDescent="0.2">
      <c r="F7446" s="591">
        <v>7437</v>
      </c>
      <c r="G7446" s="420">
        <f t="shared" ca="1" si="124"/>
        <v>-3.3988883387575844E-2</v>
      </c>
    </row>
    <row r="7447" spans="6:7" x14ac:dyDescent="0.2">
      <c r="F7447" s="591">
        <v>7438</v>
      </c>
      <c r="G7447" s="420">
        <f t="shared" ca="1" si="124"/>
        <v>-2.3861824065239717E-2</v>
      </c>
    </row>
    <row r="7448" spans="6:7" x14ac:dyDescent="0.2">
      <c r="F7448" s="591">
        <v>7439</v>
      </c>
      <c r="G7448" s="420">
        <f t="shared" ca="1" si="124"/>
        <v>7.4438768622352144E-2</v>
      </c>
    </row>
    <row r="7449" spans="6:7" x14ac:dyDescent="0.2">
      <c r="F7449" s="591">
        <v>7440</v>
      </c>
      <c r="G7449" s="420">
        <f t="shared" ca="1" si="124"/>
        <v>0.10803159005149172</v>
      </c>
    </row>
    <row r="7450" spans="6:7" x14ac:dyDescent="0.2">
      <c r="F7450" s="591">
        <v>7441</v>
      </c>
      <c r="G7450" s="420">
        <f t="shared" ca="1" si="124"/>
        <v>-4.5569354154190903E-2</v>
      </c>
    </row>
    <row r="7451" spans="6:7" x14ac:dyDescent="0.2">
      <c r="F7451" s="591">
        <v>7442</v>
      </c>
      <c r="G7451" s="420">
        <f t="shared" ca="1" si="124"/>
        <v>1.5443201181505398E-3</v>
      </c>
    </row>
    <row r="7452" spans="6:7" x14ac:dyDescent="0.2">
      <c r="F7452" s="591">
        <v>7443</v>
      </c>
      <c r="G7452" s="420">
        <f t="shared" ca="1" si="124"/>
        <v>-2.0494393116634816E-3</v>
      </c>
    </row>
    <row r="7453" spans="6:7" x14ac:dyDescent="0.2">
      <c r="F7453" s="591">
        <v>7444</v>
      </c>
      <c r="G7453" s="420">
        <f t="shared" ca="1" si="124"/>
        <v>-4.106137828919959E-2</v>
      </c>
    </row>
    <row r="7454" spans="6:7" x14ac:dyDescent="0.2">
      <c r="F7454" s="591">
        <v>7445</v>
      </c>
      <c r="G7454" s="420">
        <f t="shared" ca="1" si="124"/>
        <v>0.10075768798596187</v>
      </c>
    </row>
    <row r="7455" spans="6:7" x14ac:dyDescent="0.2">
      <c r="F7455" s="591">
        <v>7446</v>
      </c>
      <c r="G7455" s="420">
        <f t="shared" ca="1" si="124"/>
        <v>-2.0046019257903665E-2</v>
      </c>
    </row>
    <row r="7456" spans="6:7" x14ac:dyDescent="0.2">
      <c r="F7456" s="591">
        <v>7447</v>
      </c>
      <c r="G7456" s="420">
        <f t="shared" ca="1" si="124"/>
        <v>5.9120979462597548E-2</v>
      </c>
    </row>
    <row r="7457" spans="6:7" x14ac:dyDescent="0.2">
      <c r="F7457" s="591">
        <v>7448</v>
      </c>
      <c r="G7457" s="420">
        <f t="shared" ca="1" si="124"/>
        <v>3.8510135157074459E-3</v>
      </c>
    </row>
    <row r="7458" spans="6:7" x14ac:dyDescent="0.2">
      <c r="F7458" s="591">
        <v>7449</v>
      </c>
      <c r="G7458" s="420">
        <f t="shared" ca="1" si="124"/>
        <v>0.20837273928613603</v>
      </c>
    </row>
    <row r="7459" spans="6:7" x14ac:dyDescent="0.2">
      <c r="F7459" s="591">
        <v>7450</v>
      </c>
      <c r="G7459" s="420">
        <f t="shared" ca="1" si="124"/>
        <v>-1.5861863473197596E-3</v>
      </c>
    </row>
    <row r="7460" spans="6:7" x14ac:dyDescent="0.2">
      <c r="F7460" s="591">
        <v>7451</v>
      </c>
      <c r="G7460" s="420">
        <f t="shared" ca="1" si="124"/>
        <v>-5.6904359754566314E-2</v>
      </c>
    </row>
    <row r="7461" spans="6:7" x14ac:dyDescent="0.2">
      <c r="F7461" s="591">
        <v>7452</v>
      </c>
      <c r="G7461" s="420">
        <f t="shared" ca="1" si="124"/>
        <v>-2.1427407291313236E-3</v>
      </c>
    </row>
    <row r="7462" spans="6:7" x14ac:dyDescent="0.2">
      <c r="F7462" s="591">
        <v>7453</v>
      </c>
      <c r="G7462" s="420">
        <f t="shared" ca="1" si="124"/>
        <v>-6.5333061404747053E-2</v>
      </c>
    </row>
    <row r="7463" spans="6:7" x14ac:dyDescent="0.2">
      <c r="F7463" s="591">
        <v>7454</v>
      </c>
      <c r="G7463" s="420">
        <f t="shared" ca="1" si="124"/>
        <v>7.8776411403069582E-2</v>
      </c>
    </row>
    <row r="7464" spans="6:7" x14ac:dyDescent="0.2">
      <c r="F7464" s="591">
        <v>7455</v>
      </c>
      <c r="G7464" s="420">
        <f t="shared" ca="1" si="124"/>
        <v>7.1075187940207077E-2</v>
      </c>
    </row>
    <row r="7465" spans="6:7" x14ac:dyDescent="0.2">
      <c r="F7465" s="591">
        <v>7456</v>
      </c>
      <c r="G7465" s="420">
        <f t="shared" ca="1" si="124"/>
        <v>3.4495688300561371E-2</v>
      </c>
    </row>
    <row r="7466" spans="6:7" x14ac:dyDescent="0.2">
      <c r="F7466" s="591">
        <v>7457</v>
      </c>
      <c r="G7466" s="420">
        <f t="shared" ca="1" si="124"/>
        <v>0.10074871225824945</v>
      </c>
    </row>
    <row r="7467" spans="6:7" x14ac:dyDescent="0.2">
      <c r="F7467" s="591">
        <v>7458</v>
      </c>
      <c r="G7467" s="420">
        <f t="shared" ca="1" si="124"/>
        <v>-1.6942024060812362E-2</v>
      </c>
    </row>
    <row r="7468" spans="6:7" x14ac:dyDescent="0.2">
      <c r="F7468" s="591">
        <v>7459</v>
      </c>
      <c r="G7468" s="420">
        <f t="shared" ca="1" si="124"/>
        <v>2.2432468763616195E-2</v>
      </c>
    </row>
    <row r="7469" spans="6:7" x14ac:dyDescent="0.2">
      <c r="F7469" s="591">
        <v>7460</v>
      </c>
      <c r="G7469" s="420">
        <f t="shared" ca="1" si="124"/>
        <v>-4.1024937805950998E-2</v>
      </c>
    </row>
    <row r="7470" spans="6:7" x14ac:dyDescent="0.2">
      <c r="F7470" s="591">
        <v>7461</v>
      </c>
      <c r="G7470" s="420">
        <f t="shared" ca="1" si="124"/>
        <v>3.0358728050531494E-3</v>
      </c>
    </row>
    <row r="7471" spans="6:7" x14ac:dyDescent="0.2">
      <c r="F7471" s="591">
        <v>7462</v>
      </c>
      <c r="G7471" s="420">
        <f t="shared" ca="1" si="124"/>
        <v>0.15173498726456966</v>
      </c>
    </row>
    <row r="7472" spans="6:7" x14ac:dyDescent="0.2">
      <c r="F7472" s="591">
        <v>7463</v>
      </c>
      <c r="G7472" s="420">
        <f t="shared" ca="1" si="124"/>
        <v>-0.11670002201214734</v>
      </c>
    </row>
    <row r="7473" spans="6:7" x14ac:dyDescent="0.2">
      <c r="F7473" s="591">
        <v>7464</v>
      </c>
      <c r="G7473" s="420">
        <f t="shared" ca="1" si="124"/>
        <v>-0.11822008504303082</v>
      </c>
    </row>
    <row r="7474" spans="6:7" x14ac:dyDescent="0.2">
      <c r="F7474" s="591">
        <v>7465</v>
      </c>
      <c r="G7474" s="420">
        <f t="shared" ca="1" si="124"/>
        <v>3.2641172912840508E-2</v>
      </c>
    </row>
    <row r="7475" spans="6:7" x14ac:dyDescent="0.2">
      <c r="F7475" s="591">
        <v>7466</v>
      </c>
      <c r="G7475" s="420">
        <f t="shared" ca="1" si="124"/>
        <v>9.3938712470215513E-2</v>
      </c>
    </row>
    <row r="7476" spans="6:7" x14ac:dyDescent="0.2">
      <c r="F7476" s="591">
        <v>7467</v>
      </c>
      <c r="G7476" s="420">
        <f t="shared" ca="1" si="124"/>
        <v>-1.9161537862246513E-2</v>
      </c>
    </row>
    <row r="7477" spans="6:7" x14ac:dyDescent="0.2">
      <c r="F7477" s="591">
        <v>7468</v>
      </c>
      <c r="G7477" s="420">
        <f t="shared" ca="1" si="124"/>
        <v>-3.091790108074138E-2</v>
      </c>
    </row>
    <row r="7478" spans="6:7" x14ac:dyDescent="0.2">
      <c r="F7478" s="591">
        <v>7469</v>
      </c>
      <c r="G7478" s="420">
        <f t="shared" ca="1" si="124"/>
        <v>-3.8397647107573249E-2</v>
      </c>
    </row>
    <row r="7479" spans="6:7" x14ac:dyDescent="0.2">
      <c r="F7479" s="591">
        <v>7470</v>
      </c>
      <c r="G7479" s="420">
        <f t="shared" ca="1" si="124"/>
        <v>3.4801104935822905E-2</v>
      </c>
    </row>
    <row r="7480" spans="6:7" x14ac:dyDescent="0.2">
      <c r="F7480" s="591">
        <v>7471</v>
      </c>
      <c r="G7480" s="420">
        <f t="shared" ca="1" si="124"/>
        <v>-1.2726985358340118E-2</v>
      </c>
    </row>
    <row r="7481" spans="6:7" x14ac:dyDescent="0.2">
      <c r="F7481" s="591">
        <v>7472</v>
      </c>
      <c r="G7481" s="420">
        <f t="shared" ca="1" si="124"/>
        <v>4.3950560226239501E-3</v>
      </c>
    </row>
    <row r="7482" spans="6:7" x14ac:dyDescent="0.2">
      <c r="F7482" s="591">
        <v>7473</v>
      </c>
      <c r="G7482" s="420">
        <f t="shared" ca="1" si="124"/>
        <v>-1.1417280505629492E-2</v>
      </c>
    </row>
    <row r="7483" spans="6:7" x14ac:dyDescent="0.2">
      <c r="F7483" s="591">
        <v>7474</v>
      </c>
      <c r="G7483" s="420">
        <f t="shared" ca="1" si="124"/>
        <v>5.6207278999669708E-2</v>
      </c>
    </row>
    <row r="7484" spans="6:7" x14ac:dyDescent="0.2">
      <c r="F7484" s="591">
        <v>7475</v>
      </c>
      <c r="G7484" s="420">
        <f t="shared" ca="1" si="124"/>
        <v>-6.3209723101341486E-2</v>
      </c>
    </row>
    <row r="7485" spans="6:7" x14ac:dyDescent="0.2">
      <c r="F7485" s="591">
        <v>7476</v>
      </c>
      <c r="G7485" s="420">
        <f t="shared" ca="1" si="124"/>
        <v>9.659870529340378E-3</v>
      </c>
    </row>
    <row r="7486" spans="6:7" x14ac:dyDescent="0.2">
      <c r="F7486" s="591">
        <v>7477</v>
      </c>
      <c r="G7486" s="420">
        <f t="shared" ca="1" si="124"/>
        <v>2.5923316848826997E-2</v>
      </c>
    </row>
    <row r="7487" spans="6:7" x14ac:dyDescent="0.2">
      <c r="F7487" s="591">
        <v>7478</v>
      </c>
      <c r="G7487" s="420">
        <f t="shared" ca="1" si="124"/>
        <v>9.2248501293556689E-2</v>
      </c>
    </row>
    <row r="7488" spans="6:7" x14ac:dyDescent="0.2">
      <c r="F7488" s="591">
        <v>7479</v>
      </c>
      <c r="G7488" s="420">
        <f t="shared" ca="1" si="124"/>
        <v>2.0054635606198308E-2</v>
      </c>
    </row>
    <row r="7489" spans="6:7" x14ac:dyDescent="0.2">
      <c r="F7489" s="591">
        <v>7480</v>
      </c>
      <c r="G7489" s="420">
        <f t="shared" ca="1" si="124"/>
        <v>-5.0559998609164367E-2</v>
      </c>
    </row>
    <row r="7490" spans="6:7" x14ac:dyDescent="0.2">
      <c r="F7490" s="591">
        <v>7481</v>
      </c>
      <c r="G7490" s="420">
        <f t="shared" ca="1" si="124"/>
        <v>6.983684269881137E-3</v>
      </c>
    </row>
    <row r="7491" spans="6:7" x14ac:dyDescent="0.2">
      <c r="F7491" s="591">
        <v>7482</v>
      </c>
      <c r="G7491" s="420">
        <f t="shared" ca="1" si="124"/>
        <v>4.7378913318462779E-2</v>
      </c>
    </row>
    <row r="7492" spans="6:7" x14ac:dyDescent="0.2">
      <c r="F7492" s="591">
        <v>7483</v>
      </c>
      <c r="G7492" s="420">
        <f t="shared" ca="1" si="124"/>
        <v>-2.8452369062412931E-2</v>
      </c>
    </row>
    <row r="7493" spans="6:7" x14ac:dyDescent="0.2">
      <c r="F7493" s="591">
        <v>7484</v>
      </c>
      <c r="G7493" s="420">
        <f t="shared" ca="1" si="124"/>
        <v>5.0647940085908463E-2</v>
      </c>
    </row>
    <row r="7494" spans="6:7" x14ac:dyDescent="0.2">
      <c r="F7494" s="591">
        <v>7485</v>
      </c>
      <c r="G7494" s="420">
        <f t="shared" ca="1" si="124"/>
        <v>4.3545243089969279E-2</v>
      </c>
    </row>
    <row r="7495" spans="6:7" x14ac:dyDescent="0.2">
      <c r="F7495" s="591">
        <v>7486</v>
      </c>
      <c r="G7495" s="420">
        <f t="shared" ca="1" si="124"/>
        <v>5.6640186222630409E-2</v>
      </c>
    </row>
    <row r="7496" spans="6:7" x14ac:dyDescent="0.2">
      <c r="F7496" s="591">
        <v>7487</v>
      </c>
      <c r="G7496" s="420">
        <f t="shared" ca="1" si="124"/>
        <v>0.15013981031086154</v>
      </c>
    </row>
    <row r="7497" spans="6:7" x14ac:dyDescent="0.2">
      <c r="F7497" s="591">
        <v>7488</v>
      </c>
      <c r="G7497" s="420">
        <f t="shared" ca="1" si="124"/>
        <v>5.4417763673834593E-2</v>
      </c>
    </row>
    <row r="7498" spans="6:7" x14ac:dyDescent="0.2">
      <c r="F7498" s="591">
        <v>7489</v>
      </c>
      <c r="G7498" s="420">
        <f t="shared" ca="1" si="124"/>
        <v>-4.0073009058119821E-2</v>
      </c>
    </row>
    <row r="7499" spans="6:7" x14ac:dyDescent="0.2">
      <c r="F7499" s="591">
        <v>7490</v>
      </c>
      <c r="G7499" s="420">
        <f t="shared" ref="G7499:G7562" ca="1" si="125">_xlfn.NORM.INV(RAND(), $M$11,$M$12)</f>
        <v>8.9886423270114757E-2</v>
      </c>
    </row>
    <row r="7500" spans="6:7" x14ac:dyDescent="0.2">
      <c r="F7500" s="591">
        <v>7491</v>
      </c>
      <c r="G7500" s="420">
        <f t="shared" ca="1" si="125"/>
        <v>4.5128094738592951E-3</v>
      </c>
    </row>
    <row r="7501" spans="6:7" x14ac:dyDescent="0.2">
      <c r="F7501" s="591">
        <v>7492</v>
      </c>
      <c r="G7501" s="420">
        <f t="shared" ca="1" si="125"/>
        <v>6.0483496715879118E-2</v>
      </c>
    </row>
    <row r="7502" spans="6:7" x14ac:dyDescent="0.2">
      <c r="F7502" s="591">
        <v>7493</v>
      </c>
      <c r="G7502" s="420">
        <f t="shared" ca="1" si="125"/>
        <v>-2.4487073129546E-2</v>
      </c>
    </row>
    <row r="7503" spans="6:7" x14ac:dyDescent="0.2">
      <c r="F7503" s="591">
        <v>7494</v>
      </c>
      <c r="G7503" s="420">
        <f t="shared" ca="1" si="125"/>
        <v>-2.4524203491890977E-2</v>
      </c>
    </row>
    <row r="7504" spans="6:7" x14ac:dyDescent="0.2">
      <c r="F7504" s="591">
        <v>7495</v>
      </c>
      <c r="G7504" s="420">
        <f t="shared" ca="1" si="125"/>
        <v>7.9497596589828717E-2</v>
      </c>
    </row>
    <row r="7505" spans="6:7" x14ac:dyDescent="0.2">
      <c r="F7505" s="591">
        <v>7496</v>
      </c>
      <c r="G7505" s="420">
        <f t="shared" ca="1" si="125"/>
        <v>-3.0851781680260985E-2</v>
      </c>
    </row>
    <row r="7506" spans="6:7" x14ac:dyDescent="0.2">
      <c r="F7506" s="591">
        <v>7497</v>
      </c>
      <c r="G7506" s="420">
        <f t="shared" ca="1" si="125"/>
        <v>-0.10020115490792825</v>
      </c>
    </row>
    <row r="7507" spans="6:7" x14ac:dyDescent="0.2">
      <c r="F7507" s="591">
        <v>7498</v>
      </c>
      <c r="G7507" s="420">
        <f t="shared" ca="1" si="125"/>
        <v>4.8777519217702389E-2</v>
      </c>
    </row>
    <row r="7508" spans="6:7" x14ac:dyDescent="0.2">
      <c r="F7508" s="591">
        <v>7499</v>
      </c>
      <c r="G7508" s="420">
        <f t="shared" ca="1" si="125"/>
        <v>0.12118004605681594</v>
      </c>
    </row>
    <row r="7509" spans="6:7" x14ac:dyDescent="0.2">
      <c r="F7509" s="591">
        <v>7500</v>
      </c>
      <c r="G7509" s="420">
        <f t="shared" ca="1" si="125"/>
        <v>5.0355047272680684E-2</v>
      </c>
    </row>
    <row r="7510" spans="6:7" x14ac:dyDescent="0.2">
      <c r="F7510" s="591">
        <v>7501</v>
      </c>
      <c r="G7510" s="420">
        <f t="shared" ca="1" si="125"/>
        <v>1.3182087608929114E-2</v>
      </c>
    </row>
    <row r="7511" spans="6:7" x14ac:dyDescent="0.2">
      <c r="F7511" s="591">
        <v>7502</v>
      </c>
      <c r="G7511" s="420">
        <f t="shared" ca="1" si="125"/>
        <v>-5.5418699756982201E-2</v>
      </c>
    </row>
    <row r="7512" spans="6:7" x14ac:dyDescent="0.2">
      <c r="F7512" s="591">
        <v>7503</v>
      </c>
      <c r="G7512" s="420">
        <f t="shared" ca="1" si="125"/>
        <v>5.8244344512164044E-3</v>
      </c>
    </row>
    <row r="7513" spans="6:7" x14ac:dyDescent="0.2">
      <c r="F7513" s="591">
        <v>7504</v>
      </c>
      <c r="G7513" s="420">
        <f t="shared" ca="1" si="125"/>
        <v>-7.0918845719169302E-3</v>
      </c>
    </row>
    <row r="7514" spans="6:7" x14ac:dyDescent="0.2">
      <c r="F7514" s="591">
        <v>7505</v>
      </c>
      <c r="G7514" s="420">
        <f t="shared" ca="1" si="125"/>
        <v>9.3526117684702398E-2</v>
      </c>
    </row>
    <row r="7515" spans="6:7" x14ac:dyDescent="0.2">
      <c r="F7515" s="591">
        <v>7506</v>
      </c>
      <c r="G7515" s="420">
        <f t="shared" ca="1" si="125"/>
        <v>-4.7455289649089676E-4</v>
      </c>
    </row>
    <row r="7516" spans="6:7" x14ac:dyDescent="0.2">
      <c r="F7516" s="591">
        <v>7507</v>
      </c>
      <c r="G7516" s="420">
        <f t="shared" ca="1" si="125"/>
        <v>3.230416971863577E-2</v>
      </c>
    </row>
    <row r="7517" spans="6:7" x14ac:dyDescent="0.2">
      <c r="F7517" s="591">
        <v>7508</v>
      </c>
      <c r="G7517" s="420">
        <f t="shared" ca="1" si="125"/>
        <v>5.5408947694344887E-2</v>
      </c>
    </row>
    <row r="7518" spans="6:7" x14ac:dyDescent="0.2">
      <c r="F7518" s="591">
        <v>7509</v>
      </c>
      <c r="G7518" s="420">
        <f t="shared" ca="1" si="125"/>
        <v>-3.9831469760201743E-3</v>
      </c>
    </row>
    <row r="7519" spans="6:7" x14ac:dyDescent="0.2">
      <c r="F7519" s="591">
        <v>7510</v>
      </c>
      <c r="G7519" s="420">
        <f t="shared" ca="1" si="125"/>
        <v>4.4272780290729827E-2</v>
      </c>
    </row>
    <row r="7520" spans="6:7" x14ac:dyDescent="0.2">
      <c r="F7520" s="591">
        <v>7511</v>
      </c>
      <c r="G7520" s="420">
        <f t="shared" ca="1" si="125"/>
        <v>-0.11252908945666677</v>
      </c>
    </row>
    <row r="7521" spans="6:7" x14ac:dyDescent="0.2">
      <c r="F7521" s="591">
        <v>7512</v>
      </c>
      <c r="G7521" s="420">
        <f t="shared" ca="1" si="125"/>
        <v>-6.4526722058573502E-2</v>
      </c>
    </row>
    <row r="7522" spans="6:7" x14ac:dyDescent="0.2">
      <c r="F7522" s="591">
        <v>7513</v>
      </c>
      <c r="G7522" s="420">
        <f t="shared" ca="1" si="125"/>
        <v>-2.4029884538967938E-2</v>
      </c>
    </row>
    <row r="7523" spans="6:7" x14ac:dyDescent="0.2">
      <c r="F7523" s="591">
        <v>7514</v>
      </c>
      <c r="G7523" s="420">
        <f t="shared" ca="1" si="125"/>
        <v>-4.7938812912858043E-3</v>
      </c>
    </row>
    <row r="7524" spans="6:7" x14ac:dyDescent="0.2">
      <c r="F7524" s="591">
        <v>7515</v>
      </c>
      <c r="G7524" s="420">
        <f t="shared" ca="1" si="125"/>
        <v>-0.10504611710107363</v>
      </c>
    </row>
    <row r="7525" spans="6:7" x14ac:dyDescent="0.2">
      <c r="F7525" s="591">
        <v>7516</v>
      </c>
      <c r="G7525" s="420">
        <f t="shared" ca="1" si="125"/>
        <v>1.8505411543563097E-2</v>
      </c>
    </row>
    <row r="7526" spans="6:7" x14ac:dyDescent="0.2">
      <c r="F7526" s="591">
        <v>7517</v>
      </c>
      <c r="G7526" s="420">
        <f t="shared" ca="1" si="125"/>
        <v>-0.10927069735353895</v>
      </c>
    </row>
    <row r="7527" spans="6:7" x14ac:dyDescent="0.2">
      <c r="F7527" s="591">
        <v>7518</v>
      </c>
      <c r="G7527" s="420">
        <f t="shared" ca="1" si="125"/>
        <v>6.9251292316465124E-2</v>
      </c>
    </row>
    <row r="7528" spans="6:7" x14ac:dyDescent="0.2">
      <c r="F7528" s="591">
        <v>7519</v>
      </c>
      <c r="G7528" s="420">
        <f t="shared" ca="1" si="125"/>
        <v>-3.9961242850576242E-2</v>
      </c>
    </row>
    <row r="7529" spans="6:7" x14ac:dyDescent="0.2">
      <c r="F7529" s="591">
        <v>7520</v>
      </c>
      <c r="G7529" s="420">
        <f t="shared" ca="1" si="125"/>
        <v>7.0146930966906197E-3</v>
      </c>
    </row>
    <row r="7530" spans="6:7" x14ac:dyDescent="0.2">
      <c r="F7530" s="591">
        <v>7521</v>
      </c>
      <c r="G7530" s="420">
        <f t="shared" ca="1" si="125"/>
        <v>9.7875032010146454E-2</v>
      </c>
    </row>
    <row r="7531" spans="6:7" x14ac:dyDescent="0.2">
      <c r="F7531" s="591">
        <v>7522</v>
      </c>
      <c r="G7531" s="420">
        <f t="shared" ca="1" si="125"/>
        <v>-0.11302363987404301</v>
      </c>
    </row>
    <row r="7532" spans="6:7" x14ac:dyDescent="0.2">
      <c r="F7532" s="591">
        <v>7523</v>
      </c>
      <c r="G7532" s="420">
        <f t="shared" ca="1" si="125"/>
        <v>2.2660283767018223E-2</v>
      </c>
    </row>
    <row r="7533" spans="6:7" x14ac:dyDescent="0.2">
      <c r="F7533" s="591">
        <v>7524</v>
      </c>
      <c r="G7533" s="420">
        <f t="shared" ca="1" si="125"/>
        <v>1.0304313117032948E-2</v>
      </c>
    </row>
    <row r="7534" spans="6:7" x14ac:dyDescent="0.2">
      <c r="F7534" s="591">
        <v>7525</v>
      </c>
      <c r="G7534" s="420">
        <f t="shared" ca="1" si="125"/>
        <v>6.7660794950667652E-2</v>
      </c>
    </row>
    <row r="7535" spans="6:7" x14ac:dyDescent="0.2">
      <c r="F7535" s="591">
        <v>7526</v>
      </c>
      <c r="G7535" s="420">
        <f t="shared" ca="1" si="125"/>
        <v>-2.1498696503686302E-2</v>
      </c>
    </row>
    <row r="7536" spans="6:7" x14ac:dyDescent="0.2">
      <c r="F7536" s="591">
        <v>7527</v>
      </c>
      <c r="G7536" s="420">
        <f t="shared" ca="1" si="125"/>
        <v>8.7337334605598893E-2</v>
      </c>
    </row>
    <row r="7537" spans="6:7" x14ac:dyDescent="0.2">
      <c r="F7537" s="591">
        <v>7528</v>
      </c>
      <c r="G7537" s="420">
        <f t="shared" ca="1" si="125"/>
        <v>-2.6114637390590226E-2</v>
      </c>
    </row>
    <row r="7538" spans="6:7" x14ac:dyDescent="0.2">
      <c r="F7538" s="591">
        <v>7529</v>
      </c>
      <c r="G7538" s="420">
        <f t="shared" ca="1" si="125"/>
        <v>-3.0842175844802967E-2</v>
      </c>
    </row>
    <row r="7539" spans="6:7" x14ac:dyDescent="0.2">
      <c r="F7539" s="591">
        <v>7530</v>
      </c>
      <c r="G7539" s="420">
        <f t="shared" ca="1" si="125"/>
        <v>2.1389953768206786E-2</v>
      </c>
    </row>
    <row r="7540" spans="6:7" x14ac:dyDescent="0.2">
      <c r="F7540" s="591">
        <v>7531</v>
      </c>
      <c r="G7540" s="420">
        <f t="shared" ca="1" si="125"/>
        <v>8.5148504430208993E-2</v>
      </c>
    </row>
    <row r="7541" spans="6:7" x14ac:dyDescent="0.2">
      <c r="F7541" s="591">
        <v>7532</v>
      </c>
      <c r="G7541" s="420">
        <f t="shared" ca="1" si="125"/>
        <v>9.5871981371023693E-3</v>
      </c>
    </row>
    <row r="7542" spans="6:7" x14ac:dyDescent="0.2">
      <c r="F7542" s="591">
        <v>7533</v>
      </c>
      <c r="G7542" s="420">
        <f t="shared" ca="1" si="125"/>
        <v>4.8481502054270528E-2</v>
      </c>
    </row>
    <row r="7543" spans="6:7" x14ac:dyDescent="0.2">
      <c r="F7543" s="591">
        <v>7534</v>
      </c>
      <c r="G7543" s="420">
        <f t="shared" ca="1" si="125"/>
        <v>-1.7027155830446915E-2</v>
      </c>
    </row>
    <row r="7544" spans="6:7" x14ac:dyDescent="0.2">
      <c r="F7544" s="591">
        <v>7535</v>
      </c>
      <c r="G7544" s="420">
        <f t="shared" ca="1" si="125"/>
        <v>-3.6753301664025656E-2</v>
      </c>
    </row>
    <row r="7545" spans="6:7" x14ac:dyDescent="0.2">
      <c r="F7545" s="591">
        <v>7536</v>
      </c>
      <c r="G7545" s="420">
        <f t="shared" ca="1" si="125"/>
        <v>-2.1132224315471234E-2</v>
      </c>
    </row>
    <row r="7546" spans="6:7" x14ac:dyDescent="0.2">
      <c r="F7546" s="591">
        <v>7537</v>
      </c>
      <c r="G7546" s="420">
        <f t="shared" ca="1" si="125"/>
        <v>8.1584646398665528E-2</v>
      </c>
    </row>
    <row r="7547" spans="6:7" x14ac:dyDescent="0.2">
      <c r="F7547" s="591">
        <v>7538</v>
      </c>
      <c r="G7547" s="420">
        <f t="shared" ca="1" si="125"/>
        <v>-1.3932159025325744E-2</v>
      </c>
    </row>
    <row r="7548" spans="6:7" x14ac:dyDescent="0.2">
      <c r="F7548" s="591">
        <v>7539</v>
      </c>
      <c r="G7548" s="420">
        <f t="shared" ca="1" si="125"/>
        <v>6.839416289061798E-3</v>
      </c>
    </row>
    <row r="7549" spans="6:7" x14ac:dyDescent="0.2">
      <c r="F7549" s="591">
        <v>7540</v>
      </c>
      <c r="G7549" s="420">
        <f t="shared" ca="1" si="125"/>
        <v>-2.2296035982556191E-2</v>
      </c>
    </row>
    <row r="7550" spans="6:7" x14ac:dyDescent="0.2">
      <c r="F7550" s="591">
        <v>7541</v>
      </c>
      <c r="G7550" s="420">
        <f t="shared" ca="1" si="125"/>
        <v>-3.010536842613289E-2</v>
      </c>
    </row>
    <row r="7551" spans="6:7" x14ac:dyDescent="0.2">
      <c r="F7551" s="591">
        <v>7542</v>
      </c>
      <c r="G7551" s="420">
        <f t="shared" ca="1" si="125"/>
        <v>2.7360159464583401E-2</v>
      </c>
    </row>
    <row r="7552" spans="6:7" x14ac:dyDescent="0.2">
      <c r="F7552" s="591">
        <v>7543</v>
      </c>
      <c r="G7552" s="420">
        <f t="shared" ca="1" si="125"/>
        <v>-9.2385142556459035E-3</v>
      </c>
    </row>
    <row r="7553" spans="6:7" x14ac:dyDescent="0.2">
      <c r="F7553" s="591">
        <v>7544</v>
      </c>
      <c r="G7553" s="420">
        <f t="shared" ca="1" si="125"/>
        <v>-2.3845246954026216E-2</v>
      </c>
    </row>
    <row r="7554" spans="6:7" x14ac:dyDescent="0.2">
      <c r="F7554" s="591">
        <v>7545</v>
      </c>
      <c r="G7554" s="420">
        <f t="shared" ca="1" si="125"/>
        <v>9.6925179342069803E-4</v>
      </c>
    </row>
    <row r="7555" spans="6:7" x14ac:dyDescent="0.2">
      <c r="F7555" s="591">
        <v>7546</v>
      </c>
      <c r="G7555" s="420">
        <f t="shared" ca="1" si="125"/>
        <v>-2.568198499903512E-2</v>
      </c>
    </row>
    <row r="7556" spans="6:7" x14ac:dyDescent="0.2">
      <c r="F7556" s="591">
        <v>7547</v>
      </c>
      <c r="G7556" s="420">
        <f t="shared" ca="1" si="125"/>
        <v>-1.1414563685987325E-2</v>
      </c>
    </row>
    <row r="7557" spans="6:7" x14ac:dyDescent="0.2">
      <c r="F7557" s="591">
        <v>7548</v>
      </c>
      <c r="G7557" s="420">
        <f t="shared" ca="1" si="125"/>
        <v>-2.0963473875363913E-2</v>
      </c>
    </row>
    <row r="7558" spans="6:7" x14ac:dyDescent="0.2">
      <c r="F7558" s="591">
        <v>7549</v>
      </c>
      <c r="G7558" s="420">
        <f t="shared" ca="1" si="125"/>
        <v>-5.3693221448335854E-2</v>
      </c>
    </row>
    <row r="7559" spans="6:7" x14ac:dyDescent="0.2">
      <c r="F7559" s="591">
        <v>7550</v>
      </c>
      <c r="G7559" s="420">
        <f t="shared" ca="1" si="125"/>
        <v>3.6551292788904857E-2</v>
      </c>
    </row>
    <row r="7560" spans="6:7" x14ac:dyDescent="0.2">
      <c r="F7560" s="591">
        <v>7551</v>
      </c>
      <c r="G7560" s="420">
        <f t="shared" ca="1" si="125"/>
        <v>-3.1957301971998212E-2</v>
      </c>
    </row>
    <row r="7561" spans="6:7" x14ac:dyDescent="0.2">
      <c r="F7561" s="591">
        <v>7552</v>
      </c>
      <c r="G7561" s="420">
        <f t="shared" ca="1" si="125"/>
        <v>-7.6679179329306096E-2</v>
      </c>
    </row>
    <row r="7562" spans="6:7" x14ac:dyDescent="0.2">
      <c r="F7562" s="591">
        <v>7553</v>
      </c>
      <c r="G7562" s="420">
        <f t="shared" ca="1" si="125"/>
        <v>0.10873897170532203</v>
      </c>
    </row>
    <row r="7563" spans="6:7" x14ac:dyDescent="0.2">
      <c r="F7563" s="591">
        <v>7554</v>
      </c>
      <c r="G7563" s="420">
        <f t="shared" ref="G7563:G7626" ca="1" si="126">_xlfn.NORM.INV(RAND(), $M$11,$M$12)</f>
        <v>0.12095004759409927</v>
      </c>
    </row>
    <row r="7564" spans="6:7" x14ac:dyDescent="0.2">
      <c r="F7564" s="591">
        <v>7555</v>
      </c>
      <c r="G7564" s="420">
        <f t="shared" ca="1" si="126"/>
        <v>-0.1254868302964825</v>
      </c>
    </row>
    <row r="7565" spans="6:7" x14ac:dyDescent="0.2">
      <c r="F7565" s="591">
        <v>7556</v>
      </c>
      <c r="G7565" s="420">
        <f t="shared" ca="1" si="126"/>
        <v>-1.0943660301553686E-2</v>
      </c>
    </row>
    <row r="7566" spans="6:7" x14ac:dyDescent="0.2">
      <c r="F7566" s="591">
        <v>7557</v>
      </c>
      <c r="G7566" s="420">
        <f t="shared" ca="1" si="126"/>
        <v>4.1409871234250578E-2</v>
      </c>
    </row>
    <row r="7567" spans="6:7" x14ac:dyDescent="0.2">
      <c r="F7567" s="591">
        <v>7558</v>
      </c>
      <c r="G7567" s="420">
        <f t="shared" ca="1" si="126"/>
        <v>0.10140634119800797</v>
      </c>
    </row>
    <row r="7568" spans="6:7" x14ac:dyDescent="0.2">
      <c r="F7568" s="591">
        <v>7559</v>
      </c>
      <c r="G7568" s="420">
        <f t="shared" ca="1" si="126"/>
        <v>3.7105260512632583E-2</v>
      </c>
    </row>
    <row r="7569" spans="6:7" x14ac:dyDescent="0.2">
      <c r="F7569" s="591">
        <v>7560</v>
      </c>
      <c r="G7569" s="420">
        <f t="shared" ca="1" si="126"/>
        <v>-1.9182868455191321E-3</v>
      </c>
    </row>
    <row r="7570" spans="6:7" x14ac:dyDescent="0.2">
      <c r="F7570" s="591">
        <v>7561</v>
      </c>
      <c r="G7570" s="420">
        <f t="shared" ca="1" si="126"/>
        <v>-4.4407528910942268E-2</v>
      </c>
    </row>
    <row r="7571" spans="6:7" x14ac:dyDescent="0.2">
      <c r="F7571" s="591">
        <v>7562</v>
      </c>
      <c r="G7571" s="420">
        <f t="shared" ca="1" si="126"/>
        <v>-0.10320622116664772</v>
      </c>
    </row>
    <row r="7572" spans="6:7" x14ac:dyDescent="0.2">
      <c r="F7572" s="591">
        <v>7563</v>
      </c>
      <c r="G7572" s="420">
        <f t="shared" ca="1" si="126"/>
        <v>1.0107216291055101E-2</v>
      </c>
    </row>
    <row r="7573" spans="6:7" x14ac:dyDescent="0.2">
      <c r="F7573" s="591">
        <v>7564</v>
      </c>
      <c r="G7573" s="420">
        <f t="shared" ca="1" si="126"/>
        <v>2.1552195433204836E-2</v>
      </c>
    </row>
    <row r="7574" spans="6:7" x14ac:dyDescent="0.2">
      <c r="F7574" s="591">
        <v>7565</v>
      </c>
      <c r="G7574" s="420">
        <f t="shared" ca="1" si="126"/>
        <v>1.5445808134827922E-2</v>
      </c>
    </row>
    <row r="7575" spans="6:7" x14ac:dyDescent="0.2">
      <c r="F7575" s="591">
        <v>7566</v>
      </c>
      <c r="G7575" s="420">
        <f t="shared" ca="1" si="126"/>
        <v>1.5540914503450395E-3</v>
      </c>
    </row>
    <row r="7576" spans="6:7" x14ac:dyDescent="0.2">
      <c r="F7576" s="591">
        <v>7567</v>
      </c>
      <c r="G7576" s="420">
        <f t="shared" ca="1" si="126"/>
        <v>-8.3612443990221053E-2</v>
      </c>
    </row>
    <row r="7577" spans="6:7" x14ac:dyDescent="0.2">
      <c r="F7577" s="591">
        <v>7568</v>
      </c>
      <c r="G7577" s="420">
        <f t="shared" ca="1" si="126"/>
        <v>-2.0770946912143356E-2</v>
      </c>
    </row>
    <row r="7578" spans="6:7" x14ac:dyDescent="0.2">
      <c r="F7578" s="591">
        <v>7569</v>
      </c>
      <c r="G7578" s="420">
        <f t="shared" ca="1" si="126"/>
        <v>3.2584662554382193E-2</v>
      </c>
    </row>
    <row r="7579" spans="6:7" x14ac:dyDescent="0.2">
      <c r="F7579" s="591">
        <v>7570</v>
      </c>
      <c r="G7579" s="420">
        <f t="shared" ca="1" si="126"/>
        <v>-2.1889872732910539E-2</v>
      </c>
    </row>
    <row r="7580" spans="6:7" x14ac:dyDescent="0.2">
      <c r="F7580" s="591">
        <v>7571</v>
      </c>
      <c r="G7580" s="420">
        <f t="shared" ca="1" si="126"/>
        <v>7.3864231583586681E-2</v>
      </c>
    </row>
    <row r="7581" spans="6:7" x14ac:dyDescent="0.2">
      <c r="F7581" s="591">
        <v>7572</v>
      </c>
      <c r="G7581" s="420">
        <f t="shared" ca="1" si="126"/>
        <v>7.1288611949240022E-2</v>
      </c>
    </row>
    <row r="7582" spans="6:7" x14ac:dyDescent="0.2">
      <c r="F7582" s="591">
        <v>7573</v>
      </c>
      <c r="G7582" s="420">
        <f t="shared" ca="1" si="126"/>
        <v>-5.1554972891809436E-2</v>
      </c>
    </row>
    <row r="7583" spans="6:7" x14ac:dyDescent="0.2">
      <c r="F7583" s="591">
        <v>7574</v>
      </c>
      <c r="G7583" s="420">
        <f t="shared" ca="1" si="126"/>
        <v>3.829428489577838E-2</v>
      </c>
    </row>
    <row r="7584" spans="6:7" x14ac:dyDescent="0.2">
      <c r="F7584" s="591">
        <v>7575</v>
      </c>
      <c r="G7584" s="420">
        <f t="shared" ca="1" si="126"/>
        <v>-2.4300679857023336E-2</v>
      </c>
    </row>
    <row r="7585" spans="6:7" x14ac:dyDescent="0.2">
      <c r="F7585" s="591">
        <v>7576</v>
      </c>
      <c r="G7585" s="420">
        <f t="shared" ca="1" si="126"/>
        <v>4.9153230954951679E-2</v>
      </c>
    </row>
    <row r="7586" spans="6:7" x14ac:dyDescent="0.2">
      <c r="F7586" s="591">
        <v>7577</v>
      </c>
      <c r="G7586" s="420">
        <f t="shared" ca="1" si="126"/>
        <v>3.3246238601491146E-2</v>
      </c>
    </row>
    <row r="7587" spans="6:7" x14ac:dyDescent="0.2">
      <c r="F7587" s="591">
        <v>7578</v>
      </c>
      <c r="G7587" s="420">
        <f t="shared" ca="1" si="126"/>
        <v>1.825261395942028E-2</v>
      </c>
    </row>
    <row r="7588" spans="6:7" x14ac:dyDescent="0.2">
      <c r="F7588" s="591">
        <v>7579</v>
      </c>
      <c r="G7588" s="420">
        <f t="shared" ca="1" si="126"/>
        <v>-3.1806090885531699E-2</v>
      </c>
    </row>
    <row r="7589" spans="6:7" x14ac:dyDescent="0.2">
      <c r="F7589" s="591">
        <v>7580</v>
      </c>
      <c r="G7589" s="420">
        <f t="shared" ca="1" si="126"/>
        <v>1.9479480662725021E-2</v>
      </c>
    </row>
    <row r="7590" spans="6:7" x14ac:dyDescent="0.2">
      <c r="F7590" s="591">
        <v>7581</v>
      </c>
      <c r="G7590" s="420">
        <f t="shared" ca="1" si="126"/>
        <v>2.8072871617381281E-2</v>
      </c>
    </row>
    <row r="7591" spans="6:7" x14ac:dyDescent="0.2">
      <c r="F7591" s="591">
        <v>7582</v>
      </c>
      <c r="G7591" s="420">
        <f t="shared" ca="1" si="126"/>
        <v>-4.8219054474514064E-2</v>
      </c>
    </row>
    <row r="7592" spans="6:7" x14ac:dyDescent="0.2">
      <c r="F7592" s="591">
        <v>7583</v>
      </c>
      <c r="G7592" s="420">
        <f t="shared" ca="1" si="126"/>
        <v>-3.597924886404999E-2</v>
      </c>
    </row>
    <row r="7593" spans="6:7" x14ac:dyDescent="0.2">
      <c r="F7593" s="591">
        <v>7584</v>
      </c>
      <c r="G7593" s="420">
        <f t="shared" ca="1" si="126"/>
        <v>4.6170615867530421E-2</v>
      </c>
    </row>
    <row r="7594" spans="6:7" x14ac:dyDescent="0.2">
      <c r="F7594" s="591">
        <v>7585</v>
      </c>
      <c r="G7594" s="420">
        <f t="shared" ca="1" si="126"/>
        <v>-2.4531388316691407E-2</v>
      </c>
    </row>
    <row r="7595" spans="6:7" x14ac:dyDescent="0.2">
      <c r="F7595" s="591">
        <v>7586</v>
      </c>
      <c r="G7595" s="420">
        <f t="shared" ca="1" si="126"/>
        <v>-3.3798436183324038E-2</v>
      </c>
    </row>
    <row r="7596" spans="6:7" x14ac:dyDescent="0.2">
      <c r="F7596" s="591">
        <v>7587</v>
      </c>
      <c r="G7596" s="420">
        <f t="shared" ca="1" si="126"/>
        <v>0.15728023549944495</v>
      </c>
    </row>
    <row r="7597" spans="6:7" x14ac:dyDescent="0.2">
      <c r="F7597" s="591">
        <v>7588</v>
      </c>
      <c r="G7597" s="420">
        <f t="shared" ca="1" si="126"/>
        <v>-9.0157739868092751E-2</v>
      </c>
    </row>
    <row r="7598" spans="6:7" x14ac:dyDescent="0.2">
      <c r="F7598" s="591">
        <v>7589</v>
      </c>
      <c r="G7598" s="420">
        <f t="shared" ca="1" si="126"/>
        <v>0.17141813904455658</v>
      </c>
    </row>
    <row r="7599" spans="6:7" x14ac:dyDescent="0.2">
      <c r="F7599" s="591">
        <v>7590</v>
      </c>
      <c r="G7599" s="420">
        <f t="shared" ca="1" si="126"/>
        <v>0.11549226786537141</v>
      </c>
    </row>
    <row r="7600" spans="6:7" x14ac:dyDescent="0.2">
      <c r="F7600" s="591">
        <v>7591</v>
      </c>
      <c r="G7600" s="420">
        <f t="shared" ca="1" si="126"/>
        <v>2.4483593874977533E-2</v>
      </c>
    </row>
    <row r="7601" spans="6:7" x14ac:dyDescent="0.2">
      <c r="F7601" s="591">
        <v>7592</v>
      </c>
      <c r="G7601" s="420">
        <f t="shared" ca="1" si="126"/>
        <v>-0.13306607766406234</v>
      </c>
    </row>
    <row r="7602" spans="6:7" x14ac:dyDescent="0.2">
      <c r="F7602" s="591">
        <v>7593</v>
      </c>
      <c r="G7602" s="420">
        <f t="shared" ca="1" si="126"/>
        <v>-0.12084939198560014</v>
      </c>
    </row>
    <row r="7603" spans="6:7" x14ac:dyDescent="0.2">
      <c r="F7603" s="591">
        <v>7594</v>
      </c>
      <c r="G7603" s="420">
        <f t="shared" ca="1" si="126"/>
        <v>1.5763101628577973E-2</v>
      </c>
    </row>
    <row r="7604" spans="6:7" x14ac:dyDescent="0.2">
      <c r="F7604" s="591">
        <v>7595</v>
      </c>
      <c r="G7604" s="420">
        <f t="shared" ca="1" si="126"/>
        <v>3.3017191608329839E-2</v>
      </c>
    </row>
    <row r="7605" spans="6:7" x14ac:dyDescent="0.2">
      <c r="F7605" s="591">
        <v>7596</v>
      </c>
      <c r="G7605" s="420">
        <f t="shared" ca="1" si="126"/>
        <v>-3.7671383194989097E-3</v>
      </c>
    </row>
    <row r="7606" spans="6:7" x14ac:dyDescent="0.2">
      <c r="F7606" s="591">
        <v>7597</v>
      </c>
      <c r="G7606" s="420">
        <f t="shared" ca="1" si="126"/>
        <v>0.10835339799345495</v>
      </c>
    </row>
    <row r="7607" spans="6:7" x14ac:dyDescent="0.2">
      <c r="F7607" s="591">
        <v>7598</v>
      </c>
      <c r="G7607" s="420">
        <f t="shared" ca="1" si="126"/>
        <v>3.7655362136041599E-2</v>
      </c>
    </row>
    <row r="7608" spans="6:7" x14ac:dyDescent="0.2">
      <c r="F7608" s="591">
        <v>7599</v>
      </c>
      <c r="G7608" s="420">
        <f t="shared" ca="1" si="126"/>
        <v>4.5882998658307486E-2</v>
      </c>
    </row>
    <row r="7609" spans="6:7" x14ac:dyDescent="0.2">
      <c r="F7609" s="591">
        <v>7600</v>
      </c>
      <c r="G7609" s="420">
        <f t="shared" ca="1" si="126"/>
        <v>9.0902590228791463E-2</v>
      </c>
    </row>
    <row r="7610" spans="6:7" x14ac:dyDescent="0.2">
      <c r="F7610" s="591">
        <v>7601</v>
      </c>
      <c r="G7610" s="420">
        <f t="shared" ca="1" si="126"/>
        <v>-4.8549449017876695E-2</v>
      </c>
    </row>
    <row r="7611" spans="6:7" x14ac:dyDescent="0.2">
      <c r="F7611" s="591">
        <v>7602</v>
      </c>
      <c r="G7611" s="420">
        <f t="shared" ca="1" si="126"/>
        <v>-1.1331740977102531E-2</v>
      </c>
    </row>
    <row r="7612" spans="6:7" x14ac:dyDescent="0.2">
      <c r="F7612" s="591">
        <v>7603</v>
      </c>
      <c r="G7612" s="420">
        <f t="shared" ca="1" si="126"/>
        <v>0.13541091856895304</v>
      </c>
    </row>
    <row r="7613" spans="6:7" x14ac:dyDescent="0.2">
      <c r="F7613" s="591">
        <v>7604</v>
      </c>
      <c r="G7613" s="420">
        <f t="shared" ca="1" si="126"/>
        <v>-0.14117639007882873</v>
      </c>
    </row>
    <row r="7614" spans="6:7" x14ac:dyDescent="0.2">
      <c r="F7614" s="591">
        <v>7605</v>
      </c>
      <c r="G7614" s="420">
        <f t="shared" ca="1" si="126"/>
        <v>-6.4736154144341154E-2</v>
      </c>
    </row>
    <row r="7615" spans="6:7" x14ac:dyDescent="0.2">
      <c r="F7615" s="591">
        <v>7606</v>
      </c>
      <c r="G7615" s="420">
        <f t="shared" ca="1" si="126"/>
        <v>3.743000527694368E-3</v>
      </c>
    </row>
    <row r="7616" spans="6:7" x14ac:dyDescent="0.2">
      <c r="F7616" s="591">
        <v>7607</v>
      </c>
      <c r="G7616" s="420">
        <f t="shared" ca="1" si="126"/>
        <v>-3.1528254162315028E-2</v>
      </c>
    </row>
    <row r="7617" spans="6:7" x14ac:dyDescent="0.2">
      <c r="F7617" s="591">
        <v>7608</v>
      </c>
      <c r="G7617" s="420">
        <f t="shared" ca="1" si="126"/>
        <v>1.6902675963418549E-2</v>
      </c>
    </row>
    <row r="7618" spans="6:7" x14ac:dyDescent="0.2">
      <c r="F7618" s="591">
        <v>7609</v>
      </c>
      <c r="G7618" s="420">
        <f t="shared" ca="1" si="126"/>
        <v>-6.9026813907360776E-2</v>
      </c>
    </row>
    <row r="7619" spans="6:7" x14ac:dyDescent="0.2">
      <c r="F7619" s="591">
        <v>7610</v>
      </c>
      <c r="G7619" s="420">
        <f t="shared" ca="1" si="126"/>
        <v>6.3188028177396272E-2</v>
      </c>
    </row>
    <row r="7620" spans="6:7" x14ac:dyDescent="0.2">
      <c r="F7620" s="591">
        <v>7611</v>
      </c>
      <c r="G7620" s="420">
        <f t="shared" ca="1" si="126"/>
        <v>6.1652008336528494E-2</v>
      </c>
    </row>
    <row r="7621" spans="6:7" x14ac:dyDescent="0.2">
      <c r="F7621" s="591">
        <v>7612</v>
      </c>
      <c r="G7621" s="420">
        <f t="shared" ca="1" si="126"/>
        <v>-0.10158340870249145</v>
      </c>
    </row>
    <row r="7622" spans="6:7" x14ac:dyDescent="0.2">
      <c r="F7622" s="591">
        <v>7613</v>
      </c>
      <c r="G7622" s="420">
        <f t="shared" ca="1" si="126"/>
        <v>3.0937495623695761E-2</v>
      </c>
    </row>
    <row r="7623" spans="6:7" x14ac:dyDescent="0.2">
      <c r="F7623" s="591">
        <v>7614</v>
      </c>
      <c r="G7623" s="420">
        <f t="shared" ca="1" si="126"/>
        <v>-0.11738804309102437</v>
      </c>
    </row>
    <row r="7624" spans="6:7" x14ac:dyDescent="0.2">
      <c r="F7624" s="591">
        <v>7615</v>
      </c>
      <c r="G7624" s="420">
        <f t="shared" ca="1" si="126"/>
        <v>0.10917379607883111</v>
      </c>
    </row>
    <row r="7625" spans="6:7" x14ac:dyDescent="0.2">
      <c r="F7625" s="591">
        <v>7616</v>
      </c>
      <c r="G7625" s="420">
        <f t="shared" ca="1" si="126"/>
        <v>1.034541268193306E-2</v>
      </c>
    </row>
    <row r="7626" spans="6:7" x14ac:dyDescent="0.2">
      <c r="F7626" s="591">
        <v>7617</v>
      </c>
      <c r="G7626" s="420">
        <f t="shared" ca="1" si="126"/>
        <v>-8.3077254661293204E-2</v>
      </c>
    </row>
    <row r="7627" spans="6:7" x14ac:dyDescent="0.2">
      <c r="F7627" s="591">
        <v>7618</v>
      </c>
      <c r="G7627" s="420">
        <f t="shared" ref="G7627:G7690" ca="1" si="127">_xlfn.NORM.INV(RAND(), $M$11,$M$12)</f>
        <v>2.9221881587144029E-2</v>
      </c>
    </row>
    <row r="7628" spans="6:7" x14ac:dyDescent="0.2">
      <c r="F7628" s="591">
        <v>7619</v>
      </c>
      <c r="G7628" s="420">
        <f t="shared" ca="1" si="127"/>
        <v>-4.9939545411781694E-2</v>
      </c>
    </row>
    <row r="7629" spans="6:7" x14ac:dyDescent="0.2">
      <c r="F7629" s="591">
        <v>7620</v>
      </c>
      <c r="G7629" s="420">
        <f t="shared" ca="1" si="127"/>
        <v>-2.2383091773229235E-2</v>
      </c>
    </row>
    <row r="7630" spans="6:7" x14ac:dyDescent="0.2">
      <c r="F7630" s="591">
        <v>7621</v>
      </c>
      <c r="G7630" s="420">
        <f t="shared" ca="1" si="127"/>
        <v>3.4542417509011859E-2</v>
      </c>
    </row>
    <row r="7631" spans="6:7" x14ac:dyDescent="0.2">
      <c r="F7631" s="591">
        <v>7622</v>
      </c>
      <c r="G7631" s="420">
        <f t="shared" ca="1" si="127"/>
        <v>9.6199578573254396E-2</v>
      </c>
    </row>
    <row r="7632" spans="6:7" x14ac:dyDescent="0.2">
      <c r="F7632" s="591">
        <v>7623</v>
      </c>
      <c r="G7632" s="420">
        <f t="shared" ca="1" si="127"/>
        <v>0.11795173406346379</v>
      </c>
    </row>
    <row r="7633" spans="6:7" x14ac:dyDescent="0.2">
      <c r="F7633" s="591">
        <v>7624</v>
      </c>
      <c r="G7633" s="420">
        <f t="shared" ca="1" si="127"/>
        <v>-4.4682192388727879E-2</v>
      </c>
    </row>
    <row r="7634" spans="6:7" x14ac:dyDescent="0.2">
      <c r="F7634" s="591">
        <v>7625</v>
      </c>
      <c r="G7634" s="420">
        <f t="shared" ca="1" si="127"/>
        <v>-6.8044173642227035E-2</v>
      </c>
    </row>
    <row r="7635" spans="6:7" x14ac:dyDescent="0.2">
      <c r="F7635" s="591">
        <v>7626</v>
      </c>
      <c r="G7635" s="420">
        <f t="shared" ca="1" si="127"/>
        <v>-0.16445301207494009</v>
      </c>
    </row>
    <row r="7636" spans="6:7" x14ac:dyDescent="0.2">
      <c r="F7636" s="591">
        <v>7627</v>
      </c>
      <c r="G7636" s="420">
        <f t="shared" ca="1" si="127"/>
        <v>9.6421876839759751E-2</v>
      </c>
    </row>
    <row r="7637" spans="6:7" x14ac:dyDescent="0.2">
      <c r="F7637" s="591">
        <v>7628</v>
      </c>
      <c r="G7637" s="420">
        <f t="shared" ca="1" si="127"/>
        <v>-1.9144506089222045E-2</v>
      </c>
    </row>
    <row r="7638" spans="6:7" x14ac:dyDescent="0.2">
      <c r="F7638" s="591">
        <v>7629</v>
      </c>
      <c r="G7638" s="420">
        <f t="shared" ca="1" si="127"/>
        <v>-7.5364479906642509E-2</v>
      </c>
    </row>
    <row r="7639" spans="6:7" x14ac:dyDescent="0.2">
      <c r="F7639" s="591">
        <v>7630</v>
      </c>
      <c r="G7639" s="420">
        <f t="shared" ca="1" si="127"/>
        <v>-5.4454705511559273E-3</v>
      </c>
    </row>
    <row r="7640" spans="6:7" x14ac:dyDescent="0.2">
      <c r="F7640" s="591">
        <v>7631</v>
      </c>
      <c r="G7640" s="420">
        <f t="shared" ca="1" si="127"/>
        <v>0.12566854988216306</v>
      </c>
    </row>
    <row r="7641" spans="6:7" x14ac:dyDescent="0.2">
      <c r="F7641" s="591">
        <v>7632</v>
      </c>
      <c r="G7641" s="420">
        <f t="shared" ca="1" si="127"/>
        <v>-5.5451734783575068E-3</v>
      </c>
    </row>
    <row r="7642" spans="6:7" x14ac:dyDescent="0.2">
      <c r="F7642" s="591">
        <v>7633</v>
      </c>
      <c r="G7642" s="420">
        <f t="shared" ca="1" si="127"/>
        <v>9.980884748027069E-2</v>
      </c>
    </row>
    <row r="7643" spans="6:7" x14ac:dyDescent="0.2">
      <c r="F7643" s="591">
        <v>7634</v>
      </c>
      <c r="G7643" s="420">
        <f t="shared" ca="1" si="127"/>
        <v>7.014143021788688E-2</v>
      </c>
    </row>
    <row r="7644" spans="6:7" x14ac:dyDescent="0.2">
      <c r="F7644" s="591">
        <v>7635</v>
      </c>
      <c r="G7644" s="420">
        <f t="shared" ca="1" si="127"/>
        <v>-0.11529663225371699</v>
      </c>
    </row>
    <row r="7645" spans="6:7" x14ac:dyDescent="0.2">
      <c r="F7645" s="591">
        <v>7636</v>
      </c>
      <c r="G7645" s="420">
        <f t="shared" ca="1" si="127"/>
        <v>-1.2482387450013184E-2</v>
      </c>
    </row>
    <row r="7646" spans="6:7" x14ac:dyDescent="0.2">
      <c r="F7646" s="591">
        <v>7637</v>
      </c>
      <c r="G7646" s="420">
        <f t="shared" ca="1" si="127"/>
        <v>0.1274760196002297</v>
      </c>
    </row>
    <row r="7647" spans="6:7" x14ac:dyDescent="0.2">
      <c r="F7647" s="591">
        <v>7638</v>
      </c>
      <c r="G7647" s="420">
        <f t="shared" ca="1" si="127"/>
        <v>1.1465241214168125E-2</v>
      </c>
    </row>
    <row r="7648" spans="6:7" x14ac:dyDescent="0.2">
      <c r="F7648" s="591">
        <v>7639</v>
      </c>
      <c r="G7648" s="420">
        <f t="shared" ca="1" si="127"/>
        <v>-3.2434267352863769E-2</v>
      </c>
    </row>
    <row r="7649" spans="6:7" x14ac:dyDescent="0.2">
      <c r="F7649" s="591">
        <v>7640</v>
      </c>
      <c r="G7649" s="420">
        <f t="shared" ca="1" si="127"/>
        <v>-8.1314315282437016E-2</v>
      </c>
    </row>
    <row r="7650" spans="6:7" x14ac:dyDescent="0.2">
      <c r="F7650" s="591">
        <v>7641</v>
      </c>
      <c r="G7650" s="420">
        <f t="shared" ca="1" si="127"/>
        <v>0.15898357944123395</v>
      </c>
    </row>
    <row r="7651" spans="6:7" x14ac:dyDescent="0.2">
      <c r="F7651" s="591">
        <v>7642</v>
      </c>
      <c r="G7651" s="420">
        <f t="shared" ca="1" si="127"/>
        <v>3.5466974973629162E-2</v>
      </c>
    </row>
    <row r="7652" spans="6:7" x14ac:dyDescent="0.2">
      <c r="F7652" s="591">
        <v>7643</v>
      </c>
      <c r="G7652" s="420">
        <f t="shared" ca="1" si="127"/>
        <v>3.1272054820211719E-2</v>
      </c>
    </row>
    <row r="7653" spans="6:7" x14ac:dyDescent="0.2">
      <c r="F7653" s="591">
        <v>7644</v>
      </c>
      <c r="G7653" s="420">
        <f t="shared" ca="1" si="127"/>
        <v>8.7854665996657907E-2</v>
      </c>
    </row>
    <row r="7654" spans="6:7" x14ac:dyDescent="0.2">
      <c r="F7654" s="591">
        <v>7645</v>
      </c>
      <c r="G7654" s="420">
        <f t="shared" ca="1" si="127"/>
        <v>3.2852250851816943E-2</v>
      </c>
    </row>
    <row r="7655" spans="6:7" x14ac:dyDescent="0.2">
      <c r="F7655" s="591">
        <v>7646</v>
      </c>
      <c r="G7655" s="420">
        <f t="shared" ca="1" si="127"/>
        <v>-9.8449680963825989E-3</v>
      </c>
    </row>
    <row r="7656" spans="6:7" x14ac:dyDescent="0.2">
      <c r="F7656" s="591">
        <v>7647</v>
      </c>
      <c r="G7656" s="420">
        <f t="shared" ca="1" si="127"/>
        <v>0.12062979956678806</v>
      </c>
    </row>
    <row r="7657" spans="6:7" x14ac:dyDescent="0.2">
      <c r="F7657" s="591">
        <v>7648</v>
      </c>
      <c r="G7657" s="420">
        <f t="shared" ca="1" si="127"/>
        <v>-8.0156385066093398E-3</v>
      </c>
    </row>
    <row r="7658" spans="6:7" x14ac:dyDescent="0.2">
      <c r="F7658" s="591">
        <v>7649</v>
      </c>
      <c r="G7658" s="420">
        <f t="shared" ca="1" si="127"/>
        <v>7.7734110923734875E-2</v>
      </c>
    </row>
    <row r="7659" spans="6:7" x14ac:dyDescent="0.2">
      <c r="F7659" s="591">
        <v>7650</v>
      </c>
      <c r="G7659" s="420">
        <f t="shared" ca="1" si="127"/>
        <v>4.242949767882942E-2</v>
      </c>
    </row>
    <row r="7660" spans="6:7" x14ac:dyDescent="0.2">
      <c r="F7660" s="591">
        <v>7651</v>
      </c>
      <c r="G7660" s="420">
        <f t="shared" ca="1" si="127"/>
        <v>8.2515004595650684E-2</v>
      </c>
    </row>
    <row r="7661" spans="6:7" x14ac:dyDescent="0.2">
      <c r="F7661" s="591">
        <v>7652</v>
      </c>
      <c r="G7661" s="420">
        <f t="shared" ca="1" si="127"/>
        <v>0.13533474631669831</v>
      </c>
    </row>
    <row r="7662" spans="6:7" x14ac:dyDescent="0.2">
      <c r="F7662" s="591">
        <v>7653</v>
      </c>
      <c r="G7662" s="420">
        <f t="shared" ca="1" si="127"/>
        <v>2.5410999826022563E-3</v>
      </c>
    </row>
    <row r="7663" spans="6:7" x14ac:dyDescent="0.2">
      <c r="F7663" s="591">
        <v>7654</v>
      </c>
      <c r="G7663" s="420">
        <f t="shared" ca="1" si="127"/>
        <v>4.095437982780184E-2</v>
      </c>
    </row>
    <row r="7664" spans="6:7" x14ac:dyDescent="0.2">
      <c r="F7664" s="591">
        <v>7655</v>
      </c>
      <c r="G7664" s="420">
        <f t="shared" ca="1" si="127"/>
        <v>6.0763195304090759E-2</v>
      </c>
    </row>
    <row r="7665" spans="6:7" x14ac:dyDescent="0.2">
      <c r="F7665" s="591">
        <v>7656</v>
      </c>
      <c r="G7665" s="420">
        <f t="shared" ca="1" si="127"/>
        <v>8.58863338982674E-2</v>
      </c>
    </row>
    <row r="7666" spans="6:7" x14ac:dyDescent="0.2">
      <c r="F7666" s="591">
        <v>7657</v>
      </c>
      <c r="G7666" s="420">
        <f t="shared" ca="1" si="127"/>
        <v>-1.700801526003724E-2</v>
      </c>
    </row>
    <row r="7667" spans="6:7" x14ac:dyDescent="0.2">
      <c r="F7667" s="591">
        <v>7658</v>
      </c>
      <c r="G7667" s="420">
        <f t="shared" ca="1" si="127"/>
        <v>2.2502261051788316E-2</v>
      </c>
    </row>
    <row r="7668" spans="6:7" x14ac:dyDescent="0.2">
      <c r="F7668" s="591">
        <v>7659</v>
      </c>
      <c r="G7668" s="420">
        <f t="shared" ca="1" si="127"/>
        <v>-5.5257075653617635E-2</v>
      </c>
    </row>
    <row r="7669" spans="6:7" x14ac:dyDescent="0.2">
      <c r="F7669" s="591">
        <v>7660</v>
      </c>
      <c r="G7669" s="420">
        <f t="shared" ca="1" si="127"/>
        <v>5.4172281453129995E-2</v>
      </c>
    </row>
    <row r="7670" spans="6:7" x14ac:dyDescent="0.2">
      <c r="F7670" s="591">
        <v>7661</v>
      </c>
      <c r="G7670" s="420">
        <f t="shared" ca="1" si="127"/>
        <v>0.1257416838007466</v>
      </c>
    </row>
    <row r="7671" spans="6:7" x14ac:dyDescent="0.2">
      <c r="F7671" s="591">
        <v>7662</v>
      </c>
      <c r="G7671" s="420">
        <f t="shared" ca="1" si="127"/>
        <v>-1.8522667588322522E-3</v>
      </c>
    </row>
    <row r="7672" spans="6:7" x14ac:dyDescent="0.2">
      <c r="F7672" s="591">
        <v>7663</v>
      </c>
      <c r="G7672" s="420">
        <f t="shared" ca="1" si="127"/>
        <v>2.8875661453746662E-2</v>
      </c>
    </row>
    <row r="7673" spans="6:7" x14ac:dyDescent="0.2">
      <c r="F7673" s="591">
        <v>7664</v>
      </c>
      <c r="G7673" s="420">
        <f t="shared" ca="1" si="127"/>
        <v>2.3691677455839145E-2</v>
      </c>
    </row>
    <row r="7674" spans="6:7" x14ac:dyDescent="0.2">
      <c r="F7674" s="591">
        <v>7665</v>
      </c>
      <c r="G7674" s="420">
        <f t="shared" ca="1" si="127"/>
        <v>-6.9963204011329674E-2</v>
      </c>
    </row>
    <row r="7675" spans="6:7" x14ac:dyDescent="0.2">
      <c r="F7675" s="591">
        <v>7666</v>
      </c>
      <c r="G7675" s="420">
        <f t="shared" ca="1" si="127"/>
        <v>4.7789518690164165E-2</v>
      </c>
    </row>
    <row r="7676" spans="6:7" x14ac:dyDescent="0.2">
      <c r="F7676" s="591">
        <v>7667</v>
      </c>
      <c r="G7676" s="420">
        <f t="shared" ca="1" si="127"/>
        <v>-8.6473119131216872E-3</v>
      </c>
    </row>
    <row r="7677" spans="6:7" x14ac:dyDescent="0.2">
      <c r="F7677" s="591">
        <v>7668</v>
      </c>
      <c r="G7677" s="420">
        <f t="shared" ca="1" si="127"/>
        <v>-4.6471271914792188E-3</v>
      </c>
    </row>
    <row r="7678" spans="6:7" x14ac:dyDescent="0.2">
      <c r="F7678" s="591">
        <v>7669</v>
      </c>
      <c r="G7678" s="420">
        <f t="shared" ca="1" si="127"/>
        <v>-7.978184237880212E-2</v>
      </c>
    </row>
    <row r="7679" spans="6:7" x14ac:dyDescent="0.2">
      <c r="F7679" s="591">
        <v>7670</v>
      </c>
      <c r="G7679" s="420">
        <f t="shared" ca="1" si="127"/>
        <v>-4.5393543518182866E-2</v>
      </c>
    </row>
    <row r="7680" spans="6:7" x14ac:dyDescent="0.2">
      <c r="F7680" s="591">
        <v>7671</v>
      </c>
      <c r="G7680" s="420">
        <f t="shared" ca="1" si="127"/>
        <v>1.9730229357076433E-2</v>
      </c>
    </row>
    <row r="7681" spans="6:7" x14ac:dyDescent="0.2">
      <c r="F7681" s="591">
        <v>7672</v>
      </c>
      <c r="G7681" s="420">
        <f t="shared" ca="1" si="127"/>
        <v>9.0138349875162796E-2</v>
      </c>
    </row>
    <row r="7682" spans="6:7" x14ac:dyDescent="0.2">
      <c r="F7682" s="591">
        <v>7673</v>
      </c>
      <c r="G7682" s="420">
        <f t="shared" ca="1" si="127"/>
        <v>-2.2543721047842174E-2</v>
      </c>
    </row>
    <row r="7683" spans="6:7" x14ac:dyDescent="0.2">
      <c r="F7683" s="591">
        <v>7674</v>
      </c>
      <c r="G7683" s="420">
        <f t="shared" ca="1" si="127"/>
        <v>-1.4829312292320134E-2</v>
      </c>
    </row>
    <row r="7684" spans="6:7" x14ac:dyDescent="0.2">
      <c r="F7684" s="591">
        <v>7675</v>
      </c>
      <c r="G7684" s="420">
        <f t="shared" ca="1" si="127"/>
        <v>4.8388977137444888E-2</v>
      </c>
    </row>
    <row r="7685" spans="6:7" x14ac:dyDescent="0.2">
      <c r="F7685" s="591">
        <v>7676</v>
      </c>
      <c r="G7685" s="420">
        <f t="shared" ca="1" si="127"/>
        <v>-6.1932537853615369E-2</v>
      </c>
    </row>
    <row r="7686" spans="6:7" x14ac:dyDescent="0.2">
      <c r="F7686" s="591">
        <v>7677</v>
      </c>
      <c r="G7686" s="420">
        <f t="shared" ca="1" si="127"/>
        <v>4.9495092670131163E-2</v>
      </c>
    </row>
    <row r="7687" spans="6:7" x14ac:dyDescent="0.2">
      <c r="F7687" s="591">
        <v>7678</v>
      </c>
      <c r="G7687" s="420">
        <f t="shared" ca="1" si="127"/>
        <v>-7.1744053617045889E-2</v>
      </c>
    </row>
    <row r="7688" spans="6:7" x14ac:dyDescent="0.2">
      <c r="F7688" s="591">
        <v>7679</v>
      </c>
      <c r="G7688" s="420">
        <f t="shared" ca="1" si="127"/>
        <v>-4.6883969794042288E-2</v>
      </c>
    </row>
    <row r="7689" spans="6:7" x14ac:dyDescent="0.2">
      <c r="F7689" s="591">
        <v>7680</v>
      </c>
      <c r="G7689" s="420">
        <f t="shared" ca="1" si="127"/>
        <v>1.1291554339376782E-2</v>
      </c>
    </row>
    <row r="7690" spans="6:7" x14ac:dyDescent="0.2">
      <c r="F7690" s="591">
        <v>7681</v>
      </c>
      <c r="G7690" s="420">
        <f t="shared" ca="1" si="127"/>
        <v>-8.4359376902701858E-2</v>
      </c>
    </row>
    <row r="7691" spans="6:7" x14ac:dyDescent="0.2">
      <c r="F7691" s="591">
        <v>7682</v>
      </c>
      <c r="G7691" s="420">
        <f t="shared" ref="G7691:G7754" ca="1" si="128">_xlfn.NORM.INV(RAND(), $M$11,$M$12)</f>
        <v>1.136583060914333E-2</v>
      </c>
    </row>
    <row r="7692" spans="6:7" x14ac:dyDescent="0.2">
      <c r="F7692" s="591">
        <v>7683</v>
      </c>
      <c r="G7692" s="420">
        <f t="shared" ca="1" si="128"/>
        <v>6.3707457838600892E-2</v>
      </c>
    </row>
    <row r="7693" spans="6:7" x14ac:dyDescent="0.2">
      <c r="F7693" s="591">
        <v>7684</v>
      </c>
      <c r="G7693" s="420">
        <f t="shared" ca="1" si="128"/>
        <v>6.6458565732208985E-2</v>
      </c>
    </row>
    <row r="7694" spans="6:7" x14ac:dyDescent="0.2">
      <c r="F7694" s="591">
        <v>7685</v>
      </c>
      <c r="G7694" s="420">
        <f t="shared" ca="1" si="128"/>
        <v>-3.3134089373182921E-2</v>
      </c>
    </row>
    <row r="7695" spans="6:7" x14ac:dyDescent="0.2">
      <c r="F7695" s="591">
        <v>7686</v>
      </c>
      <c r="G7695" s="420">
        <f t="shared" ca="1" si="128"/>
        <v>7.4466948280340853E-2</v>
      </c>
    </row>
    <row r="7696" spans="6:7" x14ac:dyDescent="0.2">
      <c r="F7696" s="591">
        <v>7687</v>
      </c>
      <c r="G7696" s="420">
        <f t="shared" ca="1" si="128"/>
        <v>-4.8325967251602611E-2</v>
      </c>
    </row>
    <row r="7697" spans="6:7" x14ac:dyDescent="0.2">
      <c r="F7697" s="591">
        <v>7688</v>
      </c>
      <c r="G7697" s="420">
        <f t="shared" ca="1" si="128"/>
        <v>7.7565916177661801E-2</v>
      </c>
    </row>
    <row r="7698" spans="6:7" x14ac:dyDescent="0.2">
      <c r="F7698" s="591">
        <v>7689</v>
      </c>
      <c r="G7698" s="420">
        <f t="shared" ca="1" si="128"/>
        <v>9.4403838593258085E-3</v>
      </c>
    </row>
    <row r="7699" spans="6:7" x14ac:dyDescent="0.2">
      <c r="F7699" s="591">
        <v>7690</v>
      </c>
      <c r="G7699" s="420">
        <f t="shared" ca="1" si="128"/>
        <v>-2.2168659157538604E-2</v>
      </c>
    </row>
    <row r="7700" spans="6:7" x14ac:dyDescent="0.2">
      <c r="F7700" s="591">
        <v>7691</v>
      </c>
      <c r="G7700" s="420">
        <f t="shared" ca="1" si="128"/>
        <v>-7.215140950771104E-2</v>
      </c>
    </row>
    <row r="7701" spans="6:7" x14ac:dyDescent="0.2">
      <c r="F7701" s="591">
        <v>7692</v>
      </c>
      <c r="G7701" s="420">
        <f t="shared" ca="1" si="128"/>
        <v>2.2617405687010969E-2</v>
      </c>
    </row>
    <row r="7702" spans="6:7" x14ac:dyDescent="0.2">
      <c r="F7702" s="591">
        <v>7693</v>
      </c>
      <c r="G7702" s="420">
        <f t="shared" ca="1" si="128"/>
        <v>-2.245989141303362E-2</v>
      </c>
    </row>
    <row r="7703" spans="6:7" x14ac:dyDescent="0.2">
      <c r="F7703" s="591">
        <v>7694</v>
      </c>
      <c r="G7703" s="420">
        <f t="shared" ca="1" si="128"/>
        <v>-5.4655154757784208E-2</v>
      </c>
    </row>
    <row r="7704" spans="6:7" x14ac:dyDescent="0.2">
      <c r="F7704" s="591">
        <v>7695</v>
      </c>
      <c r="G7704" s="420">
        <f t="shared" ca="1" si="128"/>
        <v>0.14281308371187082</v>
      </c>
    </row>
    <row r="7705" spans="6:7" x14ac:dyDescent="0.2">
      <c r="F7705" s="591">
        <v>7696</v>
      </c>
      <c r="G7705" s="420">
        <f t="shared" ca="1" si="128"/>
        <v>-6.6072124603492419E-2</v>
      </c>
    </row>
    <row r="7706" spans="6:7" x14ac:dyDescent="0.2">
      <c r="F7706" s="591">
        <v>7697</v>
      </c>
      <c r="G7706" s="420">
        <f t="shared" ca="1" si="128"/>
        <v>6.0375930563844285E-2</v>
      </c>
    </row>
    <row r="7707" spans="6:7" x14ac:dyDescent="0.2">
      <c r="F7707" s="591">
        <v>7698</v>
      </c>
      <c r="G7707" s="420">
        <f t="shared" ca="1" si="128"/>
        <v>-1.3623761311814211E-2</v>
      </c>
    </row>
    <row r="7708" spans="6:7" x14ac:dyDescent="0.2">
      <c r="F7708" s="591">
        <v>7699</v>
      </c>
      <c r="G7708" s="420">
        <f t="shared" ca="1" si="128"/>
        <v>-1.5717587073968323E-2</v>
      </c>
    </row>
    <row r="7709" spans="6:7" x14ac:dyDescent="0.2">
      <c r="F7709" s="591">
        <v>7700</v>
      </c>
      <c r="G7709" s="420">
        <f t="shared" ca="1" si="128"/>
        <v>-0.11953090001541057</v>
      </c>
    </row>
    <row r="7710" spans="6:7" x14ac:dyDescent="0.2">
      <c r="F7710" s="591">
        <v>7701</v>
      </c>
      <c r="G7710" s="420">
        <f t="shared" ca="1" si="128"/>
        <v>1.3091369321319074E-2</v>
      </c>
    </row>
    <row r="7711" spans="6:7" x14ac:dyDescent="0.2">
      <c r="F7711" s="591">
        <v>7702</v>
      </c>
      <c r="G7711" s="420">
        <f t="shared" ca="1" si="128"/>
        <v>8.0633993621012073E-3</v>
      </c>
    </row>
    <row r="7712" spans="6:7" x14ac:dyDescent="0.2">
      <c r="F7712" s="591">
        <v>7703</v>
      </c>
      <c r="G7712" s="420">
        <f t="shared" ca="1" si="128"/>
        <v>6.4513187763118207E-2</v>
      </c>
    </row>
    <row r="7713" spans="6:7" x14ac:dyDescent="0.2">
      <c r="F7713" s="591">
        <v>7704</v>
      </c>
      <c r="G7713" s="420">
        <f t="shared" ca="1" si="128"/>
        <v>-7.4684720543457372E-2</v>
      </c>
    </row>
    <row r="7714" spans="6:7" x14ac:dyDescent="0.2">
      <c r="F7714" s="591">
        <v>7705</v>
      </c>
      <c r="G7714" s="420">
        <f t="shared" ca="1" si="128"/>
        <v>0.17230569381510735</v>
      </c>
    </row>
    <row r="7715" spans="6:7" x14ac:dyDescent="0.2">
      <c r="F7715" s="591">
        <v>7706</v>
      </c>
      <c r="G7715" s="420">
        <f t="shared" ca="1" si="128"/>
        <v>5.1886291277716642E-2</v>
      </c>
    </row>
    <row r="7716" spans="6:7" x14ac:dyDescent="0.2">
      <c r="F7716" s="591">
        <v>7707</v>
      </c>
      <c r="G7716" s="420">
        <f t="shared" ca="1" si="128"/>
        <v>2.7448906459601758E-2</v>
      </c>
    </row>
    <row r="7717" spans="6:7" x14ac:dyDescent="0.2">
      <c r="F7717" s="591">
        <v>7708</v>
      </c>
      <c r="G7717" s="420">
        <f t="shared" ca="1" si="128"/>
        <v>-4.7767047603242074E-2</v>
      </c>
    </row>
    <row r="7718" spans="6:7" x14ac:dyDescent="0.2">
      <c r="F7718" s="591">
        <v>7709</v>
      </c>
      <c r="G7718" s="420">
        <f t="shared" ca="1" si="128"/>
        <v>4.0343868293138387E-2</v>
      </c>
    </row>
    <row r="7719" spans="6:7" x14ac:dyDescent="0.2">
      <c r="F7719" s="591">
        <v>7710</v>
      </c>
      <c r="G7719" s="420">
        <f t="shared" ca="1" si="128"/>
        <v>7.4027536833545848E-2</v>
      </c>
    </row>
    <row r="7720" spans="6:7" x14ac:dyDescent="0.2">
      <c r="F7720" s="591">
        <v>7711</v>
      </c>
      <c r="G7720" s="420">
        <f t="shared" ca="1" si="128"/>
        <v>6.9971570000423547E-2</v>
      </c>
    </row>
    <row r="7721" spans="6:7" x14ac:dyDescent="0.2">
      <c r="F7721" s="591">
        <v>7712</v>
      </c>
      <c r="G7721" s="420">
        <f t="shared" ca="1" si="128"/>
        <v>6.3202569923700005E-2</v>
      </c>
    </row>
    <row r="7722" spans="6:7" x14ac:dyDescent="0.2">
      <c r="F7722" s="591">
        <v>7713</v>
      </c>
      <c r="G7722" s="420">
        <f t="shared" ca="1" si="128"/>
        <v>-0.14787567996086792</v>
      </c>
    </row>
    <row r="7723" spans="6:7" x14ac:dyDescent="0.2">
      <c r="F7723" s="591">
        <v>7714</v>
      </c>
      <c r="G7723" s="420">
        <f t="shared" ca="1" si="128"/>
        <v>3.1458348135869674E-2</v>
      </c>
    </row>
    <row r="7724" spans="6:7" x14ac:dyDescent="0.2">
      <c r="F7724" s="591">
        <v>7715</v>
      </c>
      <c r="G7724" s="420">
        <f t="shared" ca="1" si="128"/>
        <v>0.11077508389091337</v>
      </c>
    </row>
    <row r="7725" spans="6:7" x14ac:dyDescent="0.2">
      <c r="F7725" s="591">
        <v>7716</v>
      </c>
      <c r="G7725" s="420">
        <f t="shared" ca="1" si="128"/>
        <v>-8.2148241701058403E-2</v>
      </c>
    </row>
    <row r="7726" spans="6:7" x14ac:dyDescent="0.2">
      <c r="F7726" s="591">
        <v>7717</v>
      </c>
      <c r="G7726" s="420">
        <f t="shared" ca="1" si="128"/>
        <v>-0.11604579591576232</v>
      </c>
    </row>
    <row r="7727" spans="6:7" x14ac:dyDescent="0.2">
      <c r="F7727" s="591">
        <v>7718</v>
      </c>
      <c r="G7727" s="420">
        <f t="shared" ca="1" si="128"/>
        <v>-2.5473799747029891E-2</v>
      </c>
    </row>
    <row r="7728" spans="6:7" x14ac:dyDescent="0.2">
      <c r="F7728" s="591">
        <v>7719</v>
      </c>
      <c r="G7728" s="420">
        <f t="shared" ca="1" si="128"/>
        <v>8.7514518786379926E-3</v>
      </c>
    </row>
    <row r="7729" spans="6:7" x14ac:dyDescent="0.2">
      <c r="F7729" s="591">
        <v>7720</v>
      </c>
      <c r="G7729" s="420">
        <f t="shared" ca="1" si="128"/>
        <v>-6.263337800733175E-3</v>
      </c>
    </row>
    <row r="7730" spans="6:7" x14ac:dyDescent="0.2">
      <c r="F7730" s="591">
        <v>7721</v>
      </c>
      <c r="G7730" s="420">
        <f t="shared" ca="1" si="128"/>
        <v>-6.7935462133420096E-2</v>
      </c>
    </row>
    <row r="7731" spans="6:7" x14ac:dyDescent="0.2">
      <c r="F7731" s="591">
        <v>7722</v>
      </c>
      <c r="G7731" s="420">
        <f t="shared" ca="1" si="128"/>
        <v>8.4418799441106029E-2</v>
      </c>
    </row>
    <row r="7732" spans="6:7" x14ac:dyDescent="0.2">
      <c r="F7732" s="591">
        <v>7723</v>
      </c>
      <c r="G7732" s="420">
        <f t="shared" ca="1" si="128"/>
        <v>-4.4702119503427618E-2</v>
      </c>
    </row>
    <row r="7733" spans="6:7" x14ac:dyDescent="0.2">
      <c r="F7733" s="591">
        <v>7724</v>
      </c>
      <c r="G7733" s="420">
        <f t="shared" ca="1" si="128"/>
        <v>3.2206956744808342E-2</v>
      </c>
    </row>
    <row r="7734" spans="6:7" x14ac:dyDescent="0.2">
      <c r="F7734" s="591">
        <v>7725</v>
      </c>
      <c r="G7734" s="420">
        <f t="shared" ca="1" si="128"/>
        <v>-0.15966048926893192</v>
      </c>
    </row>
    <row r="7735" spans="6:7" x14ac:dyDescent="0.2">
      <c r="F7735" s="591">
        <v>7726</v>
      </c>
      <c r="G7735" s="420">
        <f t="shared" ca="1" si="128"/>
        <v>8.1774543017925874E-2</v>
      </c>
    </row>
    <row r="7736" spans="6:7" x14ac:dyDescent="0.2">
      <c r="F7736" s="591">
        <v>7727</v>
      </c>
      <c r="G7736" s="420">
        <f t="shared" ca="1" si="128"/>
        <v>0.10980332554153364</v>
      </c>
    </row>
    <row r="7737" spans="6:7" x14ac:dyDescent="0.2">
      <c r="F7737" s="591">
        <v>7728</v>
      </c>
      <c r="G7737" s="420">
        <f t="shared" ca="1" si="128"/>
        <v>-4.2162585865821472E-2</v>
      </c>
    </row>
    <row r="7738" spans="6:7" x14ac:dyDescent="0.2">
      <c r="F7738" s="591">
        <v>7729</v>
      </c>
      <c r="G7738" s="420">
        <f t="shared" ca="1" si="128"/>
        <v>5.606797568573102E-2</v>
      </c>
    </row>
    <row r="7739" spans="6:7" x14ac:dyDescent="0.2">
      <c r="F7739" s="591">
        <v>7730</v>
      </c>
      <c r="G7739" s="420">
        <f t="shared" ca="1" si="128"/>
        <v>4.8818481125509988E-2</v>
      </c>
    </row>
    <row r="7740" spans="6:7" x14ac:dyDescent="0.2">
      <c r="F7740" s="591">
        <v>7731</v>
      </c>
      <c r="G7740" s="420">
        <f t="shared" ca="1" si="128"/>
        <v>1.7812182840769381E-2</v>
      </c>
    </row>
    <row r="7741" spans="6:7" x14ac:dyDescent="0.2">
      <c r="F7741" s="591">
        <v>7732</v>
      </c>
      <c r="G7741" s="420">
        <f t="shared" ca="1" si="128"/>
        <v>7.9245760733577031E-2</v>
      </c>
    </row>
    <row r="7742" spans="6:7" x14ac:dyDescent="0.2">
      <c r="F7742" s="591">
        <v>7733</v>
      </c>
      <c r="G7742" s="420">
        <f t="shared" ca="1" si="128"/>
        <v>-1.0458336581542441E-3</v>
      </c>
    </row>
    <row r="7743" spans="6:7" x14ac:dyDescent="0.2">
      <c r="F7743" s="591">
        <v>7734</v>
      </c>
      <c r="G7743" s="420">
        <f t="shared" ca="1" si="128"/>
        <v>-0.12329781203838121</v>
      </c>
    </row>
    <row r="7744" spans="6:7" x14ac:dyDescent="0.2">
      <c r="F7744" s="591">
        <v>7735</v>
      </c>
      <c r="G7744" s="420">
        <f t="shared" ca="1" si="128"/>
        <v>1.0903854484426245E-2</v>
      </c>
    </row>
    <row r="7745" spans="6:7" x14ac:dyDescent="0.2">
      <c r="F7745" s="591">
        <v>7736</v>
      </c>
      <c r="G7745" s="420">
        <f t="shared" ca="1" si="128"/>
        <v>-7.6807004899768938E-2</v>
      </c>
    </row>
    <row r="7746" spans="6:7" x14ac:dyDescent="0.2">
      <c r="F7746" s="591">
        <v>7737</v>
      </c>
      <c r="G7746" s="420">
        <f t="shared" ca="1" si="128"/>
        <v>3.4802266825359113E-2</v>
      </c>
    </row>
    <row r="7747" spans="6:7" x14ac:dyDescent="0.2">
      <c r="F7747" s="591">
        <v>7738</v>
      </c>
      <c r="G7747" s="420">
        <f t="shared" ca="1" si="128"/>
        <v>-1.4522743840434421E-2</v>
      </c>
    </row>
    <row r="7748" spans="6:7" x14ac:dyDescent="0.2">
      <c r="F7748" s="591">
        <v>7739</v>
      </c>
      <c r="G7748" s="420">
        <f t="shared" ca="1" si="128"/>
        <v>4.9228835928845666E-2</v>
      </c>
    </row>
    <row r="7749" spans="6:7" x14ac:dyDescent="0.2">
      <c r="F7749" s="591">
        <v>7740</v>
      </c>
      <c r="G7749" s="420">
        <f t="shared" ca="1" si="128"/>
        <v>8.8050357456685185E-2</v>
      </c>
    </row>
    <row r="7750" spans="6:7" x14ac:dyDescent="0.2">
      <c r="F7750" s="591">
        <v>7741</v>
      </c>
      <c r="G7750" s="420">
        <f t="shared" ca="1" si="128"/>
        <v>-7.3090543288009416E-2</v>
      </c>
    </row>
    <row r="7751" spans="6:7" x14ac:dyDescent="0.2">
      <c r="F7751" s="591">
        <v>7742</v>
      </c>
      <c r="G7751" s="420">
        <f t="shared" ca="1" si="128"/>
        <v>0.12566297594266224</v>
      </c>
    </row>
    <row r="7752" spans="6:7" x14ac:dyDescent="0.2">
      <c r="F7752" s="591">
        <v>7743</v>
      </c>
      <c r="G7752" s="420">
        <f t="shared" ca="1" si="128"/>
        <v>-1.517881073850437E-2</v>
      </c>
    </row>
    <row r="7753" spans="6:7" x14ac:dyDescent="0.2">
      <c r="F7753" s="591">
        <v>7744</v>
      </c>
      <c r="G7753" s="420">
        <f t="shared" ca="1" si="128"/>
        <v>4.3687900842211821E-3</v>
      </c>
    </row>
    <row r="7754" spans="6:7" x14ac:dyDescent="0.2">
      <c r="F7754" s="591">
        <v>7745</v>
      </c>
      <c r="G7754" s="420">
        <f t="shared" ca="1" si="128"/>
        <v>6.2479559709614593E-2</v>
      </c>
    </row>
    <row r="7755" spans="6:7" x14ac:dyDescent="0.2">
      <c r="F7755" s="591">
        <v>7746</v>
      </c>
      <c r="G7755" s="420">
        <f t="shared" ref="G7755:G7818" ca="1" si="129">_xlfn.NORM.INV(RAND(), $M$11,$M$12)</f>
        <v>-1.9873391131873877E-2</v>
      </c>
    </row>
    <row r="7756" spans="6:7" x14ac:dyDescent="0.2">
      <c r="F7756" s="591">
        <v>7747</v>
      </c>
      <c r="G7756" s="420">
        <f t="shared" ca="1" si="129"/>
        <v>-0.12808978424474146</v>
      </c>
    </row>
    <row r="7757" spans="6:7" x14ac:dyDescent="0.2">
      <c r="F7757" s="591">
        <v>7748</v>
      </c>
      <c r="G7757" s="420">
        <f t="shared" ca="1" si="129"/>
        <v>0.14390297914642705</v>
      </c>
    </row>
    <row r="7758" spans="6:7" x14ac:dyDescent="0.2">
      <c r="F7758" s="591">
        <v>7749</v>
      </c>
      <c r="G7758" s="420">
        <f t="shared" ca="1" si="129"/>
        <v>1.401763497948369E-2</v>
      </c>
    </row>
    <row r="7759" spans="6:7" x14ac:dyDescent="0.2">
      <c r="F7759" s="591">
        <v>7750</v>
      </c>
      <c r="G7759" s="420">
        <f t="shared" ca="1" si="129"/>
        <v>-2.4565133526404662E-2</v>
      </c>
    </row>
    <row r="7760" spans="6:7" x14ac:dyDescent="0.2">
      <c r="F7760" s="591">
        <v>7751</v>
      </c>
      <c r="G7760" s="420">
        <f t="shared" ca="1" si="129"/>
        <v>0.11189645120746801</v>
      </c>
    </row>
    <row r="7761" spans="6:7" x14ac:dyDescent="0.2">
      <c r="F7761" s="591">
        <v>7752</v>
      </c>
      <c r="G7761" s="420">
        <f t="shared" ca="1" si="129"/>
        <v>0.13574040058071929</v>
      </c>
    </row>
    <row r="7762" spans="6:7" x14ac:dyDescent="0.2">
      <c r="F7762" s="591">
        <v>7753</v>
      </c>
      <c r="G7762" s="420">
        <f t="shared" ca="1" si="129"/>
        <v>-2.1449513171099072E-2</v>
      </c>
    </row>
    <row r="7763" spans="6:7" x14ac:dyDescent="0.2">
      <c r="F7763" s="591">
        <v>7754</v>
      </c>
      <c r="G7763" s="420">
        <f t="shared" ca="1" si="129"/>
        <v>7.8793021687793674E-2</v>
      </c>
    </row>
    <row r="7764" spans="6:7" x14ac:dyDescent="0.2">
      <c r="F7764" s="591">
        <v>7755</v>
      </c>
      <c r="G7764" s="420">
        <f t="shared" ca="1" si="129"/>
        <v>4.1019805947571167E-2</v>
      </c>
    </row>
    <row r="7765" spans="6:7" x14ac:dyDescent="0.2">
      <c r="F7765" s="591">
        <v>7756</v>
      </c>
      <c r="G7765" s="420">
        <f t="shared" ca="1" si="129"/>
        <v>-1.1777214479991641E-2</v>
      </c>
    </row>
    <row r="7766" spans="6:7" x14ac:dyDescent="0.2">
      <c r="F7766" s="591">
        <v>7757</v>
      </c>
      <c r="G7766" s="420">
        <f t="shared" ca="1" si="129"/>
        <v>0.19986472756152587</v>
      </c>
    </row>
    <row r="7767" spans="6:7" x14ac:dyDescent="0.2">
      <c r="F7767" s="591">
        <v>7758</v>
      </c>
      <c r="G7767" s="420">
        <f t="shared" ca="1" si="129"/>
        <v>0.1336784171902754</v>
      </c>
    </row>
    <row r="7768" spans="6:7" x14ac:dyDescent="0.2">
      <c r="F7768" s="591">
        <v>7759</v>
      </c>
      <c r="G7768" s="420">
        <f t="shared" ca="1" si="129"/>
        <v>-5.1262682936337983E-2</v>
      </c>
    </row>
    <row r="7769" spans="6:7" x14ac:dyDescent="0.2">
      <c r="F7769" s="591">
        <v>7760</v>
      </c>
      <c r="G7769" s="420">
        <f t="shared" ca="1" si="129"/>
        <v>-7.7521917343245456E-2</v>
      </c>
    </row>
    <row r="7770" spans="6:7" x14ac:dyDescent="0.2">
      <c r="F7770" s="591">
        <v>7761</v>
      </c>
      <c r="G7770" s="420">
        <f t="shared" ca="1" si="129"/>
        <v>3.4194183462910019E-2</v>
      </c>
    </row>
    <row r="7771" spans="6:7" x14ac:dyDescent="0.2">
      <c r="F7771" s="591">
        <v>7762</v>
      </c>
      <c r="G7771" s="420">
        <f t="shared" ca="1" si="129"/>
        <v>-7.3401385510872413E-2</v>
      </c>
    </row>
    <row r="7772" spans="6:7" x14ac:dyDescent="0.2">
      <c r="F7772" s="591">
        <v>7763</v>
      </c>
      <c r="G7772" s="420">
        <f t="shared" ca="1" si="129"/>
        <v>-3.3939310558102537E-2</v>
      </c>
    </row>
    <row r="7773" spans="6:7" x14ac:dyDescent="0.2">
      <c r="F7773" s="591">
        <v>7764</v>
      </c>
      <c r="G7773" s="420">
        <f t="shared" ca="1" si="129"/>
        <v>4.9867335492986276E-2</v>
      </c>
    </row>
    <row r="7774" spans="6:7" x14ac:dyDescent="0.2">
      <c r="F7774" s="591">
        <v>7765</v>
      </c>
      <c r="G7774" s="420">
        <f t="shared" ca="1" si="129"/>
        <v>2.0406980419183408E-2</v>
      </c>
    </row>
    <row r="7775" spans="6:7" x14ac:dyDescent="0.2">
      <c r="F7775" s="591">
        <v>7766</v>
      </c>
      <c r="G7775" s="420">
        <f t="shared" ca="1" si="129"/>
        <v>-6.287936266469564E-2</v>
      </c>
    </row>
    <row r="7776" spans="6:7" x14ac:dyDescent="0.2">
      <c r="F7776" s="591">
        <v>7767</v>
      </c>
      <c r="G7776" s="420">
        <f t="shared" ca="1" si="129"/>
        <v>1.534807722427441E-2</v>
      </c>
    </row>
    <row r="7777" spans="6:7" x14ac:dyDescent="0.2">
      <c r="F7777" s="591">
        <v>7768</v>
      </c>
      <c r="G7777" s="420">
        <f t="shared" ca="1" si="129"/>
        <v>8.3923207525361018E-2</v>
      </c>
    </row>
    <row r="7778" spans="6:7" x14ac:dyDescent="0.2">
      <c r="F7778" s="591">
        <v>7769</v>
      </c>
      <c r="G7778" s="420">
        <f t="shared" ca="1" si="129"/>
        <v>-8.280710456581121E-2</v>
      </c>
    </row>
    <row r="7779" spans="6:7" x14ac:dyDescent="0.2">
      <c r="F7779" s="591">
        <v>7770</v>
      </c>
      <c r="G7779" s="420">
        <f t="shared" ca="1" si="129"/>
        <v>6.0062988662739444E-2</v>
      </c>
    </row>
    <row r="7780" spans="6:7" x14ac:dyDescent="0.2">
      <c r="F7780" s="591">
        <v>7771</v>
      </c>
      <c r="G7780" s="420">
        <f t="shared" ca="1" si="129"/>
        <v>-0.14052266137345082</v>
      </c>
    </row>
    <row r="7781" spans="6:7" x14ac:dyDescent="0.2">
      <c r="F7781" s="591">
        <v>7772</v>
      </c>
      <c r="G7781" s="420">
        <f t="shared" ca="1" si="129"/>
        <v>-5.4358293043472242E-2</v>
      </c>
    </row>
    <row r="7782" spans="6:7" x14ac:dyDescent="0.2">
      <c r="F7782" s="591">
        <v>7773</v>
      </c>
      <c r="G7782" s="420">
        <f t="shared" ca="1" si="129"/>
        <v>1.3934744608491905E-2</v>
      </c>
    </row>
    <row r="7783" spans="6:7" x14ac:dyDescent="0.2">
      <c r="F7783" s="591">
        <v>7774</v>
      </c>
      <c r="G7783" s="420">
        <f t="shared" ca="1" si="129"/>
        <v>-9.805797733251001E-2</v>
      </c>
    </row>
    <row r="7784" spans="6:7" x14ac:dyDescent="0.2">
      <c r="F7784" s="591">
        <v>7775</v>
      </c>
      <c r="G7784" s="420">
        <f t="shared" ca="1" si="129"/>
        <v>-8.9162402252987938E-2</v>
      </c>
    </row>
    <row r="7785" spans="6:7" x14ac:dyDescent="0.2">
      <c r="F7785" s="591">
        <v>7776</v>
      </c>
      <c r="G7785" s="420">
        <f t="shared" ca="1" si="129"/>
        <v>0.11423990202246881</v>
      </c>
    </row>
    <row r="7786" spans="6:7" x14ac:dyDescent="0.2">
      <c r="F7786" s="591">
        <v>7777</v>
      </c>
      <c r="G7786" s="420">
        <f t="shared" ca="1" si="129"/>
        <v>6.062667120588934E-2</v>
      </c>
    </row>
    <row r="7787" spans="6:7" x14ac:dyDescent="0.2">
      <c r="F7787" s="591">
        <v>7778</v>
      </c>
      <c r="G7787" s="420">
        <f t="shared" ca="1" si="129"/>
        <v>7.0579022830209934E-2</v>
      </c>
    </row>
    <row r="7788" spans="6:7" x14ac:dyDescent="0.2">
      <c r="F7788" s="591">
        <v>7779</v>
      </c>
      <c r="G7788" s="420">
        <f t="shared" ca="1" si="129"/>
        <v>3.9437041460392355E-2</v>
      </c>
    </row>
    <row r="7789" spans="6:7" x14ac:dyDescent="0.2">
      <c r="F7789" s="591">
        <v>7780</v>
      </c>
      <c r="G7789" s="420">
        <f t="shared" ca="1" si="129"/>
        <v>6.0521864602864767E-2</v>
      </c>
    </row>
    <row r="7790" spans="6:7" x14ac:dyDescent="0.2">
      <c r="F7790" s="591">
        <v>7781</v>
      </c>
      <c r="G7790" s="420">
        <f t="shared" ca="1" si="129"/>
        <v>6.5401410977958083E-2</v>
      </c>
    </row>
    <row r="7791" spans="6:7" x14ac:dyDescent="0.2">
      <c r="F7791" s="591">
        <v>7782</v>
      </c>
      <c r="G7791" s="420">
        <f t="shared" ca="1" si="129"/>
        <v>6.5193821257533641E-3</v>
      </c>
    </row>
    <row r="7792" spans="6:7" x14ac:dyDescent="0.2">
      <c r="F7792" s="591">
        <v>7783</v>
      </c>
      <c r="G7792" s="420">
        <f t="shared" ca="1" si="129"/>
        <v>2.1251283558787262E-2</v>
      </c>
    </row>
    <row r="7793" spans="6:7" x14ac:dyDescent="0.2">
      <c r="F7793" s="591">
        <v>7784</v>
      </c>
      <c r="G7793" s="420">
        <f t="shared" ca="1" si="129"/>
        <v>-7.5220450953418436E-2</v>
      </c>
    </row>
    <row r="7794" spans="6:7" x14ac:dyDescent="0.2">
      <c r="F7794" s="591">
        <v>7785</v>
      </c>
      <c r="G7794" s="420">
        <f t="shared" ca="1" si="129"/>
        <v>-4.3415561694167298E-2</v>
      </c>
    </row>
    <row r="7795" spans="6:7" x14ac:dyDescent="0.2">
      <c r="F7795" s="591">
        <v>7786</v>
      </c>
      <c r="G7795" s="420">
        <f t="shared" ca="1" si="129"/>
        <v>3.776158848305144E-3</v>
      </c>
    </row>
    <row r="7796" spans="6:7" x14ac:dyDescent="0.2">
      <c r="F7796" s="591">
        <v>7787</v>
      </c>
      <c r="G7796" s="420">
        <f t="shared" ca="1" si="129"/>
        <v>-0.1027895722243406</v>
      </c>
    </row>
    <row r="7797" spans="6:7" x14ac:dyDescent="0.2">
      <c r="F7797" s="591">
        <v>7788</v>
      </c>
      <c r="G7797" s="420">
        <f t="shared" ca="1" si="129"/>
        <v>-2.3350700732589023E-2</v>
      </c>
    </row>
    <row r="7798" spans="6:7" x14ac:dyDescent="0.2">
      <c r="F7798" s="591">
        <v>7789</v>
      </c>
      <c r="G7798" s="420">
        <f t="shared" ca="1" si="129"/>
        <v>-7.737728324283627E-3</v>
      </c>
    </row>
    <row r="7799" spans="6:7" x14ac:dyDescent="0.2">
      <c r="F7799" s="591">
        <v>7790</v>
      </c>
      <c r="G7799" s="420">
        <f t="shared" ca="1" si="129"/>
        <v>-0.15078569867335276</v>
      </c>
    </row>
    <row r="7800" spans="6:7" x14ac:dyDescent="0.2">
      <c r="F7800" s="591">
        <v>7791</v>
      </c>
      <c r="G7800" s="420">
        <f t="shared" ca="1" si="129"/>
        <v>0.15332359882271854</v>
      </c>
    </row>
    <row r="7801" spans="6:7" x14ac:dyDescent="0.2">
      <c r="F7801" s="591">
        <v>7792</v>
      </c>
      <c r="G7801" s="420">
        <f t="shared" ca="1" si="129"/>
        <v>-8.2837701810670253E-2</v>
      </c>
    </row>
    <row r="7802" spans="6:7" x14ac:dyDescent="0.2">
      <c r="F7802" s="591">
        <v>7793</v>
      </c>
      <c r="G7802" s="420">
        <f t="shared" ca="1" si="129"/>
        <v>-4.1536263149900998E-2</v>
      </c>
    </row>
    <row r="7803" spans="6:7" x14ac:dyDescent="0.2">
      <c r="F7803" s="591">
        <v>7794</v>
      </c>
      <c r="G7803" s="420">
        <f t="shared" ca="1" si="129"/>
        <v>-1.8180305440178787E-2</v>
      </c>
    </row>
    <row r="7804" spans="6:7" x14ac:dyDescent="0.2">
      <c r="F7804" s="591">
        <v>7795</v>
      </c>
      <c r="G7804" s="420">
        <f t="shared" ca="1" si="129"/>
        <v>5.3621684486337223E-2</v>
      </c>
    </row>
    <row r="7805" spans="6:7" x14ac:dyDescent="0.2">
      <c r="F7805" s="591">
        <v>7796</v>
      </c>
      <c r="G7805" s="420">
        <f t="shared" ca="1" si="129"/>
        <v>-9.6968844413222025E-2</v>
      </c>
    </row>
    <row r="7806" spans="6:7" x14ac:dyDescent="0.2">
      <c r="F7806" s="591">
        <v>7797</v>
      </c>
      <c r="G7806" s="420">
        <f t="shared" ca="1" si="129"/>
        <v>1.3315093514743831E-2</v>
      </c>
    </row>
    <row r="7807" spans="6:7" x14ac:dyDescent="0.2">
      <c r="F7807" s="591">
        <v>7798</v>
      </c>
      <c r="G7807" s="420">
        <f t="shared" ca="1" si="129"/>
        <v>8.045457853016251E-2</v>
      </c>
    </row>
    <row r="7808" spans="6:7" x14ac:dyDescent="0.2">
      <c r="F7808" s="591">
        <v>7799</v>
      </c>
      <c r="G7808" s="420">
        <f t="shared" ca="1" si="129"/>
        <v>-9.6937082167196029E-2</v>
      </c>
    </row>
    <row r="7809" spans="6:7" x14ac:dyDescent="0.2">
      <c r="F7809" s="591">
        <v>7800</v>
      </c>
      <c r="G7809" s="420">
        <f t="shared" ca="1" si="129"/>
        <v>4.7428467068371593E-3</v>
      </c>
    </row>
    <row r="7810" spans="6:7" x14ac:dyDescent="0.2">
      <c r="F7810" s="591">
        <v>7801</v>
      </c>
      <c r="G7810" s="420">
        <f t="shared" ca="1" si="129"/>
        <v>-6.6766023933823318E-2</v>
      </c>
    </row>
    <row r="7811" spans="6:7" x14ac:dyDescent="0.2">
      <c r="F7811" s="591">
        <v>7802</v>
      </c>
      <c r="G7811" s="420">
        <f t="shared" ca="1" si="129"/>
        <v>5.39879600962717E-2</v>
      </c>
    </row>
    <row r="7812" spans="6:7" x14ac:dyDescent="0.2">
      <c r="F7812" s="591">
        <v>7803</v>
      </c>
      <c r="G7812" s="420">
        <f t="shared" ca="1" si="129"/>
        <v>0.19169687770069643</v>
      </c>
    </row>
    <row r="7813" spans="6:7" x14ac:dyDescent="0.2">
      <c r="F7813" s="591">
        <v>7804</v>
      </c>
      <c r="G7813" s="420">
        <f t="shared" ca="1" si="129"/>
        <v>9.1503311333851423E-2</v>
      </c>
    </row>
    <row r="7814" spans="6:7" x14ac:dyDescent="0.2">
      <c r="F7814" s="591">
        <v>7805</v>
      </c>
      <c r="G7814" s="420">
        <f t="shared" ca="1" si="129"/>
        <v>-5.7484915782931939E-2</v>
      </c>
    </row>
    <row r="7815" spans="6:7" x14ac:dyDescent="0.2">
      <c r="F7815" s="591">
        <v>7806</v>
      </c>
      <c r="G7815" s="420">
        <f t="shared" ca="1" si="129"/>
        <v>1.3867718724480681E-2</v>
      </c>
    </row>
    <row r="7816" spans="6:7" x14ac:dyDescent="0.2">
      <c r="F7816" s="591">
        <v>7807</v>
      </c>
      <c r="G7816" s="420">
        <f t="shared" ca="1" si="129"/>
        <v>7.1380009463860181E-2</v>
      </c>
    </row>
    <row r="7817" spans="6:7" x14ac:dyDescent="0.2">
      <c r="F7817" s="591">
        <v>7808</v>
      </c>
      <c r="G7817" s="420">
        <f t="shared" ca="1" si="129"/>
        <v>0.17666418251604515</v>
      </c>
    </row>
    <row r="7818" spans="6:7" x14ac:dyDescent="0.2">
      <c r="F7818" s="591">
        <v>7809</v>
      </c>
      <c r="G7818" s="420">
        <f t="shared" ca="1" si="129"/>
        <v>4.4423129209372331E-2</v>
      </c>
    </row>
    <row r="7819" spans="6:7" x14ac:dyDescent="0.2">
      <c r="F7819" s="591">
        <v>7810</v>
      </c>
      <c r="G7819" s="420">
        <f t="shared" ref="G7819:G7882" ca="1" si="130">_xlfn.NORM.INV(RAND(), $M$11,$M$12)</f>
        <v>-4.3749764783220069E-2</v>
      </c>
    </row>
    <row r="7820" spans="6:7" x14ac:dyDescent="0.2">
      <c r="F7820" s="591">
        <v>7811</v>
      </c>
      <c r="G7820" s="420">
        <f t="shared" ca="1" si="130"/>
        <v>7.6342749406900876E-2</v>
      </c>
    </row>
    <row r="7821" spans="6:7" x14ac:dyDescent="0.2">
      <c r="F7821" s="591">
        <v>7812</v>
      </c>
      <c r="G7821" s="420">
        <f t="shared" ca="1" si="130"/>
        <v>-5.7744352775861485E-2</v>
      </c>
    </row>
    <row r="7822" spans="6:7" x14ac:dyDescent="0.2">
      <c r="F7822" s="591">
        <v>7813</v>
      </c>
      <c r="G7822" s="420">
        <f t="shared" ca="1" si="130"/>
        <v>4.3399402864249634E-2</v>
      </c>
    </row>
    <row r="7823" spans="6:7" x14ac:dyDescent="0.2">
      <c r="F7823" s="591">
        <v>7814</v>
      </c>
      <c r="G7823" s="420">
        <f t="shared" ca="1" si="130"/>
        <v>6.1273359002820257E-2</v>
      </c>
    </row>
    <row r="7824" spans="6:7" x14ac:dyDescent="0.2">
      <c r="F7824" s="591">
        <v>7815</v>
      </c>
      <c r="G7824" s="420">
        <f t="shared" ca="1" si="130"/>
        <v>-3.9134658869434277E-2</v>
      </c>
    </row>
    <row r="7825" spans="6:7" x14ac:dyDescent="0.2">
      <c r="F7825" s="591">
        <v>7816</v>
      </c>
      <c r="G7825" s="420">
        <f t="shared" ca="1" si="130"/>
        <v>3.5888592724439228E-2</v>
      </c>
    </row>
    <row r="7826" spans="6:7" x14ac:dyDescent="0.2">
      <c r="F7826" s="591">
        <v>7817</v>
      </c>
      <c r="G7826" s="420">
        <f t="shared" ca="1" si="130"/>
        <v>0.11892866582802214</v>
      </c>
    </row>
    <row r="7827" spans="6:7" x14ac:dyDescent="0.2">
      <c r="F7827" s="591">
        <v>7818</v>
      </c>
      <c r="G7827" s="420">
        <f t="shared" ca="1" si="130"/>
        <v>0.10054079858574828</v>
      </c>
    </row>
    <row r="7828" spans="6:7" x14ac:dyDescent="0.2">
      <c r="F7828" s="591">
        <v>7819</v>
      </c>
      <c r="G7828" s="420">
        <f t="shared" ca="1" si="130"/>
        <v>4.1279349432026949E-2</v>
      </c>
    </row>
    <row r="7829" spans="6:7" x14ac:dyDescent="0.2">
      <c r="F7829" s="591">
        <v>7820</v>
      </c>
      <c r="G7829" s="420">
        <f t="shared" ca="1" si="130"/>
        <v>-5.3077224183406616E-2</v>
      </c>
    </row>
    <row r="7830" spans="6:7" x14ac:dyDescent="0.2">
      <c r="F7830" s="591">
        <v>7821</v>
      </c>
      <c r="G7830" s="420">
        <f t="shared" ca="1" si="130"/>
        <v>2.5540034024532372E-2</v>
      </c>
    </row>
    <row r="7831" spans="6:7" x14ac:dyDescent="0.2">
      <c r="F7831" s="591">
        <v>7822</v>
      </c>
      <c r="G7831" s="420">
        <f t="shared" ca="1" si="130"/>
        <v>-8.7396842084915022E-2</v>
      </c>
    </row>
    <row r="7832" spans="6:7" x14ac:dyDescent="0.2">
      <c r="F7832" s="591">
        <v>7823</v>
      </c>
      <c r="G7832" s="420">
        <f t="shared" ca="1" si="130"/>
        <v>-6.8545787506724326E-2</v>
      </c>
    </row>
    <row r="7833" spans="6:7" x14ac:dyDescent="0.2">
      <c r="F7833" s="591">
        <v>7824</v>
      </c>
      <c r="G7833" s="420">
        <f t="shared" ca="1" si="130"/>
        <v>4.799175007310677E-2</v>
      </c>
    </row>
    <row r="7834" spans="6:7" x14ac:dyDescent="0.2">
      <c r="F7834" s="591">
        <v>7825</v>
      </c>
      <c r="G7834" s="420">
        <f t="shared" ca="1" si="130"/>
        <v>3.2864481798938958E-2</v>
      </c>
    </row>
    <row r="7835" spans="6:7" x14ac:dyDescent="0.2">
      <c r="F7835" s="591">
        <v>7826</v>
      </c>
      <c r="G7835" s="420">
        <f t="shared" ca="1" si="130"/>
        <v>-1.4188057191487028E-2</v>
      </c>
    </row>
    <row r="7836" spans="6:7" x14ac:dyDescent="0.2">
      <c r="F7836" s="591">
        <v>7827</v>
      </c>
      <c r="G7836" s="420">
        <f t="shared" ca="1" si="130"/>
        <v>8.1114832354497859E-2</v>
      </c>
    </row>
    <row r="7837" spans="6:7" x14ac:dyDescent="0.2">
      <c r="F7837" s="591">
        <v>7828</v>
      </c>
      <c r="G7837" s="420">
        <f t="shared" ca="1" si="130"/>
        <v>3.3576758745477893E-2</v>
      </c>
    </row>
    <row r="7838" spans="6:7" x14ac:dyDescent="0.2">
      <c r="F7838" s="591">
        <v>7829</v>
      </c>
      <c r="G7838" s="420">
        <f t="shared" ca="1" si="130"/>
        <v>2.2777477871682526E-3</v>
      </c>
    </row>
    <row r="7839" spans="6:7" x14ac:dyDescent="0.2">
      <c r="F7839" s="591">
        <v>7830</v>
      </c>
      <c r="G7839" s="420">
        <f t="shared" ca="1" si="130"/>
        <v>3.5324691672777263E-2</v>
      </c>
    </row>
    <row r="7840" spans="6:7" x14ac:dyDescent="0.2">
      <c r="F7840" s="591">
        <v>7831</v>
      </c>
      <c r="G7840" s="420">
        <f t="shared" ca="1" si="130"/>
        <v>1.5054705938100578E-2</v>
      </c>
    </row>
    <row r="7841" spans="6:7" x14ac:dyDescent="0.2">
      <c r="F7841" s="591">
        <v>7832</v>
      </c>
      <c r="G7841" s="420">
        <f t="shared" ca="1" si="130"/>
        <v>-3.435667651237799E-2</v>
      </c>
    </row>
    <row r="7842" spans="6:7" x14ac:dyDescent="0.2">
      <c r="F7842" s="591">
        <v>7833</v>
      </c>
      <c r="G7842" s="420">
        <f t="shared" ca="1" si="130"/>
        <v>7.6473695142805248E-2</v>
      </c>
    </row>
    <row r="7843" spans="6:7" x14ac:dyDescent="0.2">
      <c r="F7843" s="591">
        <v>7834</v>
      </c>
      <c r="G7843" s="420">
        <f t="shared" ca="1" si="130"/>
        <v>-4.1584730958886831E-2</v>
      </c>
    </row>
    <row r="7844" spans="6:7" x14ac:dyDescent="0.2">
      <c r="F7844" s="591">
        <v>7835</v>
      </c>
      <c r="G7844" s="420">
        <f t="shared" ca="1" si="130"/>
        <v>-4.6766033211000452E-2</v>
      </c>
    </row>
    <row r="7845" spans="6:7" x14ac:dyDescent="0.2">
      <c r="F7845" s="591">
        <v>7836</v>
      </c>
      <c r="G7845" s="420">
        <f t="shared" ca="1" si="130"/>
        <v>6.6963324327683855E-3</v>
      </c>
    </row>
    <row r="7846" spans="6:7" x14ac:dyDescent="0.2">
      <c r="F7846" s="591">
        <v>7837</v>
      </c>
      <c r="G7846" s="420">
        <f t="shared" ca="1" si="130"/>
        <v>-3.9073029859563471E-2</v>
      </c>
    </row>
    <row r="7847" spans="6:7" x14ac:dyDescent="0.2">
      <c r="F7847" s="591">
        <v>7838</v>
      </c>
      <c r="G7847" s="420">
        <f t="shared" ca="1" si="130"/>
        <v>2.1740650496493083E-4</v>
      </c>
    </row>
    <row r="7848" spans="6:7" x14ac:dyDescent="0.2">
      <c r="F7848" s="591">
        <v>7839</v>
      </c>
      <c r="G7848" s="420">
        <f t="shared" ca="1" si="130"/>
        <v>1.8281347332480082E-2</v>
      </c>
    </row>
    <row r="7849" spans="6:7" x14ac:dyDescent="0.2">
      <c r="F7849" s="591">
        <v>7840</v>
      </c>
      <c r="G7849" s="420">
        <f t="shared" ca="1" si="130"/>
        <v>6.0462013342510876E-2</v>
      </c>
    </row>
    <row r="7850" spans="6:7" x14ac:dyDescent="0.2">
      <c r="F7850" s="591">
        <v>7841</v>
      </c>
      <c r="G7850" s="420">
        <f t="shared" ca="1" si="130"/>
        <v>-5.2816277324137059E-2</v>
      </c>
    </row>
    <row r="7851" spans="6:7" x14ac:dyDescent="0.2">
      <c r="F7851" s="591">
        <v>7842</v>
      </c>
      <c r="G7851" s="420">
        <f t="shared" ca="1" si="130"/>
        <v>3.745127570192399E-2</v>
      </c>
    </row>
    <row r="7852" spans="6:7" x14ac:dyDescent="0.2">
      <c r="F7852" s="591">
        <v>7843</v>
      </c>
      <c r="G7852" s="420">
        <f t="shared" ca="1" si="130"/>
        <v>-7.0753711818305726E-2</v>
      </c>
    </row>
    <row r="7853" spans="6:7" x14ac:dyDescent="0.2">
      <c r="F7853" s="591">
        <v>7844</v>
      </c>
      <c r="G7853" s="420">
        <f t="shared" ca="1" si="130"/>
        <v>7.6828627688183049E-2</v>
      </c>
    </row>
    <row r="7854" spans="6:7" x14ac:dyDescent="0.2">
      <c r="F7854" s="591">
        <v>7845</v>
      </c>
      <c r="G7854" s="420">
        <f t="shared" ca="1" si="130"/>
        <v>1.8170767099636147E-3</v>
      </c>
    </row>
    <row r="7855" spans="6:7" x14ac:dyDescent="0.2">
      <c r="F7855" s="591">
        <v>7846</v>
      </c>
      <c r="G7855" s="420">
        <f t="shared" ca="1" si="130"/>
        <v>3.4287333783229137E-2</v>
      </c>
    </row>
    <row r="7856" spans="6:7" x14ac:dyDescent="0.2">
      <c r="F7856" s="591">
        <v>7847</v>
      </c>
      <c r="G7856" s="420">
        <f t="shared" ca="1" si="130"/>
        <v>-3.9782513817617299E-2</v>
      </c>
    </row>
    <row r="7857" spans="6:7" x14ac:dyDescent="0.2">
      <c r="F7857" s="591">
        <v>7848</v>
      </c>
      <c r="G7857" s="420">
        <f t="shared" ca="1" si="130"/>
        <v>-4.4410706962358701E-2</v>
      </c>
    </row>
    <row r="7858" spans="6:7" x14ac:dyDescent="0.2">
      <c r="F7858" s="591">
        <v>7849</v>
      </c>
      <c r="G7858" s="420">
        <f t="shared" ca="1" si="130"/>
        <v>0.14409586717297146</v>
      </c>
    </row>
    <row r="7859" spans="6:7" x14ac:dyDescent="0.2">
      <c r="F7859" s="591">
        <v>7850</v>
      </c>
      <c r="G7859" s="420">
        <f t="shared" ca="1" si="130"/>
        <v>-0.14679204749194141</v>
      </c>
    </row>
    <row r="7860" spans="6:7" x14ac:dyDescent="0.2">
      <c r="F7860" s="591">
        <v>7851</v>
      </c>
      <c r="G7860" s="420">
        <f t="shared" ca="1" si="130"/>
        <v>0.10741964965711606</v>
      </c>
    </row>
    <row r="7861" spans="6:7" x14ac:dyDescent="0.2">
      <c r="F7861" s="591">
        <v>7852</v>
      </c>
      <c r="G7861" s="420">
        <f t="shared" ca="1" si="130"/>
        <v>1.8853029350623059E-2</v>
      </c>
    </row>
    <row r="7862" spans="6:7" x14ac:dyDescent="0.2">
      <c r="F7862" s="591">
        <v>7853</v>
      </c>
      <c r="G7862" s="420">
        <f t="shared" ca="1" si="130"/>
        <v>-1.700034242254506E-3</v>
      </c>
    </row>
    <row r="7863" spans="6:7" x14ac:dyDescent="0.2">
      <c r="F7863" s="591">
        <v>7854</v>
      </c>
      <c r="G7863" s="420">
        <f t="shared" ca="1" si="130"/>
        <v>1.5086110173188508E-2</v>
      </c>
    </row>
    <row r="7864" spans="6:7" x14ac:dyDescent="0.2">
      <c r="F7864" s="591">
        <v>7855</v>
      </c>
      <c r="G7864" s="420">
        <f t="shared" ca="1" si="130"/>
        <v>0.11032387925821688</v>
      </c>
    </row>
    <row r="7865" spans="6:7" x14ac:dyDescent="0.2">
      <c r="F7865" s="591">
        <v>7856</v>
      </c>
      <c r="G7865" s="420">
        <f t="shared" ca="1" si="130"/>
        <v>5.0990815245605808E-2</v>
      </c>
    </row>
    <row r="7866" spans="6:7" x14ac:dyDescent="0.2">
      <c r="F7866" s="591">
        <v>7857</v>
      </c>
      <c r="G7866" s="420">
        <f t="shared" ca="1" si="130"/>
        <v>6.9661785832891732E-2</v>
      </c>
    </row>
    <row r="7867" spans="6:7" x14ac:dyDescent="0.2">
      <c r="F7867" s="591">
        <v>7858</v>
      </c>
      <c r="G7867" s="420">
        <f t="shared" ca="1" si="130"/>
        <v>-1.5658846698895335E-2</v>
      </c>
    </row>
    <row r="7868" spans="6:7" x14ac:dyDescent="0.2">
      <c r="F7868" s="591">
        <v>7859</v>
      </c>
      <c r="G7868" s="420">
        <f t="shared" ca="1" si="130"/>
        <v>3.1385875507222535E-2</v>
      </c>
    </row>
    <row r="7869" spans="6:7" x14ac:dyDescent="0.2">
      <c r="F7869" s="591">
        <v>7860</v>
      </c>
      <c r="G7869" s="420">
        <f t="shared" ca="1" si="130"/>
        <v>-1.0877418034184842E-3</v>
      </c>
    </row>
    <row r="7870" spans="6:7" x14ac:dyDescent="0.2">
      <c r="F7870" s="591">
        <v>7861</v>
      </c>
      <c r="G7870" s="420">
        <f t="shared" ca="1" si="130"/>
        <v>8.4079355538881989E-2</v>
      </c>
    </row>
    <row r="7871" spans="6:7" x14ac:dyDescent="0.2">
      <c r="F7871" s="591">
        <v>7862</v>
      </c>
      <c r="G7871" s="420">
        <f t="shared" ca="1" si="130"/>
        <v>5.1688355516667811E-2</v>
      </c>
    </row>
    <row r="7872" spans="6:7" x14ac:dyDescent="0.2">
      <c r="F7872" s="591">
        <v>7863</v>
      </c>
      <c r="G7872" s="420">
        <f t="shared" ca="1" si="130"/>
        <v>5.5873521146927563E-2</v>
      </c>
    </row>
    <row r="7873" spans="6:7" x14ac:dyDescent="0.2">
      <c r="F7873" s="591">
        <v>7864</v>
      </c>
      <c r="G7873" s="420">
        <f t="shared" ca="1" si="130"/>
        <v>3.2562709917646399E-2</v>
      </c>
    </row>
    <row r="7874" spans="6:7" x14ac:dyDescent="0.2">
      <c r="F7874" s="591">
        <v>7865</v>
      </c>
      <c r="G7874" s="420">
        <f t="shared" ca="1" si="130"/>
        <v>1.8653164140760459E-2</v>
      </c>
    </row>
    <row r="7875" spans="6:7" x14ac:dyDescent="0.2">
      <c r="F7875" s="591">
        <v>7866</v>
      </c>
      <c r="G7875" s="420">
        <f t="shared" ca="1" si="130"/>
        <v>0.12466993109257699</v>
      </c>
    </row>
    <row r="7876" spans="6:7" x14ac:dyDescent="0.2">
      <c r="F7876" s="591">
        <v>7867</v>
      </c>
      <c r="G7876" s="420">
        <f t="shared" ca="1" si="130"/>
        <v>-1.2296830353784646E-2</v>
      </c>
    </row>
    <row r="7877" spans="6:7" x14ac:dyDescent="0.2">
      <c r="F7877" s="591">
        <v>7868</v>
      </c>
      <c r="G7877" s="420">
        <f t="shared" ca="1" si="130"/>
        <v>-4.4390660156795561E-2</v>
      </c>
    </row>
    <row r="7878" spans="6:7" x14ac:dyDescent="0.2">
      <c r="F7878" s="591">
        <v>7869</v>
      </c>
      <c r="G7878" s="420">
        <f t="shared" ca="1" si="130"/>
        <v>-0.11444877558088033</v>
      </c>
    </row>
    <row r="7879" spans="6:7" x14ac:dyDescent="0.2">
      <c r="F7879" s="591">
        <v>7870</v>
      </c>
      <c r="G7879" s="420">
        <f t="shared" ca="1" si="130"/>
        <v>4.8893724440366798E-2</v>
      </c>
    </row>
    <row r="7880" spans="6:7" x14ac:dyDescent="0.2">
      <c r="F7880" s="591">
        <v>7871</v>
      </c>
      <c r="G7880" s="420">
        <f t="shared" ca="1" si="130"/>
        <v>-7.6499494656468839E-2</v>
      </c>
    </row>
    <row r="7881" spans="6:7" x14ac:dyDescent="0.2">
      <c r="F7881" s="591">
        <v>7872</v>
      </c>
      <c r="G7881" s="420">
        <f t="shared" ca="1" si="130"/>
        <v>3.4272581842324387E-2</v>
      </c>
    </row>
    <row r="7882" spans="6:7" x14ac:dyDescent="0.2">
      <c r="F7882" s="591">
        <v>7873</v>
      </c>
      <c r="G7882" s="420">
        <f t="shared" ca="1" si="130"/>
        <v>1.842586045369507E-3</v>
      </c>
    </row>
    <row r="7883" spans="6:7" x14ac:dyDescent="0.2">
      <c r="F7883" s="591">
        <v>7874</v>
      </c>
      <c r="G7883" s="420">
        <f t="shared" ref="G7883:G7946" ca="1" si="131">_xlfn.NORM.INV(RAND(), $M$11,$M$12)</f>
        <v>-3.7781615543275651E-2</v>
      </c>
    </row>
    <row r="7884" spans="6:7" x14ac:dyDescent="0.2">
      <c r="F7884" s="591">
        <v>7875</v>
      </c>
      <c r="G7884" s="420">
        <f t="shared" ca="1" si="131"/>
        <v>-5.1823695758127342E-2</v>
      </c>
    </row>
    <row r="7885" spans="6:7" x14ac:dyDescent="0.2">
      <c r="F7885" s="591">
        <v>7876</v>
      </c>
      <c r="G7885" s="420">
        <f t="shared" ca="1" si="131"/>
        <v>1.294152490376242E-2</v>
      </c>
    </row>
    <row r="7886" spans="6:7" x14ac:dyDescent="0.2">
      <c r="F7886" s="591">
        <v>7877</v>
      </c>
      <c r="G7886" s="420">
        <f t="shared" ca="1" si="131"/>
        <v>-7.9989813229657064E-2</v>
      </c>
    </row>
    <row r="7887" spans="6:7" x14ac:dyDescent="0.2">
      <c r="F7887" s="591">
        <v>7878</v>
      </c>
      <c r="G7887" s="420">
        <f t="shared" ca="1" si="131"/>
        <v>2.4889780972335247E-2</v>
      </c>
    </row>
    <row r="7888" spans="6:7" x14ac:dyDescent="0.2">
      <c r="F7888" s="591">
        <v>7879</v>
      </c>
      <c r="G7888" s="420">
        <f t="shared" ca="1" si="131"/>
        <v>9.3063659585002026E-2</v>
      </c>
    </row>
    <row r="7889" spans="6:7" x14ac:dyDescent="0.2">
      <c r="F7889" s="591">
        <v>7880</v>
      </c>
      <c r="G7889" s="420">
        <f t="shared" ca="1" si="131"/>
        <v>-1.7649612562634868E-2</v>
      </c>
    </row>
    <row r="7890" spans="6:7" x14ac:dyDescent="0.2">
      <c r="F7890" s="591">
        <v>7881</v>
      </c>
      <c r="G7890" s="420">
        <f t="shared" ca="1" si="131"/>
        <v>-4.0568921452360809E-2</v>
      </c>
    </row>
    <row r="7891" spans="6:7" x14ac:dyDescent="0.2">
      <c r="F7891" s="591">
        <v>7882</v>
      </c>
      <c r="G7891" s="420">
        <f t="shared" ca="1" si="131"/>
        <v>3.0306681946026565E-2</v>
      </c>
    </row>
    <row r="7892" spans="6:7" x14ac:dyDescent="0.2">
      <c r="F7892" s="591">
        <v>7883</v>
      </c>
      <c r="G7892" s="420">
        <f t="shared" ca="1" si="131"/>
        <v>-4.4094317147822928E-2</v>
      </c>
    </row>
    <row r="7893" spans="6:7" x14ac:dyDescent="0.2">
      <c r="F7893" s="591">
        <v>7884</v>
      </c>
      <c r="G7893" s="420">
        <f t="shared" ca="1" si="131"/>
        <v>-0.12495954999352595</v>
      </c>
    </row>
    <row r="7894" spans="6:7" x14ac:dyDescent="0.2">
      <c r="F7894" s="591">
        <v>7885</v>
      </c>
      <c r="G7894" s="420">
        <f t="shared" ca="1" si="131"/>
        <v>-1.0763652433774681E-2</v>
      </c>
    </row>
    <row r="7895" spans="6:7" x14ac:dyDescent="0.2">
      <c r="F7895" s="591">
        <v>7886</v>
      </c>
      <c r="G7895" s="420">
        <f t="shared" ca="1" si="131"/>
        <v>2.4272985574705544E-2</v>
      </c>
    </row>
    <row r="7896" spans="6:7" x14ac:dyDescent="0.2">
      <c r="F7896" s="591">
        <v>7887</v>
      </c>
      <c r="G7896" s="420">
        <f t="shared" ca="1" si="131"/>
        <v>7.6138879676857327E-2</v>
      </c>
    </row>
    <row r="7897" spans="6:7" x14ac:dyDescent="0.2">
      <c r="F7897" s="591">
        <v>7888</v>
      </c>
      <c r="G7897" s="420">
        <f t="shared" ca="1" si="131"/>
        <v>4.183894434341185E-2</v>
      </c>
    </row>
    <row r="7898" spans="6:7" x14ac:dyDescent="0.2">
      <c r="F7898" s="591">
        <v>7889</v>
      </c>
      <c r="G7898" s="420">
        <f t="shared" ca="1" si="131"/>
        <v>-2.7714807977743498E-3</v>
      </c>
    </row>
    <row r="7899" spans="6:7" x14ac:dyDescent="0.2">
      <c r="F7899" s="591">
        <v>7890</v>
      </c>
      <c r="G7899" s="420">
        <f t="shared" ca="1" si="131"/>
        <v>-1.2197062376497349E-2</v>
      </c>
    </row>
    <row r="7900" spans="6:7" x14ac:dyDescent="0.2">
      <c r="F7900" s="591">
        <v>7891</v>
      </c>
      <c r="G7900" s="420">
        <f t="shared" ca="1" si="131"/>
        <v>0.10361132544836418</v>
      </c>
    </row>
    <row r="7901" spans="6:7" x14ac:dyDescent="0.2">
      <c r="F7901" s="591">
        <v>7892</v>
      </c>
      <c r="G7901" s="420">
        <f t="shared" ca="1" si="131"/>
        <v>-4.3221801624524561E-2</v>
      </c>
    </row>
    <row r="7902" spans="6:7" x14ac:dyDescent="0.2">
      <c r="F7902" s="591">
        <v>7893</v>
      </c>
      <c r="G7902" s="420">
        <f t="shared" ca="1" si="131"/>
        <v>-3.7528845928821206E-2</v>
      </c>
    </row>
    <row r="7903" spans="6:7" x14ac:dyDescent="0.2">
      <c r="F7903" s="591">
        <v>7894</v>
      </c>
      <c r="G7903" s="420">
        <f t="shared" ca="1" si="131"/>
        <v>-3.0222718058024272E-2</v>
      </c>
    </row>
    <row r="7904" spans="6:7" x14ac:dyDescent="0.2">
      <c r="F7904" s="591">
        <v>7895</v>
      </c>
      <c r="G7904" s="420">
        <f t="shared" ca="1" si="131"/>
        <v>9.614055910704912E-2</v>
      </c>
    </row>
    <row r="7905" spans="6:7" x14ac:dyDescent="0.2">
      <c r="F7905" s="591">
        <v>7896</v>
      </c>
      <c r="G7905" s="420">
        <f t="shared" ca="1" si="131"/>
        <v>-9.43020563170201E-2</v>
      </c>
    </row>
    <row r="7906" spans="6:7" x14ac:dyDescent="0.2">
      <c r="F7906" s="591">
        <v>7897</v>
      </c>
      <c r="G7906" s="420">
        <f t="shared" ca="1" si="131"/>
        <v>8.9545017048860108E-3</v>
      </c>
    </row>
    <row r="7907" spans="6:7" x14ac:dyDescent="0.2">
      <c r="F7907" s="591">
        <v>7898</v>
      </c>
      <c r="G7907" s="420">
        <f t="shared" ca="1" si="131"/>
        <v>8.4292651833155957E-2</v>
      </c>
    </row>
    <row r="7908" spans="6:7" x14ac:dyDescent="0.2">
      <c r="F7908" s="591">
        <v>7899</v>
      </c>
      <c r="G7908" s="420">
        <f t="shared" ca="1" si="131"/>
        <v>-8.3294483593589472E-2</v>
      </c>
    </row>
    <row r="7909" spans="6:7" x14ac:dyDescent="0.2">
      <c r="F7909" s="591">
        <v>7900</v>
      </c>
      <c r="G7909" s="420">
        <f t="shared" ca="1" si="131"/>
        <v>1.3935802755123324E-2</v>
      </c>
    </row>
    <row r="7910" spans="6:7" x14ac:dyDescent="0.2">
      <c r="F7910" s="591">
        <v>7901</v>
      </c>
      <c r="G7910" s="420">
        <f t="shared" ca="1" si="131"/>
        <v>0.13721019589236291</v>
      </c>
    </row>
    <row r="7911" spans="6:7" x14ac:dyDescent="0.2">
      <c r="F7911" s="591">
        <v>7902</v>
      </c>
      <c r="G7911" s="420">
        <f t="shared" ca="1" si="131"/>
        <v>-0.15252887328495107</v>
      </c>
    </row>
    <row r="7912" spans="6:7" x14ac:dyDescent="0.2">
      <c r="F7912" s="591">
        <v>7903</v>
      </c>
      <c r="G7912" s="420">
        <f t="shared" ca="1" si="131"/>
        <v>5.1756139663572218E-2</v>
      </c>
    </row>
    <row r="7913" spans="6:7" x14ac:dyDescent="0.2">
      <c r="F7913" s="591">
        <v>7904</v>
      </c>
      <c r="G7913" s="420">
        <f t="shared" ca="1" si="131"/>
        <v>-6.6294746879481843E-3</v>
      </c>
    </row>
    <row r="7914" spans="6:7" x14ac:dyDescent="0.2">
      <c r="F7914" s="591">
        <v>7905</v>
      </c>
      <c r="G7914" s="420">
        <f t="shared" ca="1" si="131"/>
        <v>9.5333322331259171E-2</v>
      </c>
    </row>
    <row r="7915" spans="6:7" x14ac:dyDescent="0.2">
      <c r="F7915" s="591">
        <v>7906</v>
      </c>
      <c r="G7915" s="420">
        <f t="shared" ca="1" si="131"/>
        <v>2.0490942061957902E-2</v>
      </c>
    </row>
    <row r="7916" spans="6:7" x14ac:dyDescent="0.2">
      <c r="F7916" s="591">
        <v>7907</v>
      </c>
      <c r="G7916" s="420">
        <f t="shared" ca="1" si="131"/>
        <v>-3.1793762175694823E-2</v>
      </c>
    </row>
    <row r="7917" spans="6:7" x14ac:dyDescent="0.2">
      <c r="F7917" s="591">
        <v>7908</v>
      </c>
      <c r="G7917" s="420">
        <f t="shared" ca="1" si="131"/>
        <v>0.11982007406108591</v>
      </c>
    </row>
    <row r="7918" spans="6:7" x14ac:dyDescent="0.2">
      <c r="F7918" s="591">
        <v>7909</v>
      </c>
      <c r="G7918" s="420">
        <f t="shared" ca="1" si="131"/>
        <v>-7.3396451327580499E-3</v>
      </c>
    </row>
    <row r="7919" spans="6:7" x14ac:dyDescent="0.2">
      <c r="F7919" s="591">
        <v>7910</v>
      </c>
      <c r="G7919" s="420">
        <f t="shared" ca="1" si="131"/>
        <v>2.5066505649482457E-2</v>
      </c>
    </row>
    <row r="7920" spans="6:7" x14ac:dyDescent="0.2">
      <c r="F7920" s="591">
        <v>7911</v>
      </c>
      <c r="G7920" s="420">
        <f t="shared" ca="1" si="131"/>
        <v>-1.5679795935189613E-2</v>
      </c>
    </row>
    <row r="7921" spans="6:7" x14ac:dyDescent="0.2">
      <c r="F7921" s="591">
        <v>7912</v>
      </c>
      <c r="G7921" s="420">
        <f t="shared" ca="1" si="131"/>
        <v>3.740132480264057E-3</v>
      </c>
    </row>
    <row r="7922" spans="6:7" x14ac:dyDescent="0.2">
      <c r="F7922" s="591">
        <v>7913</v>
      </c>
      <c r="G7922" s="420">
        <f t="shared" ca="1" si="131"/>
        <v>-7.5287032531908965E-2</v>
      </c>
    </row>
    <row r="7923" spans="6:7" x14ac:dyDescent="0.2">
      <c r="F7923" s="591">
        <v>7914</v>
      </c>
      <c r="G7923" s="420">
        <f t="shared" ca="1" si="131"/>
        <v>-0.11987951178195673</v>
      </c>
    </row>
    <row r="7924" spans="6:7" x14ac:dyDescent="0.2">
      <c r="F7924" s="591">
        <v>7915</v>
      </c>
      <c r="G7924" s="420">
        <f t="shared" ca="1" si="131"/>
        <v>-0.10589566536911452</v>
      </c>
    </row>
    <row r="7925" spans="6:7" x14ac:dyDescent="0.2">
      <c r="F7925" s="591">
        <v>7916</v>
      </c>
      <c r="G7925" s="420">
        <f t="shared" ca="1" si="131"/>
        <v>5.3789216099817641E-2</v>
      </c>
    </row>
    <row r="7926" spans="6:7" x14ac:dyDescent="0.2">
      <c r="F7926" s="591">
        <v>7917</v>
      </c>
      <c r="G7926" s="420">
        <f t="shared" ca="1" si="131"/>
        <v>2.9777383616233378E-2</v>
      </c>
    </row>
    <row r="7927" spans="6:7" x14ac:dyDescent="0.2">
      <c r="F7927" s="591">
        <v>7918</v>
      </c>
      <c r="G7927" s="420">
        <f t="shared" ca="1" si="131"/>
        <v>8.9510144874337838E-2</v>
      </c>
    </row>
    <row r="7928" spans="6:7" x14ac:dyDescent="0.2">
      <c r="F7928" s="591">
        <v>7919</v>
      </c>
      <c r="G7928" s="420">
        <f t="shared" ca="1" si="131"/>
        <v>-0.11374435234800719</v>
      </c>
    </row>
    <row r="7929" spans="6:7" x14ac:dyDescent="0.2">
      <c r="F7929" s="591">
        <v>7920</v>
      </c>
      <c r="G7929" s="420">
        <f t="shared" ca="1" si="131"/>
        <v>5.3995410280115643E-3</v>
      </c>
    </row>
    <row r="7930" spans="6:7" x14ac:dyDescent="0.2">
      <c r="F7930" s="591">
        <v>7921</v>
      </c>
      <c r="G7930" s="420">
        <f t="shared" ca="1" si="131"/>
        <v>-0.1021437671099559</v>
      </c>
    </row>
    <row r="7931" spans="6:7" x14ac:dyDescent="0.2">
      <c r="F7931" s="591">
        <v>7922</v>
      </c>
      <c r="G7931" s="420">
        <f t="shared" ca="1" si="131"/>
        <v>3.9909669316520985E-2</v>
      </c>
    </row>
    <row r="7932" spans="6:7" x14ac:dyDescent="0.2">
      <c r="F7932" s="591">
        <v>7923</v>
      </c>
      <c r="G7932" s="420">
        <f t="shared" ca="1" si="131"/>
        <v>-3.699072490195135E-2</v>
      </c>
    </row>
    <row r="7933" spans="6:7" x14ac:dyDescent="0.2">
      <c r="F7933" s="591">
        <v>7924</v>
      </c>
      <c r="G7933" s="420">
        <f t="shared" ca="1" si="131"/>
        <v>-0.10695033146892158</v>
      </c>
    </row>
    <row r="7934" spans="6:7" x14ac:dyDescent="0.2">
      <c r="F7934" s="591">
        <v>7925</v>
      </c>
      <c r="G7934" s="420">
        <f t="shared" ca="1" si="131"/>
        <v>1.6121998651331584E-2</v>
      </c>
    </row>
    <row r="7935" spans="6:7" x14ac:dyDescent="0.2">
      <c r="F7935" s="591">
        <v>7926</v>
      </c>
      <c r="G7935" s="420">
        <f t="shared" ca="1" si="131"/>
        <v>0.15317317861222216</v>
      </c>
    </row>
    <row r="7936" spans="6:7" x14ac:dyDescent="0.2">
      <c r="F7936" s="591">
        <v>7927</v>
      </c>
      <c r="G7936" s="420">
        <f t="shared" ca="1" si="131"/>
        <v>-0.11609737093068119</v>
      </c>
    </row>
    <row r="7937" spans="6:7" x14ac:dyDescent="0.2">
      <c r="F7937" s="591">
        <v>7928</v>
      </c>
      <c r="G7937" s="420">
        <f t="shared" ca="1" si="131"/>
        <v>4.6609357367576737E-2</v>
      </c>
    </row>
    <row r="7938" spans="6:7" x14ac:dyDescent="0.2">
      <c r="F7938" s="591">
        <v>7929</v>
      </c>
      <c r="G7938" s="420">
        <f t="shared" ca="1" si="131"/>
        <v>4.6541605747675574E-2</v>
      </c>
    </row>
    <row r="7939" spans="6:7" x14ac:dyDescent="0.2">
      <c r="F7939" s="591">
        <v>7930</v>
      </c>
      <c r="G7939" s="420">
        <f t="shared" ca="1" si="131"/>
        <v>2.3236875495934339E-2</v>
      </c>
    </row>
    <row r="7940" spans="6:7" x14ac:dyDescent="0.2">
      <c r="F7940" s="591">
        <v>7931</v>
      </c>
      <c r="G7940" s="420">
        <f t="shared" ca="1" si="131"/>
        <v>2.9068446282426115E-2</v>
      </c>
    </row>
    <row r="7941" spans="6:7" x14ac:dyDescent="0.2">
      <c r="F7941" s="591">
        <v>7932</v>
      </c>
      <c r="G7941" s="420">
        <f t="shared" ca="1" si="131"/>
        <v>8.6339937158229157E-2</v>
      </c>
    </row>
    <row r="7942" spans="6:7" x14ac:dyDescent="0.2">
      <c r="F7942" s="591">
        <v>7933</v>
      </c>
      <c r="G7942" s="420">
        <f t="shared" ca="1" si="131"/>
        <v>0.10901177460831457</v>
      </c>
    </row>
    <row r="7943" spans="6:7" x14ac:dyDescent="0.2">
      <c r="F7943" s="591">
        <v>7934</v>
      </c>
      <c r="G7943" s="420">
        <f t="shared" ca="1" si="131"/>
        <v>8.2214384049802882E-3</v>
      </c>
    </row>
    <row r="7944" spans="6:7" x14ac:dyDescent="0.2">
      <c r="F7944" s="591">
        <v>7935</v>
      </c>
      <c r="G7944" s="420">
        <f t="shared" ca="1" si="131"/>
        <v>4.0716358786682907E-2</v>
      </c>
    </row>
    <row r="7945" spans="6:7" x14ac:dyDescent="0.2">
      <c r="F7945" s="591">
        <v>7936</v>
      </c>
      <c r="G7945" s="420">
        <f t="shared" ca="1" si="131"/>
        <v>-1.9221414820471572E-2</v>
      </c>
    </row>
    <row r="7946" spans="6:7" x14ac:dyDescent="0.2">
      <c r="F7946" s="591">
        <v>7937</v>
      </c>
      <c r="G7946" s="420">
        <f t="shared" ca="1" si="131"/>
        <v>2.0536294472588319E-2</v>
      </c>
    </row>
    <row r="7947" spans="6:7" x14ac:dyDescent="0.2">
      <c r="F7947" s="591">
        <v>7938</v>
      </c>
      <c r="G7947" s="420">
        <f t="shared" ref="G7947:G8010" ca="1" si="132">_xlfn.NORM.INV(RAND(), $M$11,$M$12)</f>
        <v>0.13852819865740149</v>
      </c>
    </row>
    <row r="7948" spans="6:7" x14ac:dyDescent="0.2">
      <c r="F7948" s="591">
        <v>7939</v>
      </c>
      <c r="G7948" s="420">
        <f t="shared" ca="1" si="132"/>
        <v>0.12565077331718658</v>
      </c>
    </row>
    <row r="7949" spans="6:7" x14ac:dyDescent="0.2">
      <c r="F7949" s="591">
        <v>7940</v>
      </c>
      <c r="G7949" s="420">
        <f t="shared" ca="1" si="132"/>
        <v>0.10851717295883229</v>
      </c>
    </row>
    <row r="7950" spans="6:7" x14ac:dyDescent="0.2">
      <c r="F7950" s="591">
        <v>7941</v>
      </c>
      <c r="G7950" s="420">
        <f t="shared" ca="1" si="132"/>
        <v>2.2438036123658463E-3</v>
      </c>
    </row>
    <row r="7951" spans="6:7" x14ac:dyDescent="0.2">
      <c r="F7951" s="591">
        <v>7942</v>
      </c>
      <c r="G7951" s="420">
        <f t="shared" ca="1" si="132"/>
        <v>-9.5247386526132419E-2</v>
      </c>
    </row>
    <row r="7952" spans="6:7" x14ac:dyDescent="0.2">
      <c r="F7952" s="591">
        <v>7943</v>
      </c>
      <c r="G7952" s="420">
        <f t="shared" ca="1" si="132"/>
        <v>4.849325780739577E-3</v>
      </c>
    </row>
    <row r="7953" spans="6:7" x14ac:dyDescent="0.2">
      <c r="F7953" s="591">
        <v>7944</v>
      </c>
      <c r="G7953" s="420">
        <f t="shared" ca="1" si="132"/>
        <v>-9.8024355539489863E-2</v>
      </c>
    </row>
    <row r="7954" spans="6:7" x14ac:dyDescent="0.2">
      <c r="F7954" s="591">
        <v>7945</v>
      </c>
      <c r="G7954" s="420">
        <f t="shared" ca="1" si="132"/>
        <v>6.6355436772569151E-2</v>
      </c>
    </row>
    <row r="7955" spans="6:7" x14ac:dyDescent="0.2">
      <c r="F7955" s="591">
        <v>7946</v>
      </c>
      <c r="G7955" s="420">
        <f t="shared" ca="1" si="132"/>
        <v>-3.0760305725310574E-2</v>
      </c>
    </row>
    <row r="7956" spans="6:7" x14ac:dyDescent="0.2">
      <c r="F7956" s="591">
        <v>7947</v>
      </c>
      <c r="G7956" s="420">
        <f t="shared" ca="1" si="132"/>
        <v>0.1251746994632825</v>
      </c>
    </row>
    <row r="7957" spans="6:7" x14ac:dyDescent="0.2">
      <c r="F7957" s="591">
        <v>7948</v>
      </c>
      <c r="G7957" s="420">
        <f t="shared" ca="1" si="132"/>
        <v>9.0603304322900619E-2</v>
      </c>
    </row>
    <row r="7958" spans="6:7" x14ac:dyDescent="0.2">
      <c r="F7958" s="591">
        <v>7949</v>
      </c>
      <c r="G7958" s="420">
        <f t="shared" ca="1" si="132"/>
        <v>-3.274594999382377E-2</v>
      </c>
    </row>
    <row r="7959" spans="6:7" x14ac:dyDescent="0.2">
      <c r="F7959" s="591">
        <v>7950</v>
      </c>
      <c r="G7959" s="420">
        <f t="shared" ca="1" si="132"/>
        <v>-4.8624861158695701E-3</v>
      </c>
    </row>
    <row r="7960" spans="6:7" x14ac:dyDescent="0.2">
      <c r="F7960" s="591">
        <v>7951</v>
      </c>
      <c r="G7960" s="420">
        <f t="shared" ca="1" si="132"/>
        <v>2.2163673637014783E-2</v>
      </c>
    </row>
    <row r="7961" spans="6:7" x14ac:dyDescent="0.2">
      <c r="F7961" s="591">
        <v>7952</v>
      </c>
      <c r="G7961" s="420">
        <f t="shared" ca="1" si="132"/>
        <v>-9.1667442110188166E-2</v>
      </c>
    </row>
    <row r="7962" spans="6:7" x14ac:dyDescent="0.2">
      <c r="F7962" s="591">
        <v>7953</v>
      </c>
      <c r="G7962" s="420">
        <f t="shared" ca="1" si="132"/>
        <v>-2.5954403747410561E-2</v>
      </c>
    </row>
    <row r="7963" spans="6:7" x14ac:dyDescent="0.2">
      <c r="F7963" s="591">
        <v>7954</v>
      </c>
      <c r="G7963" s="420">
        <f t="shared" ca="1" si="132"/>
        <v>-5.6824879719790472E-2</v>
      </c>
    </row>
    <row r="7964" spans="6:7" x14ac:dyDescent="0.2">
      <c r="F7964" s="591">
        <v>7955</v>
      </c>
      <c r="G7964" s="420">
        <f t="shared" ca="1" si="132"/>
        <v>-0.15788781749914116</v>
      </c>
    </row>
    <row r="7965" spans="6:7" x14ac:dyDescent="0.2">
      <c r="F7965" s="591">
        <v>7956</v>
      </c>
      <c r="G7965" s="420">
        <f t="shared" ca="1" si="132"/>
        <v>3.8040596427183201E-2</v>
      </c>
    </row>
    <row r="7966" spans="6:7" x14ac:dyDescent="0.2">
      <c r="F7966" s="591">
        <v>7957</v>
      </c>
      <c r="G7966" s="420">
        <f t="shared" ca="1" si="132"/>
        <v>-8.2546141695204842E-2</v>
      </c>
    </row>
    <row r="7967" spans="6:7" x14ac:dyDescent="0.2">
      <c r="F7967" s="591">
        <v>7958</v>
      </c>
      <c r="G7967" s="420">
        <f t="shared" ca="1" si="132"/>
        <v>-9.7326560311543908E-2</v>
      </c>
    </row>
    <row r="7968" spans="6:7" x14ac:dyDescent="0.2">
      <c r="F7968" s="591">
        <v>7959</v>
      </c>
      <c r="G7968" s="420">
        <f t="shared" ca="1" si="132"/>
        <v>3.2842405273084942E-2</v>
      </c>
    </row>
    <row r="7969" spans="6:7" x14ac:dyDescent="0.2">
      <c r="F7969" s="591">
        <v>7960</v>
      </c>
      <c r="G7969" s="420">
        <f t="shared" ca="1" si="132"/>
        <v>6.3507950691322215E-2</v>
      </c>
    </row>
    <row r="7970" spans="6:7" x14ac:dyDescent="0.2">
      <c r="F7970" s="591">
        <v>7961</v>
      </c>
      <c r="G7970" s="420">
        <f t="shared" ca="1" si="132"/>
        <v>4.7645580715893629E-2</v>
      </c>
    </row>
    <row r="7971" spans="6:7" x14ac:dyDescent="0.2">
      <c r="F7971" s="591">
        <v>7962</v>
      </c>
      <c r="G7971" s="420">
        <f t="shared" ca="1" si="132"/>
        <v>5.7223282520666274E-2</v>
      </c>
    </row>
    <row r="7972" spans="6:7" x14ac:dyDescent="0.2">
      <c r="F7972" s="591">
        <v>7963</v>
      </c>
      <c r="G7972" s="420">
        <f t="shared" ca="1" si="132"/>
        <v>-3.2281163042910149E-2</v>
      </c>
    </row>
    <row r="7973" spans="6:7" x14ac:dyDescent="0.2">
      <c r="F7973" s="591">
        <v>7964</v>
      </c>
      <c r="G7973" s="420">
        <f t="shared" ca="1" si="132"/>
        <v>1.2000531333905993E-2</v>
      </c>
    </row>
    <row r="7974" spans="6:7" x14ac:dyDescent="0.2">
      <c r="F7974" s="591">
        <v>7965</v>
      </c>
      <c r="G7974" s="420">
        <f t="shared" ca="1" si="132"/>
        <v>-3.7295574171908832E-2</v>
      </c>
    </row>
    <row r="7975" spans="6:7" x14ac:dyDescent="0.2">
      <c r="F7975" s="591">
        <v>7966</v>
      </c>
      <c r="G7975" s="420">
        <f t="shared" ca="1" si="132"/>
        <v>0.13718748136787795</v>
      </c>
    </row>
    <row r="7976" spans="6:7" x14ac:dyDescent="0.2">
      <c r="F7976" s="591">
        <v>7967</v>
      </c>
      <c r="G7976" s="420">
        <f t="shared" ca="1" si="132"/>
        <v>6.6608313040062497E-3</v>
      </c>
    </row>
    <row r="7977" spans="6:7" x14ac:dyDescent="0.2">
      <c r="F7977" s="591">
        <v>7968</v>
      </c>
      <c r="G7977" s="420">
        <f t="shared" ca="1" si="132"/>
        <v>6.4447583434745118E-2</v>
      </c>
    </row>
    <row r="7978" spans="6:7" x14ac:dyDescent="0.2">
      <c r="F7978" s="591">
        <v>7969</v>
      </c>
      <c r="G7978" s="420">
        <f t="shared" ca="1" si="132"/>
        <v>8.0989315984613008E-2</v>
      </c>
    </row>
    <row r="7979" spans="6:7" x14ac:dyDescent="0.2">
      <c r="F7979" s="591">
        <v>7970</v>
      </c>
      <c r="G7979" s="420">
        <f t="shared" ca="1" si="132"/>
        <v>0.12550201135656106</v>
      </c>
    </row>
    <row r="7980" spans="6:7" x14ac:dyDescent="0.2">
      <c r="F7980" s="591">
        <v>7971</v>
      </c>
      <c r="G7980" s="420">
        <f t="shared" ca="1" si="132"/>
        <v>6.3566578725538794E-2</v>
      </c>
    </row>
    <row r="7981" spans="6:7" x14ac:dyDescent="0.2">
      <c r="F7981" s="591">
        <v>7972</v>
      </c>
      <c r="G7981" s="420">
        <f t="shared" ca="1" si="132"/>
        <v>0.17806790373617418</v>
      </c>
    </row>
    <row r="7982" spans="6:7" x14ac:dyDescent="0.2">
      <c r="F7982" s="591">
        <v>7973</v>
      </c>
      <c r="G7982" s="420">
        <f t="shared" ca="1" si="132"/>
        <v>-5.7535853892740352E-2</v>
      </c>
    </row>
    <row r="7983" spans="6:7" x14ac:dyDescent="0.2">
      <c r="F7983" s="591">
        <v>7974</v>
      </c>
      <c r="G7983" s="420">
        <f t="shared" ca="1" si="132"/>
        <v>1.4188599827919781E-2</v>
      </c>
    </row>
    <row r="7984" spans="6:7" x14ac:dyDescent="0.2">
      <c r="F7984" s="591">
        <v>7975</v>
      </c>
      <c r="G7984" s="420">
        <f t="shared" ca="1" si="132"/>
        <v>-3.7694567760237843E-2</v>
      </c>
    </row>
    <row r="7985" spans="6:7" x14ac:dyDescent="0.2">
      <c r="F7985" s="591">
        <v>7976</v>
      </c>
      <c r="G7985" s="420">
        <f t="shared" ca="1" si="132"/>
        <v>7.8944758589926597E-2</v>
      </c>
    </row>
    <row r="7986" spans="6:7" x14ac:dyDescent="0.2">
      <c r="F7986" s="591">
        <v>7977</v>
      </c>
      <c r="G7986" s="420">
        <f t="shared" ca="1" si="132"/>
        <v>3.3495489078488011E-2</v>
      </c>
    </row>
    <row r="7987" spans="6:7" x14ac:dyDescent="0.2">
      <c r="F7987" s="591">
        <v>7978</v>
      </c>
      <c r="G7987" s="420">
        <f t="shared" ca="1" si="132"/>
        <v>2.0594032693626328E-2</v>
      </c>
    </row>
    <row r="7988" spans="6:7" x14ac:dyDescent="0.2">
      <c r="F7988" s="591">
        <v>7979</v>
      </c>
      <c r="G7988" s="420">
        <f t="shared" ca="1" si="132"/>
        <v>1.415877523776822E-2</v>
      </c>
    </row>
    <row r="7989" spans="6:7" x14ac:dyDescent="0.2">
      <c r="F7989" s="591">
        <v>7980</v>
      </c>
      <c r="G7989" s="420">
        <f t="shared" ca="1" si="132"/>
        <v>0.11161206186620969</v>
      </c>
    </row>
    <row r="7990" spans="6:7" x14ac:dyDescent="0.2">
      <c r="F7990" s="591">
        <v>7981</v>
      </c>
      <c r="G7990" s="420">
        <f t="shared" ca="1" si="132"/>
        <v>8.651550535372364E-2</v>
      </c>
    </row>
    <row r="7991" spans="6:7" x14ac:dyDescent="0.2">
      <c r="F7991" s="591">
        <v>7982</v>
      </c>
      <c r="G7991" s="420">
        <f t="shared" ca="1" si="132"/>
        <v>6.9378263165307472E-2</v>
      </c>
    </row>
    <row r="7992" spans="6:7" x14ac:dyDescent="0.2">
      <c r="F7992" s="591">
        <v>7983</v>
      </c>
      <c r="G7992" s="420">
        <f t="shared" ca="1" si="132"/>
        <v>8.9671533650495919E-2</v>
      </c>
    </row>
    <row r="7993" spans="6:7" x14ac:dyDescent="0.2">
      <c r="F7993" s="591">
        <v>7984</v>
      </c>
      <c r="G7993" s="420">
        <f t="shared" ca="1" si="132"/>
        <v>5.2267045000449888E-2</v>
      </c>
    </row>
    <row r="7994" spans="6:7" x14ac:dyDescent="0.2">
      <c r="F7994" s="591">
        <v>7985</v>
      </c>
      <c r="G7994" s="420">
        <f t="shared" ca="1" si="132"/>
        <v>-1.2033111063614491E-2</v>
      </c>
    </row>
    <row r="7995" spans="6:7" x14ac:dyDescent="0.2">
      <c r="F7995" s="591">
        <v>7986</v>
      </c>
      <c r="G7995" s="420">
        <f t="shared" ca="1" si="132"/>
        <v>5.4110652384885535E-2</v>
      </c>
    </row>
    <row r="7996" spans="6:7" x14ac:dyDescent="0.2">
      <c r="F7996" s="591">
        <v>7987</v>
      </c>
      <c r="G7996" s="420">
        <f t="shared" ca="1" si="132"/>
        <v>4.8057984379850593E-2</v>
      </c>
    </row>
    <row r="7997" spans="6:7" x14ac:dyDescent="0.2">
      <c r="F7997" s="591">
        <v>7988</v>
      </c>
      <c r="G7997" s="420">
        <f t="shared" ca="1" si="132"/>
        <v>2.2595741405896562E-2</v>
      </c>
    </row>
    <row r="7998" spans="6:7" x14ac:dyDescent="0.2">
      <c r="F7998" s="591">
        <v>7989</v>
      </c>
      <c r="G7998" s="420">
        <f t="shared" ca="1" si="132"/>
        <v>8.5407215930218508E-2</v>
      </c>
    </row>
    <row r="7999" spans="6:7" x14ac:dyDescent="0.2">
      <c r="F7999" s="591">
        <v>7990</v>
      </c>
      <c r="G7999" s="420">
        <f t="shared" ca="1" si="132"/>
        <v>5.944966309350519E-2</v>
      </c>
    </row>
    <row r="8000" spans="6:7" x14ac:dyDescent="0.2">
      <c r="F8000" s="591">
        <v>7991</v>
      </c>
      <c r="G8000" s="420">
        <f t="shared" ca="1" si="132"/>
        <v>0.18816692327280621</v>
      </c>
    </row>
    <row r="8001" spans="6:7" x14ac:dyDescent="0.2">
      <c r="F8001" s="591">
        <v>7992</v>
      </c>
      <c r="G8001" s="420">
        <f t="shared" ca="1" si="132"/>
        <v>3.6594972247255449E-2</v>
      </c>
    </row>
    <row r="8002" spans="6:7" x14ac:dyDescent="0.2">
      <c r="F8002" s="591">
        <v>7993</v>
      </c>
      <c r="G8002" s="420">
        <f t="shared" ca="1" si="132"/>
        <v>4.2869762788421015E-2</v>
      </c>
    </row>
    <row r="8003" spans="6:7" x14ac:dyDescent="0.2">
      <c r="F8003" s="591">
        <v>7994</v>
      </c>
      <c r="G8003" s="420">
        <f t="shared" ca="1" si="132"/>
        <v>1.4125606078590723E-3</v>
      </c>
    </row>
    <row r="8004" spans="6:7" x14ac:dyDescent="0.2">
      <c r="F8004" s="591">
        <v>7995</v>
      </c>
      <c r="G8004" s="420">
        <f t="shared" ca="1" si="132"/>
        <v>8.002640405827606E-3</v>
      </c>
    </row>
    <row r="8005" spans="6:7" x14ac:dyDescent="0.2">
      <c r="F8005" s="591">
        <v>7996</v>
      </c>
      <c r="G8005" s="420">
        <f t="shared" ca="1" si="132"/>
        <v>-4.0442397217216361E-2</v>
      </c>
    </row>
    <row r="8006" spans="6:7" x14ac:dyDescent="0.2">
      <c r="F8006" s="591">
        <v>7997</v>
      </c>
      <c r="G8006" s="420">
        <f t="shared" ca="1" si="132"/>
        <v>4.9469180234871735E-2</v>
      </c>
    </row>
    <row r="8007" spans="6:7" x14ac:dyDescent="0.2">
      <c r="F8007" s="591">
        <v>7998</v>
      </c>
      <c r="G8007" s="420">
        <f t="shared" ca="1" si="132"/>
        <v>3.7045071094696631E-2</v>
      </c>
    </row>
    <row r="8008" spans="6:7" x14ac:dyDescent="0.2">
      <c r="F8008" s="591">
        <v>7999</v>
      </c>
      <c r="G8008" s="420">
        <f t="shared" ca="1" si="132"/>
        <v>-1.249712962502578E-2</v>
      </c>
    </row>
    <row r="8009" spans="6:7" x14ac:dyDescent="0.2">
      <c r="F8009" s="591">
        <v>8000</v>
      </c>
      <c r="G8009" s="420">
        <f t="shared" ca="1" si="132"/>
        <v>2.9581451632353945E-2</v>
      </c>
    </row>
    <row r="8010" spans="6:7" x14ac:dyDescent="0.2">
      <c r="F8010" s="591">
        <v>8001</v>
      </c>
      <c r="G8010" s="420">
        <f t="shared" ca="1" si="132"/>
        <v>7.6731517283461295E-2</v>
      </c>
    </row>
    <row r="8011" spans="6:7" x14ac:dyDescent="0.2">
      <c r="F8011" s="591">
        <v>8002</v>
      </c>
      <c r="G8011" s="420">
        <f t="shared" ref="G8011:G8074" ca="1" si="133">_xlfn.NORM.INV(RAND(), $M$11,$M$12)</f>
        <v>6.8455818517207417E-2</v>
      </c>
    </row>
    <row r="8012" spans="6:7" x14ac:dyDescent="0.2">
      <c r="F8012" s="591">
        <v>8003</v>
      </c>
      <c r="G8012" s="420">
        <f t="shared" ca="1" si="133"/>
        <v>2.1215957444561326E-2</v>
      </c>
    </row>
    <row r="8013" spans="6:7" x14ac:dyDescent="0.2">
      <c r="F8013" s="591">
        <v>8004</v>
      </c>
      <c r="G8013" s="420">
        <f t="shared" ca="1" si="133"/>
        <v>-2.3933590915865537E-2</v>
      </c>
    </row>
    <row r="8014" spans="6:7" x14ac:dyDescent="0.2">
      <c r="F8014" s="591">
        <v>8005</v>
      </c>
      <c r="G8014" s="420">
        <f t="shared" ca="1" si="133"/>
        <v>0.11152557062372559</v>
      </c>
    </row>
    <row r="8015" spans="6:7" x14ac:dyDescent="0.2">
      <c r="F8015" s="591">
        <v>8006</v>
      </c>
      <c r="G8015" s="420">
        <f t="shared" ca="1" si="133"/>
        <v>1.2119519768521348E-2</v>
      </c>
    </row>
    <row r="8016" spans="6:7" x14ac:dyDescent="0.2">
      <c r="F8016" s="591">
        <v>8007</v>
      </c>
      <c r="G8016" s="420">
        <f t="shared" ca="1" si="133"/>
        <v>0.10747359735746859</v>
      </c>
    </row>
    <row r="8017" spans="6:7" x14ac:dyDescent="0.2">
      <c r="F8017" s="591">
        <v>8008</v>
      </c>
      <c r="G8017" s="420">
        <f t="shared" ca="1" si="133"/>
        <v>1.4252068495222425E-3</v>
      </c>
    </row>
    <row r="8018" spans="6:7" x14ac:dyDescent="0.2">
      <c r="F8018" s="591">
        <v>8009</v>
      </c>
      <c r="G8018" s="420">
        <f t="shared" ca="1" si="133"/>
        <v>6.9659501864080958E-2</v>
      </c>
    </row>
    <row r="8019" spans="6:7" x14ac:dyDescent="0.2">
      <c r="F8019" s="591">
        <v>8010</v>
      </c>
      <c r="G8019" s="420">
        <f t="shared" ca="1" si="133"/>
        <v>-1.2923685312124913E-2</v>
      </c>
    </row>
    <row r="8020" spans="6:7" x14ac:dyDescent="0.2">
      <c r="F8020" s="591">
        <v>8011</v>
      </c>
      <c r="G8020" s="420">
        <f t="shared" ca="1" si="133"/>
        <v>-0.10166384633267071</v>
      </c>
    </row>
    <row r="8021" spans="6:7" x14ac:dyDescent="0.2">
      <c r="F8021" s="591">
        <v>8012</v>
      </c>
      <c r="G8021" s="420">
        <f t="shared" ca="1" si="133"/>
        <v>4.5449731731464493E-4</v>
      </c>
    </row>
    <row r="8022" spans="6:7" x14ac:dyDescent="0.2">
      <c r="F8022" s="591">
        <v>8013</v>
      </c>
      <c r="G8022" s="420">
        <f t="shared" ca="1" si="133"/>
        <v>5.1784654027235519E-2</v>
      </c>
    </row>
    <row r="8023" spans="6:7" x14ac:dyDescent="0.2">
      <c r="F8023" s="591">
        <v>8014</v>
      </c>
      <c r="G8023" s="420">
        <f t="shared" ca="1" si="133"/>
        <v>4.7853449134062115E-2</v>
      </c>
    </row>
    <row r="8024" spans="6:7" x14ac:dyDescent="0.2">
      <c r="F8024" s="591">
        <v>8015</v>
      </c>
      <c r="G8024" s="420">
        <f t="shared" ca="1" si="133"/>
        <v>3.4037759772105804E-2</v>
      </c>
    </row>
    <row r="8025" spans="6:7" x14ac:dyDescent="0.2">
      <c r="F8025" s="591">
        <v>8016</v>
      </c>
      <c r="G8025" s="420">
        <f t="shared" ca="1" si="133"/>
        <v>-1.2474471586305238E-2</v>
      </c>
    </row>
    <row r="8026" spans="6:7" x14ac:dyDescent="0.2">
      <c r="F8026" s="591">
        <v>8017</v>
      </c>
      <c r="G8026" s="420">
        <f t="shared" ca="1" si="133"/>
        <v>5.1399257000748086E-2</v>
      </c>
    </row>
    <row r="8027" spans="6:7" x14ac:dyDescent="0.2">
      <c r="F8027" s="591">
        <v>8018</v>
      </c>
      <c r="G8027" s="420">
        <f t="shared" ca="1" si="133"/>
        <v>6.7171963698106782E-2</v>
      </c>
    </row>
    <row r="8028" spans="6:7" x14ac:dyDescent="0.2">
      <c r="F8028" s="591">
        <v>8019</v>
      </c>
      <c r="G8028" s="420">
        <f t="shared" ca="1" si="133"/>
        <v>-9.367379599013384E-2</v>
      </c>
    </row>
    <row r="8029" spans="6:7" x14ac:dyDescent="0.2">
      <c r="F8029" s="591">
        <v>8020</v>
      </c>
      <c r="G8029" s="420">
        <f t="shared" ca="1" si="133"/>
        <v>-8.2310360705024663E-2</v>
      </c>
    </row>
    <row r="8030" spans="6:7" x14ac:dyDescent="0.2">
      <c r="F8030" s="591">
        <v>8021</v>
      </c>
      <c r="G8030" s="420">
        <f t="shared" ca="1" si="133"/>
        <v>-3.6749702956960173E-2</v>
      </c>
    </row>
    <row r="8031" spans="6:7" x14ac:dyDescent="0.2">
      <c r="F8031" s="591">
        <v>8022</v>
      </c>
      <c r="G8031" s="420">
        <f t="shared" ca="1" si="133"/>
        <v>-0.18727457859133068</v>
      </c>
    </row>
    <row r="8032" spans="6:7" x14ac:dyDescent="0.2">
      <c r="F8032" s="591">
        <v>8023</v>
      </c>
      <c r="G8032" s="420">
        <f t="shared" ca="1" si="133"/>
        <v>-6.5688050596288239E-2</v>
      </c>
    </row>
    <row r="8033" spans="6:7" x14ac:dyDescent="0.2">
      <c r="F8033" s="591">
        <v>8024</v>
      </c>
      <c r="G8033" s="420">
        <f t="shared" ca="1" si="133"/>
        <v>-3.0374954002713481E-2</v>
      </c>
    </row>
    <row r="8034" spans="6:7" x14ac:dyDescent="0.2">
      <c r="F8034" s="591">
        <v>8025</v>
      </c>
      <c r="G8034" s="420">
        <f t="shared" ca="1" si="133"/>
        <v>2.14363571142447E-2</v>
      </c>
    </row>
    <row r="8035" spans="6:7" x14ac:dyDescent="0.2">
      <c r="F8035" s="591">
        <v>8026</v>
      </c>
      <c r="G8035" s="420">
        <f t="shared" ca="1" si="133"/>
        <v>1.2105117315231912E-2</v>
      </c>
    </row>
    <row r="8036" spans="6:7" x14ac:dyDescent="0.2">
      <c r="F8036" s="591">
        <v>8027</v>
      </c>
      <c r="G8036" s="420">
        <f t="shared" ca="1" si="133"/>
        <v>1.256949012919511E-2</v>
      </c>
    </row>
    <row r="8037" spans="6:7" x14ac:dyDescent="0.2">
      <c r="F8037" s="591">
        <v>8028</v>
      </c>
      <c r="G8037" s="420">
        <f t="shared" ca="1" si="133"/>
        <v>-5.8302690828975337E-2</v>
      </c>
    </row>
    <row r="8038" spans="6:7" x14ac:dyDescent="0.2">
      <c r="F8038" s="591">
        <v>8029</v>
      </c>
      <c r="G8038" s="420">
        <f t="shared" ca="1" si="133"/>
        <v>-1.1666579392810284E-2</v>
      </c>
    </row>
    <row r="8039" spans="6:7" x14ac:dyDescent="0.2">
      <c r="F8039" s="591">
        <v>8030</v>
      </c>
      <c r="G8039" s="420">
        <f t="shared" ca="1" si="133"/>
        <v>2.2845257801724105E-2</v>
      </c>
    </row>
    <row r="8040" spans="6:7" x14ac:dyDescent="0.2">
      <c r="F8040" s="591">
        <v>8031</v>
      </c>
      <c r="G8040" s="420">
        <f t="shared" ca="1" si="133"/>
        <v>7.7708455451080446E-2</v>
      </c>
    </row>
    <row r="8041" spans="6:7" x14ac:dyDescent="0.2">
      <c r="F8041" s="591">
        <v>8032</v>
      </c>
      <c r="G8041" s="420">
        <f t="shared" ca="1" si="133"/>
        <v>6.231493293506013E-2</v>
      </c>
    </row>
    <row r="8042" spans="6:7" x14ac:dyDescent="0.2">
      <c r="F8042" s="591">
        <v>8033</v>
      </c>
      <c r="G8042" s="420">
        <f t="shared" ca="1" si="133"/>
        <v>-1.8659999390117553E-2</v>
      </c>
    </row>
    <row r="8043" spans="6:7" x14ac:dyDescent="0.2">
      <c r="F8043" s="591">
        <v>8034</v>
      </c>
      <c r="G8043" s="420">
        <f t="shared" ca="1" si="133"/>
        <v>-2.2708846022305215E-2</v>
      </c>
    </row>
    <row r="8044" spans="6:7" x14ac:dyDescent="0.2">
      <c r="F8044" s="591">
        <v>8035</v>
      </c>
      <c r="G8044" s="420">
        <f t="shared" ca="1" si="133"/>
        <v>0.18113732632803997</v>
      </c>
    </row>
    <row r="8045" spans="6:7" x14ac:dyDescent="0.2">
      <c r="F8045" s="591">
        <v>8036</v>
      </c>
      <c r="G8045" s="420">
        <f t="shared" ca="1" si="133"/>
        <v>-4.9847765486673551E-2</v>
      </c>
    </row>
    <row r="8046" spans="6:7" x14ac:dyDescent="0.2">
      <c r="F8046" s="591">
        <v>8037</v>
      </c>
      <c r="G8046" s="420">
        <f t="shared" ca="1" si="133"/>
        <v>-1.8814536299707196E-2</v>
      </c>
    </row>
    <row r="8047" spans="6:7" x14ac:dyDescent="0.2">
      <c r="F8047" s="591">
        <v>8038</v>
      </c>
      <c r="G8047" s="420">
        <f t="shared" ca="1" si="133"/>
        <v>4.9999510407356049E-2</v>
      </c>
    </row>
    <row r="8048" spans="6:7" x14ac:dyDescent="0.2">
      <c r="F8048" s="591">
        <v>8039</v>
      </c>
      <c r="G8048" s="420">
        <f t="shared" ca="1" si="133"/>
        <v>8.5144464664345554E-2</v>
      </c>
    </row>
    <row r="8049" spans="6:7" x14ac:dyDescent="0.2">
      <c r="F8049" s="591">
        <v>8040</v>
      </c>
      <c r="G8049" s="420">
        <f t="shared" ca="1" si="133"/>
        <v>-1.9268173995526668E-2</v>
      </c>
    </row>
    <row r="8050" spans="6:7" x14ac:dyDescent="0.2">
      <c r="F8050" s="591">
        <v>8041</v>
      </c>
      <c r="G8050" s="420">
        <f t="shared" ca="1" si="133"/>
        <v>9.5367745776261753E-2</v>
      </c>
    </row>
    <row r="8051" spans="6:7" x14ac:dyDescent="0.2">
      <c r="F8051" s="591">
        <v>8042</v>
      </c>
      <c r="G8051" s="420">
        <f t="shared" ca="1" si="133"/>
        <v>-0.11144154596661911</v>
      </c>
    </row>
    <row r="8052" spans="6:7" x14ac:dyDescent="0.2">
      <c r="F8052" s="591">
        <v>8043</v>
      </c>
      <c r="G8052" s="420">
        <f t="shared" ca="1" si="133"/>
        <v>2.3846772130373173E-2</v>
      </c>
    </row>
    <row r="8053" spans="6:7" x14ac:dyDescent="0.2">
      <c r="F8053" s="591">
        <v>8044</v>
      </c>
      <c r="G8053" s="420">
        <f t="shared" ca="1" si="133"/>
        <v>-8.4967334584281455E-3</v>
      </c>
    </row>
    <row r="8054" spans="6:7" x14ac:dyDescent="0.2">
      <c r="F8054" s="591">
        <v>8045</v>
      </c>
      <c r="G8054" s="420">
        <f t="shared" ca="1" si="133"/>
        <v>-0.17961912245340284</v>
      </c>
    </row>
    <row r="8055" spans="6:7" x14ac:dyDescent="0.2">
      <c r="F8055" s="591">
        <v>8046</v>
      </c>
      <c r="G8055" s="420">
        <f t="shared" ca="1" si="133"/>
        <v>0.10301595432504498</v>
      </c>
    </row>
    <row r="8056" spans="6:7" x14ac:dyDescent="0.2">
      <c r="F8056" s="591">
        <v>8047</v>
      </c>
      <c r="G8056" s="420">
        <f t="shared" ca="1" si="133"/>
        <v>-4.6258425869271813E-2</v>
      </c>
    </row>
    <row r="8057" spans="6:7" x14ac:dyDescent="0.2">
      <c r="F8057" s="591">
        <v>8048</v>
      </c>
      <c r="G8057" s="420">
        <f t="shared" ca="1" si="133"/>
        <v>0.20206096886340241</v>
      </c>
    </row>
    <row r="8058" spans="6:7" x14ac:dyDescent="0.2">
      <c r="F8058" s="591">
        <v>8049</v>
      </c>
      <c r="G8058" s="420">
        <f t="shared" ca="1" si="133"/>
        <v>-1.9596201684849945E-2</v>
      </c>
    </row>
    <row r="8059" spans="6:7" x14ac:dyDescent="0.2">
      <c r="F8059" s="591">
        <v>8050</v>
      </c>
      <c r="G8059" s="420">
        <f t="shared" ca="1" si="133"/>
        <v>6.994777122711103E-2</v>
      </c>
    </row>
    <row r="8060" spans="6:7" x14ac:dyDescent="0.2">
      <c r="F8060" s="591">
        <v>8051</v>
      </c>
      <c r="G8060" s="420">
        <f t="shared" ca="1" si="133"/>
        <v>1.4124263994810166E-2</v>
      </c>
    </row>
    <row r="8061" spans="6:7" x14ac:dyDescent="0.2">
      <c r="F8061" s="591">
        <v>8052</v>
      </c>
      <c r="G8061" s="420">
        <f t="shared" ca="1" si="133"/>
        <v>3.5313039494433401E-2</v>
      </c>
    </row>
    <row r="8062" spans="6:7" x14ac:dyDescent="0.2">
      <c r="F8062" s="591">
        <v>8053</v>
      </c>
      <c r="G8062" s="420">
        <f t="shared" ca="1" si="133"/>
        <v>1.1547365555506662E-3</v>
      </c>
    </row>
    <row r="8063" spans="6:7" x14ac:dyDescent="0.2">
      <c r="F8063" s="591">
        <v>8054</v>
      </c>
      <c r="G8063" s="420">
        <f t="shared" ca="1" si="133"/>
        <v>6.4237739966101909E-3</v>
      </c>
    </row>
    <row r="8064" spans="6:7" x14ac:dyDescent="0.2">
      <c r="F8064" s="591">
        <v>8055</v>
      </c>
      <c r="G8064" s="420">
        <f t="shared" ca="1" si="133"/>
        <v>-3.2087143283815386E-3</v>
      </c>
    </row>
    <row r="8065" spans="6:7" x14ac:dyDescent="0.2">
      <c r="F8065" s="591">
        <v>8056</v>
      </c>
      <c r="G8065" s="420">
        <f t="shared" ca="1" si="133"/>
        <v>9.7148990489031896E-3</v>
      </c>
    </row>
    <row r="8066" spans="6:7" x14ac:dyDescent="0.2">
      <c r="F8066" s="591">
        <v>8057</v>
      </c>
      <c r="G8066" s="420">
        <f t="shared" ca="1" si="133"/>
        <v>3.7102084774401703E-2</v>
      </c>
    </row>
    <row r="8067" spans="6:7" x14ac:dyDescent="0.2">
      <c r="F8067" s="591">
        <v>8058</v>
      </c>
      <c r="G8067" s="420">
        <f t="shared" ca="1" si="133"/>
        <v>-5.4859051027877609E-2</v>
      </c>
    </row>
    <row r="8068" spans="6:7" x14ac:dyDescent="0.2">
      <c r="F8068" s="591">
        <v>8059</v>
      </c>
      <c r="G8068" s="420">
        <f t="shared" ca="1" si="133"/>
        <v>-6.8088369977254218E-2</v>
      </c>
    </row>
    <row r="8069" spans="6:7" x14ac:dyDescent="0.2">
      <c r="F8069" s="591">
        <v>8060</v>
      </c>
      <c r="G8069" s="420">
        <f t="shared" ca="1" si="133"/>
        <v>-5.9730167265127102E-2</v>
      </c>
    </row>
    <row r="8070" spans="6:7" x14ac:dyDescent="0.2">
      <c r="F8070" s="591">
        <v>8061</v>
      </c>
      <c r="G8070" s="420">
        <f t="shared" ca="1" si="133"/>
        <v>3.5628439258663665E-2</v>
      </c>
    </row>
    <row r="8071" spans="6:7" x14ac:dyDescent="0.2">
      <c r="F8071" s="591">
        <v>8062</v>
      </c>
      <c r="G8071" s="420">
        <f t="shared" ca="1" si="133"/>
        <v>1.1944387261132285E-2</v>
      </c>
    </row>
    <row r="8072" spans="6:7" x14ac:dyDescent="0.2">
      <c r="F8072" s="591">
        <v>8063</v>
      </c>
      <c r="G8072" s="420">
        <f t="shared" ca="1" si="133"/>
        <v>-6.7642097094708295E-2</v>
      </c>
    </row>
    <row r="8073" spans="6:7" x14ac:dyDescent="0.2">
      <c r="F8073" s="591">
        <v>8064</v>
      </c>
      <c r="G8073" s="420">
        <f t="shared" ca="1" si="133"/>
        <v>9.4836297502286053E-4</v>
      </c>
    </row>
    <row r="8074" spans="6:7" x14ac:dyDescent="0.2">
      <c r="F8074" s="591">
        <v>8065</v>
      </c>
      <c r="G8074" s="420">
        <f t="shared" ca="1" si="133"/>
        <v>0.15837044703551004</v>
      </c>
    </row>
    <row r="8075" spans="6:7" x14ac:dyDescent="0.2">
      <c r="F8075" s="591">
        <v>8066</v>
      </c>
      <c r="G8075" s="420">
        <f t="shared" ref="G8075:G8138" ca="1" si="134">_xlfn.NORM.INV(RAND(), $M$11,$M$12)</f>
        <v>0.24093689999613557</v>
      </c>
    </row>
    <row r="8076" spans="6:7" x14ac:dyDescent="0.2">
      <c r="F8076" s="591">
        <v>8067</v>
      </c>
      <c r="G8076" s="420">
        <f t="shared" ca="1" si="134"/>
        <v>-1.7300398253715286E-2</v>
      </c>
    </row>
    <row r="8077" spans="6:7" x14ac:dyDescent="0.2">
      <c r="F8077" s="591">
        <v>8068</v>
      </c>
      <c r="G8077" s="420">
        <f t="shared" ca="1" si="134"/>
        <v>0.13212589686668141</v>
      </c>
    </row>
    <row r="8078" spans="6:7" x14ac:dyDescent="0.2">
      <c r="F8078" s="591">
        <v>8069</v>
      </c>
      <c r="G8078" s="420">
        <f t="shared" ca="1" si="134"/>
        <v>1.1743022394387711E-2</v>
      </c>
    </row>
    <row r="8079" spans="6:7" x14ac:dyDescent="0.2">
      <c r="F8079" s="591">
        <v>8070</v>
      </c>
      <c r="G8079" s="420">
        <f t="shared" ca="1" si="134"/>
        <v>4.02568218949481E-2</v>
      </c>
    </row>
    <row r="8080" spans="6:7" x14ac:dyDescent="0.2">
      <c r="F8080" s="591">
        <v>8071</v>
      </c>
      <c r="G8080" s="420">
        <f t="shared" ca="1" si="134"/>
        <v>-7.8572675303395609E-2</v>
      </c>
    </row>
    <row r="8081" spans="6:7" x14ac:dyDescent="0.2">
      <c r="F8081" s="591">
        <v>8072</v>
      </c>
      <c r="G8081" s="420">
        <f t="shared" ca="1" si="134"/>
        <v>-5.1327103854784187E-2</v>
      </c>
    </row>
    <row r="8082" spans="6:7" x14ac:dyDescent="0.2">
      <c r="F8082" s="591">
        <v>8073</v>
      </c>
      <c r="G8082" s="420">
        <f t="shared" ca="1" si="134"/>
        <v>-4.3549591873629806E-2</v>
      </c>
    </row>
    <row r="8083" spans="6:7" x14ac:dyDescent="0.2">
      <c r="F8083" s="591">
        <v>8074</v>
      </c>
      <c r="G8083" s="420">
        <f t="shared" ca="1" si="134"/>
        <v>3.376549898454307E-2</v>
      </c>
    </row>
    <row r="8084" spans="6:7" x14ac:dyDescent="0.2">
      <c r="F8084" s="591">
        <v>8075</v>
      </c>
      <c r="G8084" s="420">
        <f t="shared" ca="1" si="134"/>
        <v>1.2551786856600723E-2</v>
      </c>
    </row>
    <row r="8085" spans="6:7" x14ac:dyDescent="0.2">
      <c r="F8085" s="591">
        <v>8076</v>
      </c>
      <c r="G8085" s="420">
        <f t="shared" ca="1" si="134"/>
        <v>1.3640617460255413E-2</v>
      </c>
    </row>
    <row r="8086" spans="6:7" x14ac:dyDescent="0.2">
      <c r="F8086" s="591">
        <v>8077</v>
      </c>
      <c r="G8086" s="420">
        <f t="shared" ca="1" si="134"/>
        <v>-1.6589780215918504E-2</v>
      </c>
    </row>
    <row r="8087" spans="6:7" x14ac:dyDescent="0.2">
      <c r="F8087" s="591">
        <v>8078</v>
      </c>
      <c r="G8087" s="420">
        <f t="shared" ca="1" si="134"/>
        <v>0.18602558765884117</v>
      </c>
    </row>
    <row r="8088" spans="6:7" x14ac:dyDescent="0.2">
      <c r="F8088" s="591">
        <v>8079</v>
      </c>
      <c r="G8088" s="420">
        <f t="shared" ca="1" si="134"/>
        <v>2.6043398817811016E-2</v>
      </c>
    </row>
    <row r="8089" spans="6:7" x14ac:dyDescent="0.2">
      <c r="F8089" s="591">
        <v>8080</v>
      </c>
      <c r="G8089" s="420">
        <f t="shared" ca="1" si="134"/>
        <v>1.9412138330040074E-2</v>
      </c>
    </row>
    <row r="8090" spans="6:7" x14ac:dyDescent="0.2">
      <c r="F8090" s="591">
        <v>8081</v>
      </c>
      <c r="G8090" s="420">
        <f t="shared" ca="1" si="134"/>
        <v>8.0098578986975158E-2</v>
      </c>
    </row>
    <row r="8091" spans="6:7" x14ac:dyDescent="0.2">
      <c r="F8091" s="591">
        <v>8082</v>
      </c>
      <c r="G8091" s="420">
        <f t="shared" ca="1" si="134"/>
        <v>-5.8895377754556097E-2</v>
      </c>
    </row>
    <row r="8092" spans="6:7" x14ac:dyDescent="0.2">
      <c r="F8092" s="591">
        <v>8083</v>
      </c>
      <c r="G8092" s="420">
        <f t="shared" ca="1" si="134"/>
        <v>1.4622627124910827E-2</v>
      </c>
    </row>
    <row r="8093" spans="6:7" x14ac:dyDescent="0.2">
      <c r="F8093" s="591">
        <v>8084</v>
      </c>
      <c r="G8093" s="420">
        <f t="shared" ca="1" si="134"/>
        <v>-0.17103800380577733</v>
      </c>
    </row>
    <row r="8094" spans="6:7" x14ac:dyDescent="0.2">
      <c r="F8094" s="591">
        <v>8085</v>
      </c>
      <c r="G8094" s="420">
        <f t="shared" ca="1" si="134"/>
        <v>-2.9885664638788466E-3</v>
      </c>
    </row>
    <row r="8095" spans="6:7" x14ac:dyDescent="0.2">
      <c r="F8095" s="591">
        <v>8086</v>
      </c>
      <c r="G8095" s="420">
        <f t="shared" ca="1" si="134"/>
        <v>1.9938007260000751E-2</v>
      </c>
    </row>
    <row r="8096" spans="6:7" x14ac:dyDescent="0.2">
      <c r="F8096" s="591">
        <v>8087</v>
      </c>
      <c r="G8096" s="420">
        <f t="shared" ca="1" si="134"/>
        <v>0.13164764050155459</v>
      </c>
    </row>
    <row r="8097" spans="6:7" x14ac:dyDescent="0.2">
      <c r="F8097" s="591">
        <v>8088</v>
      </c>
      <c r="G8097" s="420">
        <f t="shared" ca="1" si="134"/>
        <v>4.46855748512274E-2</v>
      </c>
    </row>
    <row r="8098" spans="6:7" x14ac:dyDescent="0.2">
      <c r="F8098" s="591">
        <v>8089</v>
      </c>
      <c r="G8098" s="420">
        <f t="shared" ca="1" si="134"/>
        <v>8.0235787840059226E-3</v>
      </c>
    </row>
    <row r="8099" spans="6:7" x14ac:dyDescent="0.2">
      <c r="F8099" s="591">
        <v>8090</v>
      </c>
      <c r="G8099" s="420">
        <f t="shared" ca="1" si="134"/>
        <v>8.0290565630235761E-2</v>
      </c>
    </row>
    <row r="8100" spans="6:7" x14ac:dyDescent="0.2">
      <c r="F8100" s="591">
        <v>8091</v>
      </c>
      <c r="G8100" s="420">
        <f t="shared" ca="1" si="134"/>
        <v>-8.1130832879801676E-4</v>
      </c>
    </row>
    <row r="8101" spans="6:7" x14ac:dyDescent="0.2">
      <c r="F8101" s="591">
        <v>8092</v>
      </c>
      <c r="G8101" s="420">
        <f t="shared" ca="1" si="134"/>
        <v>9.3906463746364743E-2</v>
      </c>
    </row>
    <row r="8102" spans="6:7" x14ac:dyDescent="0.2">
      <c r="F8102" s="591">
        <v>8093</v>
      </c>
      <c r="G8102" s="420">
        <f t="shared" ca="1" si="134"/>
        <v>-3.7550619836768055E-3</v>
      </c>
    </row>
    <row r="8103" spans="6:7" x14ac:dyDescent="0.2">
      <c r="F8103" s="591">
        <v>8094</v>
      </c>
      <c r="G8103" s="420">
        <f t="shared" ca="1" si="134"/>
        <v>-8.1545066592668192E-2</v>
      </c>
    </row>
    <row r="8104" spans="6:7" x14ac:dyDescent="0.2">
      <c r="F8104" s="591">
        <v>8095</v>
      </c>
      <c r="G8104" s="420">
        <f t="shared" ca="1" si="134"/>
        <v>1.0038286171690572E-4</v>
      </c>
    </row>
    <row r="8105" spans="6:7" x14ac:dyDescent="0.2">
      <c r="F8105" s="591">
        <v>8096</v>
      </c>
      <c r="G8105" s="420">
        <f t="shared" ca="1" si="134"/>
        <v>-0.16760141689248353</v>
      </c>
    </row>
    <row r="8106" spans="6:7" x14ac:dyDescent="0.2">
      <c r="F8106" s="591">
        <v>8097</v>
      </c>
      <c r="G8106" s="420">
        <f t="shared" ca="1" si="134"/>
        <v>-2.4613584854429497E-2</v>
      </c>
    </row>
    <row r="8107" spans="6:7" x14ac:dyDescent="0.2">
      <c r="F8107" s="591">
        <v>8098</v>
      </c>
      <c r="G8107" s="420">
        <f t="shared" ca="1" si="134"/>
        <v>-3.4175833441397185E-2</v>
      </c>
    </row>
    <row r="8108" spans="6:7" x14ac:dyDescent="0.2">
      <c r="F8108" s="591">
        <v>8099</v>
      </c>
      <c r="G8108" s="420">
        <f t="shared" ca="1" si="134"/>
        <v>-6.1042393891468524E-2</v>
      </c>
    </row>
    <row r="8109" spans="6:7" x14ac:dyDescent="0.2">
      <c r="F8109" s="591">
        <v>8100</v>
      </c>
      <c r="G8109" s="420">
        <f t="shared" ca="1" si="134"/>
        <v>-4.9347607157488357E-2</v>
      </c>
    </row>
    <row r="8110" spans="6:7" x14ac:dyDescent="0.2">
      <c r="F8110" s="591">
        <v>8101</v>
      </c>
      <c r="G8110" s="420">
        <f t="shared" ca="1" si="134"/>
        <v>9.2689539269860205E-2</v>
      </c>
    </row>
    <row r="8111" spans="6:7" x14ac:dyDescent="0.2">
      <c r="F8111" s="591">
        <v>8102</v>
      </c>
      <c r="G8111" s="420">
        <f t="shared" ca="1" si="134"/>
        <v>3.6257967400165972E-2</v>
      </c>
    </row>
    <row r="8112" spans="6:7" x14ac:dyDescent="0.2">
      <c r="F8112" s="591">
        <v>8103</v>
      </c>
      <c r="G8112" s="420">
        <f t="shared" ca="1" si="134"/>
        <v>-6.5931878382763487E-2</v>
      </c>
    </row>
    <row r="8113" spans="6:7" x14ac:dyDescent="0.2">
      <c r="F8113" s="591">
        <v>8104</v>
      </c>
      <c r="G8113" s="420">
        <f t="shared" ca="1" si="134"/>
        <v>-1.1046204015919894E-3</v>
      </c>
    </row>
    <row r="8114" spans="6:7" x14ac:dyDescent="0.2">
      <c r="F8114" s="591">
        <v>8105</v>
      </c>
      <c r="G8114" s="420">
        <f t="shared" ca="1" si="134"/>
        <v>-4.2346352775394364E-5</v>
      </c>
    </row>
    <row r="8115" spans="6:7" x14ac:dyDescent="0.2">
      <c r="F8115" s="591">
        <v>8106</v>
      </c>
      <c r="G8115" s="420">
        <f t="shared" ca="1" si="134"/>
        <v>-1.7056786047218109E-2</v>
      </c>
    </row>
    <row r="8116" spans="6:7" x14ac:dyDescent="0.2">
      <c r="F8116" s="591">
        <v>8107</v>
      </c>
      <c r="G8116" s="420">
        <f t="shared" ca="1" si="134"/>
        <v>2.8842284965527629E-2</v>
      </c>
    </row>
    <row r="8117" spans="6:7" x14ac:dyDescent="0.2">
      <c r="F8117" s="591">
        <v>8108</v>
      </c>
      <c r="G8117" s="420">
        <f t="shared" ca="1" si="134"/>
        <v>2.3956515055181198E-2</v>
      </c>
    </row>
    <row r="8118" spans="6:7" x14ac:dyDescent="0.2">
      <c r="F8118" s="591">
        <v>8109</v>
      </c>
      <c r="G8118" s="420">
        <f t="shared" ca="1" si="134"/>
        <v>3.3829959297950067E-2</v>
      </c>
    </row>
    <row r="8119" spans="6:7" x14ac:dyDescent="0.2">
      <c r="F8119" s="591">
        <v>8110</v>
      </c>
      <c r="G8119" s="420">
        <f t="shared" ca="1" si="134"/>
        <v>-3.8128900814220643E-2</v>
      </c>
    </row>
    <row r="8120" spans="6:7" x14ac:dyDescent="0.2">
      <c r="F8120" s="591">
        <v>8111</v>
      </c>
      <c r="G8120" s="420">
        <f t="shared" ca="1" si="134"/>
        <v>0.10928385911595496</v>
      </c>
    </row>
    <row r="8121" spans="6:7" x14ac:dyDescent="0.2">
      <c r="F8121" s="591">
        <v>8112</v>
      </c>
      <c r="G8121" s="420">
        <f t="shared" ca="1" si="134"/>
        <v>-7.8598285617653849E-2</v>
      </c>
    </row>
    <row r="8122" spans="6:7" x14ac:dyDescent="0.2">
      <c r="F8122" s="591">
        <v>8113</v>
      </c>
      <c r="G8122" s="420">
        <f t="shared" ca="1" si="134"/>
        <v>3.3188957509098047E-2</v>
      </c>
    </row>
    <row r="8123" spans="6:7" x14ac:dyDescent="0.2">
      <c r="F8123" s="591">
        <v>8114</v>
      </c>
      <c r="G8123" s="420">
        <f t="shared" ca="1" si="134"/>
        <v>0.15839068883416613</v>
      </c>
    </row>
    <row r="8124" spans="6:7" x14ac:dyDescent="0.2">
      <c r="F8124" s="591">
        <v>8115</v>
      </c>
      <c r="G8124" s="420">
        <f t="shared" ca="1" si="134"/>
        <v>-0.18825288451847366</v>
      </c>
    </row>
    <row r="8125" spans="6:7" x14ac:dyDescent="0.2">
      <c r="F8125" s="591">
        <v>8116</v>
      </c>
      <c r="G8125" s="420">
        <f t="shared" ca="1" si="134"/>
        <v>-3.6781651105406418E-2</v>
      </c>
    </row>
    <row r="8126" spans="6:7" x14ac:dyDescent="0.2">
      <c r="F8126" s="591">
        <v>8117</v>
      </c>
      <c r="G8126" s="420">
        <f t="shared" ca="1" si="134"/>
        <v>3.49003632649387E-2</v>
      </c>
    </row>
    <row r="8127" spans="6:7" x14ac:dyDescent="0.2">
      <c r="F8127" s="591">
        <v>8118</v>
      </c>
      <c r="G8127" s="420">
        <f t="shared" ca="1" si="134"/>
        <v>-1.8223904370986921E-2</v>
      </c>
    </row>
    <row r="8128" spans="6:7" x14ac:dyDescent="0.2">
      <c r="F8128" s="591">
        <v>8119</v>
      </c>
      <c r="G8128" s="420">
        <f t="shared" ca="1" si="134"/>
        <v>0.11802755983023439</v>
      </c>
    </row>
    <row r="8129" spans="6:7" x14ac:dyDescent="0.2">
      <c r="F8129" s="591">
        <v>8120</v>
      </c>
      <c r="G8129" s="420">
        <f t="shared" ca="1" si="134"/>
        <v>-0.11346126770535775</v>
      </c>
    </row>
    <row r="8130" spans="6:7" x14ac:dyDescent="0.2">
      <c r="F8130" s="591">
        <v>8121</v>
      </c>
      <c r="G8130" s="420">
        <f t="shared" ca="1" si="134"/>
        <v>-2.1077588884610355E-2</v>
      </c>
    </row>
    <row r="8131" spans="6:7" x14ac:dyDescent="0.2">
      <c r="F8131" s="591">
        <v>8122</v>
      </c>
      <c r="G8131" s="420">
        <f t="shared" ca="1" si="134"/>
        <v>5.148940392415112E-2</v>
      </c>
    </row>
    <row r="8132" spans="6:7" x14ac:dyDescent="0.2">
      <c r="F8132" s="591">
        <v>8123</v>
      </c>
      <c r="G8132" s="420">
        <f t="shared" ca="1" si="134"/>
        <v>4.6903498977121649E-2</v>
      </c>
    </row>
    <row r="8133" spans="6:7" x14ac:dyDescent="0.2">
      <c r="F8133" s="591">
        <v>8124</v>
      </c>
      <c r="G8133" s="420">
        <f t="shared" ca="1" si="134"/>
        <v>9.0085492734344505E-2</v>
      </c>
    </row>
    <row r="8134" spans="6:7" x14ac:dyDescent="0.2">
      <c r="F8134" s="591">
        <v>8125</v>
      </c>
      <c r="G8134" s="420">
        <f t="shared" ca="1" si="134"/>
        <v>5.8291980078179595E-2</v>
      </c>
    </row>
    <row r="8135" spans="6:7" x14ac:dyDescent="0.2">
      <c r="F8135" s="591">
        <v>8126</v>
      </c>
      <c r="G8135" s="420">
        <f t="shared" ca="1" si="134"/>
        <v>-3.9866517479915375E-2</v>
      </c>
    </row>
    <row r="8136" spans="6:7" x14ac:dyDescent="0.2">
      <c r="F8136" s="591">
        <v>8127</v>
      </c>
      <c r="G8136" s="420">
        <f t="shared" ca="1" si="134"/>
        <v>3.2304531482065857E-2</v>
      </c>
    </row>
    <row r="8137" spans="6:7" x14ac:dyDescent="0.2">
      <c r="F8137" s="591">
        <v>8128</v>
      </c>
      <c r="G8137" s="420">
        <f t="shared" ca="1" si="134"/>
        <v>5.5951393310485389E-2</v>
      </c>
    </row>
    <row r="8138" spans="6:7" x14ac:dyDescent="0.2">
      <c r="F8138" s="591">
        <v>8129</v>
      </c>
      <c r="G8138" s="420">
        <f t="shared" ca="1" si="134"/>
        <v>-9.1322245231627866E-2</v>
      </c>
    </row>
    <row r="8139" spans="6:7" x14ac:dyDescent="0.2">
      <c r="F8139" s="591">
        <v>8130</v>
      </c>
      <c r="G8139" s="420">
        <f t="shared" ref="G8139:G8202" ca="1" si="135">_xlfn.NORM.INV(RAND(), $M$11,$M$12)</f>
        <v>8.6620979768614617E-2</v>
      </c>
    </row>
    <row r="8140" spans="6:7" x14ac:dyDescent="0.2">
      <c r="F8140" s="591">
        <v>8131</v>
      </c>
      <c r="G8140" s="420">
        <f t="shared" ca="1" si="135"/>
        <v>-7.5975967869670487E-3</v>
      </c>
    </row>
    <row r="8141" spans="6:7" x14ac:dyDescent="0.2">
      <c r="F8141" s="591">
        <v>8132</v>
      </c>
      <c r="G8141" s="420">
        <f t="shared" ca="1" si="135"/>
        <v>7.3127945494433633E-2</v>
      </c>
    </row>
    <row r="8142" spans="6:7" x14ac:dyDescent="0.2">
      <c r="F8142" s="591">
        <v>8133</v>
      </c>
      <c r="G8142" s="420">
        <f t="shared" ca="1" si="135"/>
        <v>-2.1679398024637867E-2</v>
      </c>
    </row>
    <row r="8143" spans="6:7" x14ac:dyDescent="0.2">
      <c r="F8143" s="591">
        <v>8134</v>
      </c>
      <c r="G8143" s="420">
        <f t="shared" ca="1" si="135"/>
        <v>-8.1065702564976944E-2</v>
      </c>
    </row>
    <row r="8144" spans="6:7" x14ac:dyDescent="0.2">
      <c r="F8144" s="591">
        <v>8135</v>
      </c>
      <c r="G8144" s="420">
        <f t="shared" ca="1" si="135"/>
        <v>3.4215331907747351E-2</v>
      </c>
    </row>
    <row r="8145" spans="6:7" x14ac:dyDescent="0.2">
      <c r="F8145" s="591">
        <v>8136</v>
      </c>
      <c r="G8145" s="420">
        <f t="shared" ca="1" si="135"/>
        <v>-2.8557668860558206E-2</v>
      </c>
    </row>
    <row r="8146" spans="6:7" x14ac:dyDescent="0.2">
      <c r="F8146" s="591">
        <v>8137</v>
      </c>
      <c r="G8146" s="420">
        <f t="shared" ca="1" si="135"/>
        <v>-1.2358367653401443E-3</v>
      </c>
    </row>
    <row r="8147" spans="6:7" x14ac:dyDescent="0.2">
      <c r="F8147" s="591">
        <v>8138</v>
      </c>
      <c r="G8147" s="420">
        <f t="shared" ca="1" si="135"/>
        <v>7.6409062050229112E-2</v>
      </c>
    </row>
    <row r="8148" spans="6:7" x14ac:dyDescent="0.2">
      <c r="F8148" s="591">
        <v>8139</v>
      </c>
      <c r="G8148" s="420">
        <f t="shared" ca="1" si="135"/>
        <v>-2.7098476649401643E-2</v>
      </c>
    </row>
    <row r="8149" spans="6:7" x14ac:dyDescent="0.2">
      <c r="F8149" s="591">
        <v>8140</v>
      </c>
      <c r="G8149" s="420">
        <f t="shared" ca="1" si="135"/>
        <v>1.5160304931564721E-4</v>
      </c>
    </row>
    <row r="8150" spans="6:7" x14ac:dyDescent="0.2">
      <c r="F8150" s="591">
        <v>8141</v>
      </c>
      <c r="G8150" s="420">
        <f t="shared" ca="1" si="135"/>
        <v>-3.0523735808851853E-2</v>
      </c>
    </row>
    <row r="8151" spans="6:7" x14ac:dyDescent="0.2">
      <c r="F8151" s="591">
        <v>8142</v>
      </c>
      <c r="G8151" s="420">
        <f t="shared" ca="1" si="135"/>
        <v>-8.6064545866405176E-2</v>
      </c>
    </row>
    <row r="8152" spans="6:7" x14ac:dyDescent="0.2">
      <c r="F8152" s="591">
        <v>8143</v>
      </c>
      <c r="G8152" s="420">
        <f t="shared" ca="1" si="135"/>
        <v>-8.2720264913071509E-2</v>
      </c>
    </row>
    <row r="8153" spans="6:7" x14ac:dyDescent="0.2">
      <c r="F8153" s="591">
        <v>8144</v>
      </c>
      <c r="G8153" s="420">
        <f t="shared" ca="1" si="135"/>
        <v>8.7440971423394381E-2</v>
      </c>
    </row>
    <row r="8154" spans="6:7" x14ac:dyDescent="0.2">
      <c r="F8154" s="591">
        <v>8145</v>
      </c>
      <c r="G8154" s="420">
        <f t="shared" ca="1" si="135"/>
        <v>9.8160618791801615E-2</v>
      </c>
    </row>
    <row r="8155" spans="6:7" x14ac:dyDescent="0.2">
      <c r="F8155" s="591">
        <v>8146</v>
      </c>
      <c r="G8155" s="420">
        <f t="shared" ca="1" si="135"/>
        <v>2.072021510957232E-2</v>
      </c>
    </row>
    <row r="8156" spans="6:7" x14ac:dyDescent="0.2">
      <c r="F8156" s="591">
        <v>8147</v>
      </c>
      <c r="G8156" s="420">
        <f t="shared" ca="1" si="135"/>
        <v>3.4610290867253674E-2</v>
      </c>
    </row>
    <row r="8157" spans="6:7" x14ac:dyDescent="0.2">
      <c r="F8157" s="591">
        <v>8148</v>
      </c>
      <c r="G8157" s="420">
        <f t="shared" ca="1" si="135"/>
        <v>7.115870388129486E-2</v>
      </c>
    </row>
    <row r="8158" spans="6:7" x14ac:dyDescent="0.2">
      <c r="F8158" s="591">
        <v>8149</v>
      </c>
      <c r="G8158" s="420">
        <f t="shared" ca="1" si="135"/>
        <v>0.13067452446897695</v>
      </c>
    </row>
    <row r="8159" spans="6:7" x14ac:dyDescent="0.2">
      <c r="F8159" s="591">
        <v>8150</v>
      </c>
      <c r="G8159" s="420">
        <f t="shared" ca="1" si="135"/>
        <v>-9.9403402986051215E-2</v>
      </c>
    </row>
    <row r="8160" spans="6:7" x14ac:dyDescent="0.2">
      <c r="F8160" s="591">
        <v>8151</v>
      </c>
      <c r="G8160" s="420">
        <f t="shared" ca="1" si="135"/>
        <v>1.9408406256849656E-2</v>
      </c>
    </row>
    <row r="8161" spans="6:7" x14ac:dyDescent="0.2">
      <c r="F8161" s="591">
        <v>8152</v>
      </c>
      <c r="G8161" s="420">
        <f t="shared" ca="1" si="135"/>
        <v>-9.6916537040732803E-3</v>
      </c>
    </row>
    <row r="8162" spans="6:7" x14ac:dyDescent="0.2">
      <c r="F8162" s="591">
        <v>8153</v>
      </c>
      <c r="G8162" s="420">
        <f t="shared" ca="1" si="135"/>
        <v>-9.7651231212101362E-3</v>
      </c>
    </row>
    <row r="8163" spans="6:7" x14ac:dyDescent="0.2">
      <c r="F8163" s="591">
        <v>8154</v>
      </c>
      <c r="G8163" s="420">
        <f t="shared" ca="1" si="135"/>
        <v>4.2306990450886248E-2</v>
      </c>
    </row>
    <row r="8164" spans="6:7" x14ac:dyDescent="0.2">
      <c r="F8164" s="591">
        <v>8155</v>
      </c>
      <c r="G8164" s="420">
        <f t="shared" ca="1" si="135"/>
        <v>0.1185997271347425</v>
      </c>
    </row>
    <row r="8165" spans="6:7" x14ac:dyDescent="0.2">
      <c r="F8165" s="591">
        <v>8156</v>
      </c>
      <c r="G8165" s="420">
        <f t="shared" ca="1" si="135"/>
        <v>-0.10462317799779193</v>
      </c>
    </row>
    <row r="8166" spans="6:7" x14ac:dyDescent="0.2">
      <c r="F8166" s="591">
        <v>8157</v>
      </c>
      <c r="G8166" s="420">
        <f t="shared" ca="1" si="135"/>
        <v>0.13560601215458193</v>
      </c>
    </row>
    <row r="8167" spans="6:7" x14ac:dyDescent="0.2">
      <c r="F8167" s="591">
        <v>8158</v>
      </c>
      <c r="G8167" s="420">
        <f t="shared" ca="1" si="135"/>
        <v>7.9423614075297723E-3</v>
      </c>
    </row>
    <row r="8168" spans="6:7" x14ac:dyDescent="0.2">
      <c r="F8168" s="591">
        <v>8159</v>
      </c>
      <c r="G8168" s="420">
        <f t="shared" ca="1" si="135"/>
        <v>-0.11322136095315587</v>
      </c>
    </row>
    <row r="8169" spans="6:7" x14ac:dyDescent="0.2">
      <c r="F8169" s="591">
        <v>8160</v>
      </c>
      <c r="G8169" s="420">
        <f t="shared" ca="1" si="135"/>
        <v>-7.7490899311091599E-2</v>
      </c>
    </row>
    <row r="8170" spans="6:7" x14ac:dyDescent="0.2">
      <c r="F8170" s="591">
        <v>8161</v>
      </c>
      <c r="G8170" s="420">
        <f t="shared" ca="1" si="135"/>
        <v>4.3328435578584165E-2</v>
      </c>
    </row>
    <row r="8171" spans="6:7" x14ac:dyDescent="0.2">
      <c r="F8171" s="591">
        <v>8162</v>
      </c>
      <c r="G8171" s="420">
        <f t="shared" ca="1" si="135"/>
        <v>8.2310513554931228E-2</v>
      </c>
    </row>
    <row r="8172" spans="6:7" x14ac:dyDescent="0.2">
      <c r="F8172" s="591">
        <v>8163</v>
      </c>
      <c r="G8172" s="420">
        <f t="shared" ca="1" si="135"/>
        <v>0.17686126161351071</v>
      </c>
    </row>
    <row r="8173" spans="6:7" x14ac:dyDescent="0.2">
      <c r="F8173" s="591">
        <v>8164</v>
      </c>
      <c r="G8173" s="420">
        <f t="shared" ca="1" si="135"/>
        <v>0.10545058838978934</v>
      </c>
    </row>
    <row r="8174" spans="6:7" x14ac:dyDescent="0.2">
      <c r="F8174" s="591">
        <v>8165</v>
      </c>
      <c r="G8174" s="420">
        <f t="shared" ca="1" si="135"/>
        <v>0.11718243497981243</v>
      </c>
    </row>
    <row r="8175" spans="6:7" x14ac:dyDescent="0.2">
      <c r="F8175" s="591">
        <v>8166</v>
      </c>
      <c r="G8175" s="420">
        <f t="shared" ca="1" si="135"/>
        <v>6.5533345005083427E-2</v>
      </c>
    </row>
    <row r="8176" spans="6:7" x14ac:dyDescent="0.2">
      <c r="F8176" s="591">
        <v>8167</v>
      </c>
      <c r="G8176" s="420">
        <f t="shared" ca="1" si="135"/>
        <v>8.8313840509575397E-3</v>
      </c>
    </row>
    <row r="8177" spans="6:7" x14ac:dyDescent="0.2">
      <c r="F8177" s="591">
        <v>8168</v>
      </c>
      <c r="G8177" s="420">
        <f t="shared" ca="1" si="135"/>
        <v>8.7146176015454047E-2</v>
      </c>
    </row>
    <row r="8178" spans="6:7" x14ac:dyDescent="0.2">
      <c r="F8178" s="591">
        <v>8169</v>
      </c>
      <c r="G8178" s="420">
        <f t="shared" ca="1" si="135"/>
        <v>1.1905790688196846E-2</v>
      </c>
    </row>
    <row r="8179" spans="6:7" x14ac:dyDescent="0.2">
      <c r="F8179" s="591">
        <v>8170</v>
      </c>
      <c r="G8179" s="420">
        <f t="shared" ca="1" si="135"/>
        <v>5.2139226127774375E-3</v>
      </c>
    </row>
    <row r="8180" spans="6:7" x14ac:dyDescent="0.2">
      <c r="F8180" s="591">
        <v>8171</v>
      </c>
      <c r="G8180" s="420">
        <f t="shared" ca="1" si="135"/>
        <v>-6.1650373869927971E-2</v>
      </c>
    </row>
    <row r="8181" spans="6:7" x14ac:dyDescent="0.2">
      <c r="F8181" s="591">
        <v>8172</v>
      </c>
      <c r="G8181" s="420">
        <f t="shared" ca="1" si="135"/>
        <v>2.9779876648708285E-2</v>
      </c>
    </row>
    <row r="8182" spans="6:7" x14ac:dyDescent="0.2">
      <c r="F8182" s="591">
        <v>8173</v>
      </c>
      <c r="G8182" s="420">
        <f t="shared" ca="1" si="135"/>
        <v>4.3384788261695102E-3</v>
      </c>
    </row>
    <row r="8183" spans="6:7" x14ac:dyDescent="0.2">
      <c r="F8183" s="591">
        <v>8174</v>
      </c>
      <c r="G8183" s="420">
        <f t="shared" ca="1" si="135"/>
        <v>8.1290012378734011E-2</v>
      </c>
    </row>
    <row r="8184" spans="6:7" x14ac:dyDescent="0.2">
      <c r="F8184" s="591">
        <v>8175</v>
      </c>
      <c r="G8184" s="420">
        <f t="shared" ca="1" si="135"/>
        <v>0.10826266044160532</v>
      </c>
    </row>
    <row r="8185" spans="6:7" x14ac:dyDescent="0.2">
      <c r="F8185" s="591">
        <v>8176</v>
      </c>
      <c r="G8185" s="420">
        <f t="shared" ca="1" si="135"/>
        <v>-6.5278785619168847E-2</v>
      </c>
    </row>
    <row r="8186" spans="6:7" x14ac:dyDescent="0.2">
      <c r="F8186" s="591">
        <v>8177</v>
      </c>
      <c r="G8186" s="420">
        <f t="shared" ca="1" si="135"/>
        <v>5.2607506973323309E-2</v>
      </c>
    </row>
    <row r="8187" spans="6:7" x14ac:dyDescent="0.2">
      <c r="F8187" s="591">
        <v>8178</v>
      </c>
      <c r="G8187" s="420">
        <f t="shared" ca="1" si="135"/>
        <v>-9.3625001432716196E-3</v>
      </c>
    </row>
    <row r="8188" spans="6:7" x14ac:dyDescent="0.2">
      <c r="F8188" s="591">
        <v>8179</v>
      </c>
      <c r="G8188" s="420">
        <f t="shared" ca="1" si="135"/>
        <v>0.12230859542849319</v>
      </c>
    </row>
    <row r="8189" spans="6:7" x14ac:dyDescent="0.2">
      <c r="F8189" s="591">
        <v>8180</v>
      </c>
      <c r="G8189" s="420">
        <f t="shared" ca="1" si="135"/>
        <v>-7.5683246852373404E-2</v>
      </c>
    </row>
    <row r="8190" spans="6:7" x14ac:dyDescent="0.2">
      <c r="F8190" s="591">
        <v>8181</v>
      </c>
      <c r="G8190" s="420">
        <f t="shared" ca="1" si="135"/>
        <v>9.0757063849502953E-2</v>
      </c>
    </row>
    <row r="8191" spans="6:7" x14ac:dyDescent="0.2">
      <c r="F8191" s="591">
        <v>8182</v>
      </c>
      <c r="G8191" s="420">
        <f t="shared" ca="1" si="135"/>
        <v>-7.8536923341986607E-4</v>
      </c>
    </row>
    <row r="8192" spans="6:7" x14ac:dyDescent="0.2">
      <c r="F8192" s="591">
        <v>8183</v>
      </c>
      <c r="G8192" s="420">
        <f t="shared" ca="1" si="135"/>
        <v>-3.3330610659716237E-2</v>
      </c>
    </row>
    <row r="8193" spans="6:7" x14ac:dyDescent="0.2">
      <c r="F8193" s="591">
        <v>8184</v>
      </c>
      <c r="G8193" s="420">
        <f t="shared" ca="1" si="135"/>
        <v>-8.6497821406071075E-3</v>
      </c>
    </row>
    <row r="8194" spans="6:7" x14ac:dyDescent="0.2">
      <c r="F8194" s="591">
        <v>8185</v>
      </c>
      <c r="G8194" s="420">
        <f t="shared" ca="1" si="135"/>
        <v>7.4499989211980425E-3</v>
      </c>
    </row>
    <row r="8195" spans="6:7" x14ac:dyDescent="0.2">
      <c r="F8195" s="591">
        <v>8186</v>
      </c>
      <c r="G8195" s="420">
        <f t="shared" ca="1" si="135"/>
        <v>-3.6123159251381876E-2</v>
      </c>
    </row>
    <row r="8196" spans="6:7" x14ac:dyDescent="0.2">
      <c r="F8196" s="591">
        <v>8187</v>
      </c>
      <c r="G8196" s="420">
        <f t="shared" ca="1" si="135"/>
        <v>4.9759935970882394E-2</v>
      </c>
    </row>
    <row r="8197" spans="6:7" x14ac:dyDescent="0.2">
      <c r="F8197" s="591">
        <v>8188</v>
      </c>
      <c r="G8197" s="420">
        <f t="shared" ca="1" si="135"/>
        <v>-4.0785524795090462E-3</v>
      </c>
    </row>
    <row r="8198" spans="6:7" x14ac:dyDescent="0.2">
      <c r="F8198" s="591">
        <v>8189</v>
      </c>
      <c r="G8198" s="420">
        <f t="shared" ca="1" si="135"/>
        <v>6.5676307973909456E-2</v>
      </c>
    </row>
    <row r="8199" spans="6:7" x14ac:dyDescent="0.2">
      <c r="F8199" s="591">
        <v>8190</v>
      </c>
      <c r="G8199" s="420">
        <f t="shared" ca="1" si="135"/>
        <v>2.2945116309626302E-2</v>
      </c>
    </row>
    <row r="8200" spans="6:7" x14ac:dyDescent="0.2">
      <c r="F8200" s="591">
        <v>8191</v>
      </c>
      <c r="G8200" s="420">
        <f t="shared" ca="1" si="135"/>
        <v>4.5604204365208234E-2</v>
      </c>
    </row>
    <row r="8201" spans="6:7" x14ac:dyDescent="0.2">
      <c r="F8201" s="591">
        <v>8192</v>
      </c>
      <c r="G8201" s="420">
        <f t="shared" ca="1" si="135"/>
        <v>0.12246065505104732</v>
      </c>
    </row>
    <row r="8202" spans="6:7" x14ac:dyDescent="0.2">
      <c r="F8202" s="591">
        <v>8193</v>
      </c>
      <c r="G8202" s="420">
        <f t="shared" ca="1" si="135"/>
        <v>6.4012866120277387E-2</v>
      </c>
    </row>
    <row r="8203" spans="6:7" x14ac:dyDescent="0.2">
      <c r="F8203" s="591">
        <v>8194</v>
      </c>
      <c r="G8203" s="420">
        <f t="shared" ref="G8203:G8266" ca="1" si="136">_xlfn.NORM.INV(RAND(), $M$11,$M$12)</f>
        <v>-1.3580084406708055E-2</v>
      </c>
    </row>
    <row r="8204" spans="6:7" x14ac:dyDescent="0.2">
      <c r="F8204" s="591">
        <v>8195</v>
      </c>
      <c r="G8204" s="420">
        <f t="shared" ca="1" si="136"/>
        <v>-6.8391952899910735E-2</v>
      </c>
    </row>
    <row r="8205" spans="6:7" x14ac:dyDescent="0.2">
      <c r="F8205" s="591">
        <v>8196</v>
      </c>
      <c r="G8205" s="420">
        <f t="shared" ca="1" si="136"/>
        <v>0.11656122640185843</v>
      </c>
    </row>
    <row r="8206" spans="6:7" x14ac:dyDescent="0.2">
      <c r="F8206" s="591">
        <v>8197</v>
      </c>
      <c r="G8206" s="420">
        <f t="shared" ca="1" si="136"/>
        <v>6.8956030138443133E-2</v>
      </c>
    </row>
    <row r="8207" spans="6:7" x14ac:dyDescent="0.2">
      <c r="F8207" s="591">
        <v>8198</v>
      </c>
      <c r="G8207" s="420">
        <f t="shared" ca="1" si="136"/>
        <v>9.6584525436775991E-3</v>
      </c>
    </row>
    <row r="8208" spans="6:7" x14ac:dyDescent="0.2">
      <c r="F8208" s="591">
        <v>8199</v>
      </c>
      <c r="G8208" s="420">
        <f t="shared" ca="1" si="136"/>
        <v>7.4347427936575033E-2</v>
      </c>
    </row>
    <row r="8209" spans="6:7" x14ac:dyDescent="0.2">
      <c r="F8209" s="591">
        <v>8200</v>
      </c>
      <c r="G8209" s="420">
        <f t="shared" ca="1" si="136"/>
        <v>7.1090826953938507E-2</v>
      </c>
    </row>
    <row r="8210" spans="6:7" x14ac:dyDescent="0.2">
      <c r="F8210" s="591">
        <v>8201</v>
      </c>
      <c r="G8210" s="420">
        <f t="shared" ca="1" si="136"/>
        <v>6.2224043692441375E-2</v>
      </c>
    </row>
    <row r="8211" spans="6:7" x14ac:dyDescent="0.2">
      <c r="F8211" s="591">
        <v>8202</v>
      </c>
      <c r="G8211" s="420">
        <f t="shared" ca="1" si="136"/>
        <v>9.5366309805625313E-2</v>
      </c>
    </row>
    <row r="8212" spans="6:7" x14ac:dyDescent="0.2">
      <c r="F8212" s="591">
        <v>8203</v>
      </c>
      <c r="G8212" s="420">
        <f t="shared" ca="1" si="136"/>
        <v>9.1762367551056781E-2</v>
      </c>
    </row>
    <row r="8213" spans="6:7" x14ac:dyDescent="0.2">
      <c r="F8213" s="591">
        <v>8204</v>
      </c>
      <c r="G8213" s="420">
        <f t="shared" ca="1" si="136"/>
        <v>4.9538918553214253E-2</v>
      </c>
    </row>
    <row r="8214" spans="6:7" x14ac:dyDescent="0.2">
      <c r="F8214" s="591">
        <v>8205</v>
      </c>
      <c r="G8214" s="420">
        <f t="shared" ca="1" si="136"/>
        <v>2.0538117928929355E-2</v>
      </c>
    </row>
    <row r="8215" spans="6:7" x14ac:dyDescent="0.2">
      <c r="F8215" s="591">
        <v>8206</v>
      </c>
      <c r="G8215" s="420">
        <f t="shared" ca="1" si="136"/>
        <v>0.10857987623421873</v>
      </c>
    </row>
    <row r="8216" spans="6:7" x14ac:dyDescent="0.2">
      <c r="F8216" s="591">
        <v>8207</v>
      </c>
      <c r="G8216" s="420">
        <f t="shared" ca="1" si="136"/>
        <v>1.3042230952224936E-2</v>
      </c>
    </row>
    <row r="8217" spans="6:7" x14ac:dyDescent="0.2">
      <c r="F8217" s="591">
        <v>8208</v>
      </c>
      <c r="G8217" s="420">
        <f t="shared" ca="1" si="136"/>
        <v>4.5239740375043289E-2</v>
      </c>
    </row>
    <row r="8218" spans="6:7" x14ac:dyDescent="0.2">
      <c r="F8218" s="591">
        <v>8209</v>
      </c>
      <c r="G8218" s="420">
        <f t="shared" ca="1" si="136"/>
        <v>-8.2376747769540293E-2</v>
      </c>
    </row>
    <row r="8219" spans="6:7" x14ac:dyDescent="0.2">
      <c r="F8219" s="591">
        <v>8210</v>
      </c>
      <c r="G8219" s="420">
        <f t="shared" ca="1" si="136"/>
        <v>-8.4694461594625792E-2</v>
      </c>
    </row>
    <row r="8220" spans="6:7" x14ac:dyDescent="0.2">
      <c r="F8220" s="591">
        <v>8211</v>
      </c>
      <c r="G8220" s="420">
        <f t="shared" ca="1" si="136"/>
        <v>9.7356740267013506E-2</v>
      </c>
    </row>
    <row r="8221" spans="6:7" x14ac:dyDescent="0.2">
      <c r="F8221" s="591">
        <v>8212</v>
      </c>
      <c r="G8221" s="420">
        <f t="shared" ca="1" si="136"/>
        <v>-1.5068390430540771E-3</v>
      </c>
    </row>
    <row r="8222" spans="6:7" x14ac:dyDescent="0.2">
      <c r="F8222" s="591">
        <v>8213</v>
      </c>
      <c r="G8222" s="420">
        <f t="shared" ca="1" si="136"/>
        <v>-0.1718056042979578</v>
      </c>
    </row>
    <row r="8223" spans="6:7" x14ac:dyDescent="0.2">
      <c r="F8223" s="591">
        <v>8214</v>
      </c>
      <c r="G8223" s="420">
        <f t="shared" ca="1" si="136"/>
        <v>-4.2524024931649126E-2</v>
      </c>
    </row>
    <row r="8224" spans="6:7" x14ac:dyDescent="0.2">
      <c r="F8224" s="591">
        <v>8215</v>
      </c>
      <c r="G8224" s="420">
        <f t="shared" ca="1" si="136"/>
        <v>-3.9251597769574764E-2</v>
      </c>
    </row>
    <row r="8225" spans="6:7" x14ac:dyDescent="0.2">
      <c r="F8225" s="591">
        <v>8216</v>
      </c>
      <c r="G8225" s="420">
        <f t="shared" ca="1" si="136"/>
        <v>0.1038617813212699</v>
      </c>
    </row>
    <row r="8226" spans="6:7" x14ac:dyDescent="0.2">
      <c r="F8226" s="591">
        <v>8217</v>
      </c>
      <c r="G8226" s="420">
        <f t="shared" ca="1" si="136"/>
        <v>1.2819928946955451E-2</v>
      </c>
    </row>
    <row r="8227" spans="6:7" x14ac:dyDescent="0.2">
      <c r="F8227" s="591">
        <v>8218</v>
      </c>
      <c r="G8227" s="420">
        <f t="shared" ca="1" si="136"/>
        <v>9.3771907776140931E-2</v>
      </c>
    </row>
    <row r="8228" spans="6:7" x14ac:dyDescent="0.2">
      <c r="F8228" s="591">
        <v>8219</v>
      </c>
      <c r="G8228" s="420">
        <f t="shared" ca="1" si="136"/>
        <v>-1.928046868097625E-2</v>
      </c>
    </row>
    <row r="8229" spans="6:7" x14ac:dyDescent="0.2">
      <c r="F8229" s="591">
        <v>8220</v>
      </c>
      <c r="G8229" s="420">
        <f t="shared" ca="1" si="136"/>
        <v>-1.9384638336749936E-2</v>
      </c>
    </row>
    <row r="8230" spans="6:7" x14ac:dyDescent="0.2">
      <c r="F8230" s="591">
        <v>8221</v>
      </c>
      <c r="G8230" s="420">
        <f t="shared" ca="1" si="136"/>
        <v>-5.3957908875072777E-2</v>
      </c>
    </row>
    <row r="8231" spans="6:7" x14ac:dyDescent="0.2">
      <c r="F8231" s="591">
        <v>8222</v>
      </c>
      <c r="G8231" s="420">
        <f t="shared" ca="1" si="136"/>
        <v>5.4146316914701941E-3</v>
      </c>
    </row>
    <row r="8232" spans="6:7" x14ac:dyDescent="0.2">
      <c r="F8232" s="591">
        <v>8223</v>
      </c>
      <c r="G8232" s="420">
        <f t="shared" ca="1" si="136"/>
        <v>5.0573077669095412E-2</v>
      </c>
    </row>
    <row r="8233" spans="6:7" x14ac:dyDescent="0.2">
      <c r="F8233" s="591">
        <v>8224</v>
      </c>
      <c r="G8233" s="420">
        <f t="shared" ca="1" si="136"/>
        <v>2.651946708152348E-3</v>
      </c>
    </row>
    <row r="8234" spans="6:7" x14ac:dyDescent="0.2">
      <c r="F8234" s="591">
        <v>8225</v>
      </c>
      <c r="G8234" s="420">
        <f t="shared" ca="1" si="136"/>
        <v>2.5291913373034575E-2</v>
      </c>
    </row>
    <row r="8235" spans="6:7" x14ac:dyDescent="0.2">
      <c r="F8235" s="591">
        <v>8226</v>
      </c>
      <c r="G8235" s="420">
        <f t="shared" ca="1" si="136"/>
        <v>1.6615133446591553E-2</v>
      </c>
    </row>
    <row r="8236" spans="6:7" x14ac:dyDescent="0.2">
      <c r="F8236" s="591">
        <v>8227</v>
      </c>
      <c r="G8236" s="420">
        <f t="shared" ca="1" si="136"/>
        <v>3.6673013173985559E-2</v>
      </c>
    </row>
    <row r="8237" spans="6:7" x14ac:dyDescent="0.2">
      <c r="F8237" s="591">
        <v>8228</v>
      </c>
      <c r="G8237" s="420">
        <f t="shared" ca="1" si="136"/>
        <v>5.3605777746898037E-2</v>
      </c>
    </row>
    <row r="8238" spans="6:7" x14ac:dyDescent="0.2">
      <c r="F8238" s="591">
        <v>8229</v>
      </c>
      <c r="G8238" s="420">
        <f t="shared" ca="1" si="136"/>
        <v>4.8183379740166579E-2</v>
      </c>
    </row>
    <row r="8239" spans="6:7" x14ac:dyDescent="0.2">
      <c r="F8239" s="591">
        <v>8230</v>
      </c>
      <c r="G8239" s="420">
        <f t="shared" ca="1" si="136"/>
        <v>8.1300736799455681E-2</v>
      </c>
    </row>
    <row r="8240" spans="6:7" x14ac:dyDescent="0.2">
      <c r="F8240" s="591">
        <v>8231</v>
      </c>
      <c r="G8240" s="420">
        <f t="shared" ca="1" si="136"/>
        <v>1.6958174266032106E-2</v>
      </c>
    </row>
    <row r="8241" spans="6:7" x14ac:dyDescent="0.2">
      <c r="F8241" s="591">
        <v>8232</v>
      </c>
      <c r="G8241" s="420">
        <f t="shared" ca="1" si="136"/>
        <v>-5.3807995610390111E-2</v>
      </c>
    </row>
    <row r="8242" spans="6:7" x14ac:dyDescent="0.2">
      <c r="F8242" s="591">
        <v>8233</v>
      </c>
      <c r="G8242" s="420">
        <f t="shared" ca="1" si="136"/>
        <v>0.10278637638542779</v>
      </c>
    </row>
    <row r="8243" spans="6:7" x14ac:dyDescent="0.2">
      <c r="F8243" s="591">
        <v>8234</v>
      </c>
      <c r="G8243" s="420">
        <f t="shared" ca="1" si="136"/>
        <v>9.6756923537549798E-3</v>
      </c>
    </row>
    <row r="8244" spans="6:7" x14ac:dyDescent="0.2">
      <c r="F8244" s="591">
        <v>8235</v>
      </c>
      <c r="G8244" s="420">
        <f t="shared" ca="1" si="136"/>
        <v>-2.0358921518842232E-2</v>
      </c>
    </row>
    <row r="8245" spans="6:7" x14ac:dyDescent="0.2">
      <c r="F8245" s="591">
        <v>8236</v>
      </c>
      <c r="G8245" s="420">
        <f t="shared" ca="1" si="136"/>
        <v>-2.1196347418858692E-2</v>
      </c>
    </row>
    <row r="8246" spans="6:7" x14ac:dyDescent="0.2">
      <c r="F8246" s="591">
        <v>8237</v>
      </c>
      <c r="G8246" s="420">
        <f t="shared" ca="1" si="136"/>
        <v>3.2371599844278093E-2</v>
      </c>
    </row>
    <row r="8247" spans="6:7" x14ac:dyDescent="0.2">
      <c r="F8247" s="591">
        <v>8238</v>
      </c>
      <c r="G8247" s="420">
        <f t="shared" ca="1" si="136"/>
        <v>-0.17117231546777251</v>
      </c>
    </row>
    <row r="8248" spans="6:7" x14ac:dyDescent="0.2">
      <c r="F8248" s="591">
        <v>8239</v>
      </c>
      <c r="G8248" s="420">
        <f t="shared" ca="1" si="136"/>
        <v>-7.1657927651621975E-2</v>
      </c>
    </row>
    <row r="8249" spans="6:7" x14ac:dyDescent="0.2">
      <c r="F8249" s="591">
        <v>8240</v>
      </c>
      <c r="G8249" s="420">
        <f t="shared" ca="1" si="136"/>
        <v>6.9863408922816173E-2</v>
      </c>
    </row>
    <row r="8250" spans="6:7" x14ac:dyDescent="0.2">
      <c r="F8250" s="591">
        <v>8241</v>
      </c>
      <c r="G8250" s="420">
        <f t="shared" ca="1" si="136"/>
        <v>4.2686504218118052E-2</v>
      </c>
    </row>
    <row r="8251" spans="6:7" x14ac:dyDescent="0.2">
      <c r="F8251" s="591">
        <v>8242</v>
      </c>
      <c r="G8251" s="420">
        <f t="shared" ca="1" si="136"/>
        <v>-3.6954724023150309E-2</v>
      </c>
    </row>
    <row r="8252" spans="6:7" x14ac:dyDescent="0.2">
      <c r="F8252" s="591">
        <v>8243</v>
      </c>
      <c r="G8252" s="420">
        <f t="shared" ca="1" si="136"/>
        <v>-3.9010116230480067E-3</v>
      </c>
    </row>
    <row r="8253" spans="6:7" x14ac:dyDescent="0.2">
      <c r="F8253" s="591">
        <v>8244</v>
      </c>
      <c r="G8253" s="420">
        <f t="shared" ca="1" si="136"/>
        <v>-8.141525126144053E-2</v>
      </c>
    </row>
    <row r="8254" spans="6:7" x14ac:dyDescent="0.2">
      <c r="F8254" s="591">
        <v>8245</v>
      </c>
      <c r="G8254" s="420">
        <f t="shared" ca="1" si="136"/>
        <v>-2.645867531665418E-2</v>
      </c>
    </row>
    <row r="8255" spans="6:7" x14ac:dyDescent="0.2">
      <c r="F8255" s="591">
        <v>8246</v>
      </c>
      <c r="G8255" s="420">
        <f t="shared" ca="1" si="136"/>
        <v>-2.8106455802772715E-2</v>
      </c>
    </row>
    <row r="8256" spans="6:7" x14ac:dyDescent="0.2">
      <c r="F8256" s="591">
        <v>8247</v>
      </c>
      <c r="G8256" s="420">
        <f t="shared" ca="1" si="136"/>
        <v>3.0755471983225775E-2</v>
      </c>
    </row>
    <row r="8257" spans="6:7" x14ac:dyDescent="0.2">
      <c r="F8257" s="591">
        <v>8248</v>
      </c>
      <c r="G8257" s="420">
        <f t="shared" ca="1" si="136"/>
        <v>8.3738332992178546E-2</v>
      </c>
    </row>
    <row r="8258" spans="6:7" x14ac:dyDescent="0.2">
      <c r="F8258" s="591">
        <v>8249</v>
      </c>
      <c r="G8258" s="420">
        <f t="shared" ca="1" si="136"/>
        <v>6.454124621250644E-2</v>
      </c>
    </row>
    <row r="8259" spans="6:7" x14ac:dyDescent="0.2">
      <c r="F8259" s="591">
        <v>8250</v>
      </c>
      <c r="G8259" s="420">
        <f t="shared" ca="1" si="136"/>
        <v>-2.7936750997818668E-2</v>
      </c>
    </row>
    <row r="8260" spans="6:7" x14ac:dyDescent="0.2">
      <c r="F8260" s="591">
        <v>8251</v>
      </c>
      <c r="G8260" s="420">
        <f t="shared" ca="1" si="136"/>
        <v>5.5709086106872155E-2</v>
      </c>
    </row>
    <row r="8261" spans="6:7" x14ac:dyDescent="0.2">
      <c r="F8261" s="591">
        <v>8252</v>
      </c>
      <c r="G8261" s="420">
        <f t="shared" ca="1" si="136"/>
        <v>1.9351331274589725E-2</v>
      </c>
    </row>
    <row r="8262" spans="6:7" x14ac:dyDescent="0.2">
      <c r="F8262" s="591">
        <v>8253</v>
      </c>
      <c r="G8262" s="420">
        <f t="shared" ca="1" si="136"/>
        <v>5.0997904016041665E-2</v>
      </c>
    </row>
    <row r="8263" spans="6:7" x14ac:dyDescent="0.2">
      <c r="F8263" s="591">
        <v>8254</v>
      </c>
      <c r="G8263" s="420">
        <f t="shared" ca="1" si="136"/>
        <v>3.3904312705220777E-2</v>
      </c>
    </row>
    <row r="8264" spans="6:7" x14ac:dyDescent="0.2">
      <c r="F8264" s="591">
        <v>8255</v>
      </c>
      <c r="G8264" s="420">
        <f t="shared" ca="1" si="136"/>
        <v>4.5580921230011506E-2</v>
      </c>
    </row>
    <row r="8265" spans="6:7" x14ac:dyDescent="0.2">
      <c r="F8265" s="591">
        <v>8256</v>
      </c>
      <c r="G8265" s="420">
        <f t="shared" ca="1" si="136"/>
        <v>4.1872425598994033E-2</v>
      </c>
    </row>
    <row r="8266" spans="6:7" x14ac:dyDescent="0.2">
      <c r="F8266" s="591">
        <v>8257</v>
      </c>
      <c r="G8266" s="420">
        <f t="shared" ca="1" si="136"/>
        <v>-3.7768492415617153E-2</v>
      </c>
    </row>
    <row r="8267" spans="6:7" x14ac:dyDescent="0.2">
      <c r="F8267" s="591">
        <v>8258</v>
      </c>
      <c r="G8267" s="420">
        <f t="shared" ref="G8267:G8330" ca="1" si="137">_xlfn.NORM.INV(RAND(), $M$11,$M$12)</f>
        <v>1.3814015022823535E-2</v>
      </c>
    </row>
    <row r="8268" spans="6:7" x14ac:dyDescent="0.2">
      <c r="F8268" s="591">
        <v>8259</v>
      </c>
      <c r="G8268" s="420">
        <f t="shared" ca="1" si="137"/>
        <v>7.9725065735097939E-2</v>
      </c>
    </row>
    <row r="8269" spans="6:7" x14ac:dyDescent="0.2">
      <c r="F8269" s="591">
        <v>8260</v>
      </c>
      <c r="G8269" s="420">
        <f t="shared" ca="1" si="137"/>
        <v>0.11031325542682602</v>
      </c>
    </row>
    <row r="8270" spans="6:7" x14ac:dyDescent="0.2">
      <c r="F8270" s="591">
        <v>8261</v>
      </c>
      <c r="G8270" s="420">
        <f t="shared" ca="1" si="137"/>
        <v>-2.4882999830381895E-2</v>
      </c>
    </row>
    <row r="8271" spans="6:7" x14ac:dyDescent="0.2">
      <c r="F8271" s="591">
        <v>8262</v>
      </c>
      <c r="G8271" s="420">
        <f t="shared" ca="1" si="137"/>
        <v>6.0386006150602495E-2</v>
      </c>
    </row>
    <row r="8272" spans="6:7" x14ac:dyDescent="0.2">
      <c r="F8272" s="591">
        <v>8263</v>
      </c>
      <c r="G8272" s="420">
        <f t="shared" ca="1" si="137"/>
        <v>8.0670963859359054E-2</v>
      </c>
    </row>
    <row r="8273" spans="6:7" x14ac:dyDescent="0.2">
      <c r="F8273" s="591">
        <v>8264</v>
      </c>
      <c r="G8273" s="420">
        <f t="shared" ca="1" si="137"/>
        <v>-8.9081073117156684E-2</v>
      </c>
    </row>
    <row r="8274" spans="6:7" x14ac:dyDescent="0.2">
      <c r="F8274" s="591">
        <v>8265</v>
      </c>
      <c r="G8274" s="420">
        <f t="shared" ca="1" si="137"/>
        <v>4.9501735388444684E-2</v>
      </c>
    </row>
    <row r="8275" spans="6:7" x14ac:dyDescent="0.2">
      <c r="F8275" s="591">
        <v>8266</v>
      </c>
      <c r="G8275" s="420">
        <f t="shared" ca="1" si="137"/>
        <v>-3.4839288916451799E-2</v>
      </c>
    </row>
    <row r="8276" spans="6:7" x14ac:dyDescent="0.2">
      <c r="F8276" s="591">
        <v>8267</v>
      </c>
      <c r="G8276" s="420">
        <f t="shared" ca="1" si="137"/>
        <v>-4.7562507186640415E-2</v>
      </c>
    </row>
    <row r="8277" spans="6:7" x14ac:dyDescent="0.2">
      <c r="F8277" s="591">
        <v>8268</v>
      </c>
      <c r="G8277" s="420">
        <f t="shared" ca="1" si="137"/>
        <v>5.6046827841592747E-2</v>
      </c>
    </row>
    <row r="8278" spans="6:7" x14ac:dyDescent="0.2">
      <c r="F8278" s="591">
        <v>8269</v>
      </c>
      <c r="G8278" s="420">
        <f t="shared" ca="1" si="137"/>
        <v>0.1420241030967716</v>
      </c>
    </row>
    <row r="8279" spans="6:7" x14ac:dyDescent="0.2">
      <c r="F8279" s="591">
        <v>8270</v>
      </c>
      <c r="G8279" s="420">
        <f t="shared" ca="1" si="137"/>
        <v>0.12881008583198778</v>
      </c>
    </row>
    <row r="8280" spans="6:7" x14ac:dyDescent="0.2">
      <c r="F8280" s="591">
        <v>8271</v>
      </c>
      <c r="G8280" s="420">
        <f t="shared" ca="1" si="137"/>
        <v>0.14783769765042246</v>
      </c>
    </row>
    <row r="8281" spans="6:7" x14ac:dyDescent="0.2">
      <c r="F8281" s="591">
        <v>8272</v>
      </c>
      <c r="G8281" s="420">
        <f t="shared" ca="1" si="137"/>
        <v>-5.0485276250318373E-2</v>
      </c>
    </row>
    <row r="8282" spans="6:7" x14ac:dyDescent="0.2">
      <c r="F8282" s="591">
        <v>8273</v>
      </c>
      <c r="G8282" s="420">
        <f t="shared" ca="1" si="137"/>
        <v>5.17975790105593E-2</v>
      </c>
    </row>
    <row r="8283" spans="6:7" x14ac:dyDescent="0.2">
      <c r="F8283" s="591">
        <v>8274</v>
      </c>
      <c r="G8283" s="420">
        <f t="shared" ca="1" si="137"/>
        <v>7.8360652116772123E-2</v>
      </c>
    </row>
    <row r="8284" spans="6:7" x14ac:dyDescent="0.2">
      <c r="F8284" s="591">
        <v>8275</v>
      </c>
      <c r="G8284" s="420">
        <f t="shared" ca="1" si="137"/>
        <v>0.11797708913194892</v>
      </c>
    </row>
    <row r="8285" spans="6:7" x14ac:dyDescent="0.2">
      <c r="F8285" s="591">
        <v>8276</v>
      </c>
      <c r="G8285" s="420">
        <f t="shared" ca="1" si="137"/>
        <v>7.3096919022082492E-3</v>
      </c>
    </row>
    <row r="8286" spans="6:7" x14ac:dyDescent="0.2">
      <c r="F8286" s="591">
        <v>8277</v>
      </c>
      <c r="G8286" s="420">
        <f t="shared" ca="1" si="137"/>
        <v>0.15410487984220028</v>
      </c>
    </row>
    <row r="8287" spans="6:7" x14ac:dyDescent="0.2">
      <c r="F8287" s="591">
        <v>8278</v>
      </c>
      <c r="G8287" s="420">
        <f t="shared" ca="1" si="137"/>
        <v>0.10260455117369205</v>
      </c>
    </row>
    <row r="8288" spans="6:7" x14ac:dyDescent="0.2">
      <c r="F8288" s="591">
        <v>8279</v>
      </c>
      <c r="G8288" s="420">
        <f t="shared" ca="1" si="137"/>
        <v>9.2669179192650889E-3</v>
      </c>
    </row>
    <row r="8289" spans="6:7" x14ac:dyDescent="0.2">
      <c r="F8289" s="591">
        <v>8280</v>
      </c>
      <c r="G8289" s="420">
        <f t="shared" ca="1" si="137"/>
        <v>-1.6613962306286069E-2</v>
      </c>
    </row>
    <row r="8290" spans="6:7" x14ac:dyDescent="0.2">
      <c r="F8290" s="591">
        <v>8281</v>
      </c>
      <c r="G8290" s="420">
        <f t="shared" ca="1" si="137"/>
        <v>-0.21984607738759715</v>
      </c>
    </row>
    <row r="8291" spans="6:7" x14ac:dyDescent="0.2">
      <c r="F8291" s="591">
        <v>8282</v>
      </c>
      <c r="G8291" s="420">
        <f t="shared" ca="1" si="137"/>
        <v>3.2922398704409231E-2</v>
      </c>
    </row>
    <row r="8292" spans="6:7" x14ac:dyDescent="0.2">
      <c r="F8292" s="591">
        <v>8283</v>
      </c>
      <c r="G8292" s="420">
        <f t="shared" ca="1" si="137"/>
        <v>-8.2917448186371409E-2</v>
      </c>
    </row>
    <row r="8293" spans="6:7" x14ac:dyDescent="0.2">
      <c r="F8293" s="591">
        <v>8284</v>
      </c>
      <c r="G8293" s="420">
        <f t="shared" ca="1" si="137"/>
        <v>-5.9358263767385455E-2</v>
      </c>
    </row>
    <row r="8294" spans="6:7" x14ac:dyDescent="0.2">
      <c r="F8294" s="591">
        <v>8285</v>
      </c>
      <c r="G8294" s="420">
        <f t="shared" ca="1" si="137"/>
        <v>-6.8940822157951623E-3</v>
      </c>
    </row>
    <row r="8295" spans="6:7" x14ac:dyDescent="0.2">
      <c r="F8295" s="591">
        <v>8286</v>
      </c>
      <c r="G8295" s="420">
        <f t="shared" ca="1" si="137"/>
        <v>4.5558642471875244E-2</v>
      </c>
    </row>
    <row r="8296" spans="6:7" x14ac:dyDescent="0.2">
      <c r="F8296" s="591">
        <v>8287</v>
      </c>
      <c r="G8296" s="420">
        <f t="shared" ca="1" si="137"/>
        <v>7.7258256840529629E-2</v>
      </c>
    </row>
    <row r="8297" spans="6:7" x14ac:dyDescent="0.2">
      <c r="F8297" s="591">
        <v>8288</v>
      </c>
      <c r="G8297" s="420">
        <f t="shared" ca="1" si="137"/>
        <v>4.1880577616697771E-2</v>
      </c>
    </row>
    <row r="8298" spans="6:7" x14ac:dyDescent="0.2">
      <c r="F8298" s="591">
        <v>8289</v>
      </c>
      <c r="G8298" s="420">
        <f t="shared" ca="1" si="137"/>
        <v>8.7480420361035094E-2</v>
      </c>
    </row>
    <row r="8299" spans="6:7" x14ac:dyDescent="0.2">
      <c r="F8299" s="591">
        <v>8290</v>
      </c>
      <c r="G8299" s="420">
        <f t="shared" ca="1" si="137"/>
        <v>1.2536795333815801E-2</v>
      </c>
    </row>
    <row r="8300" spans="6:7" x14ac:dyDescent="0.2">
      <c r="F8300" s="591">
        <v>8291</v>
      </c>
      <c r="G8300" s="420">
        <f t="shared" ca="1" si="137"/>
        <v>2.6045371774033876E-2</v>
      </c>
    </row>
    <row r="8301" spans="6:7" x14ac:dyDescent="0.2">
      <c r="F8301" s="591">
        <v>8292</v>
      </c>
      <c r="G8301" s="420">
        <f t="shared" ca="1" si="137"/>
        <v>-4.2119896044336275E-2</v>
      </c>
    </row>
    <row r="8302" spans="6:7" x14ac:dyDescent="0.2">
      <c r="F8302" s="591">
        <v>8293</v>
      </c>
      <c r="G8302" s="420">
        <f t="shared" ca="1" si="137"/>
        <v>-6.2820595392183397E-3</v>
      </c>
    </row>
    <row r="8303" spans="6:7" x14ac:dyDescent="0.2">
      <c r="F8303" s="591">
        <v>8294</v>
      </c>
      <c r="G8303" s="420">
        <f t="shared" ca="1" si="137"/>
        <v>-8.57845415191252E-3</v>
      </c>
    </row>
    <row r="8304" spans="6:7" x14ac:dyDescent="0.2">
      <c r="F8304" s="591">
        <v>8295</v>
      </c>
      <c r="G8304" s="420">
        <f t="shared" ca="1" si="137"/>
        <v>-2.1291894460822119E-2</v>
      </c>
    </row>
    <row r="8305" spans="6:7" x14ac:dyDescent="0.2">
      <c r="F8305" s="591">
        <v>8296</v>
      </c>
      <c r="G8305" s="420">
        <f t="shared" ca="1" si="137"/>
        <v>3.9815552521661676E-2</v>
      </c>
    </row>
    <row r="8306" spans="6:7" x14ac:dyDescent="0.2">
      <c r="F8306" s="591">
        <v>8297</v>
      </c>
      <c r="G8306" s="420">
        <f t="shared" ca="1" si="137"/>
        <v>6.9247698758303847E-2</v>
      </c>
    </row>
    <row r="8307" spans="6:7" x14ac:dyDescent="0.2">
      <c r="F8307" s="591">
        <v>8298</v>
      </c>
      <c r="G8307" s="420">
        <f t="shared" ca="1" si="137"/>
        <v>-4.9603588583181202E-2</v>
      </c>
    </row>
    <row r="8308" spans="6:7" x14ac:dyDescent="0.2">
      <c r="F8308" s="591">
        <v>8299</v>
      </c>
      <c r="G8308" s="420">
        <f t="shared" ca="1" si="137"/>
        <v>0.12881104176097119</v>
      </c>
    </row>
    <row r="8309" spans="6:7" x14ac:dyDescent="0.2">
      <c r="F8309" s="591">
        <v>8300</v>
      </c>
      <c r="G8309" s="420">
        <f t="shared" ca="1" si="137"/>
        <v>9.275377077704372E-3</v>
      </c>
    </row>
    <row r="8310" spans="6:7" x14ac:dyDescent="0.2">
      <c r="F8310" s="591">
        <v>8301</v>
      </c>
      <c r="G8310" s="420">
        <f t="shared" ca="1" si="137"/>
        <v>-5.9970801125299421E-3</v>
      </c>
    </row>
    <row r="8311" spans="6:7" x14ac:dyDescent="0.2">
      <c r="F8311" s="591">
        <v>8302</v>
      </c>
      <c r="G8311" s="420">
        <f t="shared" ca="1" si="137"/>
        <v>3.1091653352369613E-2</v>
      </c>
    </row>
    <row r="8312" spans="6:7" x14ac:dyDescent="0.2">
      <c r="F8312" s="591">
        <v>8303</v>
      </c>
      <c r="G8312" s="420">
        <f t="shared" ca="1" si="137"/>
        <v>-9.7251851905884465E-2</v>
      </c>
    </row>
    <row r="8313" spans="6:7" x14ac:dyDescent="0.2">
      <c r="F8313" s="591">
        <v>8304</v>
      </c>
      <c r="G8313" s="420">
        <f t="shared" ca="1" si="137"/>
        <v>3.6071882522720727E-2</v>
      </c>
    </row>
    <row r="8314" spans="6:7" x14ac:dyDescent="0.2">
      <c r="F8314" s="591">
        <v>8305</v>
      </c>
      <c r="G8314" s="420">
        <f t="shared" ca="1" si="137"/>
        <v>-8.5230076253952514E-2</v>
      </c>
    </row>
    <row r="8315" spans="6:7" x14ac:dyDescent="0.2">
      <c r="F8315" s="591">
        <v>8306</v>
      </c>
      <c r="G8315" s="420">
        <f t="shared" ca="1" si="137"/>
        <v>5.5790173575775467E-2</v>
      </c>
    </row>
    <row r="8316" spans="6:7" x14ac:dyDescent="0.2">
      <c r="F8316" s="591">
        <v>8307</v>
      </c>
      <c r="G8316" s="420">
        <f t="shared" ca="1" si="137"/>
        <v>1.1681582875162459E-2</v>
      </c>
    </row>
    <row r="8317" spans="6:7" x14ac:dyDescent="0.2">
      <c r="F8317" s="591">
        <v>8308</v>
      </c>
      <c r="G8317" s="420">
        <f t="shared" ca="1" si="137"/>
        <v>0.10466735386334255</v>
      </c>
    </row>
    <row r="8318" spans="6:7" x14ac:dyDescent="0.2">
      <c r="F8318" s="591">
        <v>8309</v>
      </c>
      <c r="G8318" s="420">
        <f t="shared" ca="1" si="137"/>
        <v>7.9809033119616762E-2</v>
      </c>
    </row>
    <row r="8319" spans="6:7" x14ac:dyDescent="0.2">
      <c r="F8319" s="591">
        <v>8310</v>
      </c>
      <c r="G8319" s="420">
        <f t="shared" ca="1" si="137"/>
        <v>-3.9844183325177127E-2</v>
      </c>
    </row>
    <row r="8320" spans="6:7" x14ac:dyDescent="0.2">
      <c r="F8320" s="591">
        <v>8311</v>
      </c>
      <c r="G8320" s="420">
        <f t="shared" ca="1" si="137"/>
        <v>-2.0942709100399155E-2</v>
      </c>
    </row>
    <row r="8321" spans="6:7" x14ac:dyDescent="0.2">
      <c r="F8321" s="591">
        <v>8312</v>
      </c>
      <c r="G8321" s="420">
        <f t="shared" ca="1" si="137"/>
        <v>5.8183691498001219E-2</v>
      </c>
    </row>
    <row r="8322" spans="6:7" x14ac:dyDescent="0.2">
      <c r="F8322" s="591">
        <v>8313</v>
      </c>
      <c r="G8322" s="420">
        <f t="shared" ca="1" si="137"/>
        <v>5.5757160629802058E-2</v>
      </c>
    </row>
    <row r="8323" spans="6:7" x14ac:dyDescent="0.2">
      <c r="F8323" s="591">
        <v>8314</v>
      </c>
      <c r="G8323" s="420">
        <f t="shared" ca="1" si="137"/>
        <v>-9.9659927882591828E-2</v>
      </c>
    </row>
    <row r="8324" spans="6:7" x14ac:dyDescent="0.2">
      <c r="F8324" s="591">
        <v>8315</v>
      </c>
      <c r="G8324" s="420">
        <f t="shared" ca="1" si="137"/>
        <v>-3.7245218289893731E-2</v>
      </c>
    </row>
    <row r="8325" spans="6:7" x14ac:dyDescent="0.2">
      <c r="F8325" s="591">
        <v>8316</v>
      </c>
      <c r="G8325" s="420">
        <f t="shared" ca="1" si="137"/>
        <v>-2.0266202621715915E-2</v>
      </c>
    </row>
    <row r="8326" spans="6:7" x14ac:dyDescent="0.2">
      <c r="F8326" s="591">
        <v>8317</v>
      </c>
      <c r="G8326" s="420">
        <f t="shared" ca="1" si="137"/>
        <v>6.7974048428813841E-2</v>
      </c>
    </row>
    <row r="8327" spans="6:7" x14ac:dyDescent="0.2">
      <c r="F8327" s="591">
        <v>8318</v>
      </c>
      <c r="G8327" s="420">
        <f t="shared" ca="1" si="137"/>
        <v>5.9306052732992928E-2</v>
      </c>
    </row>
    <row r="8328" spans="6:7" x14ac:dyDescent="0.2">
      <c r="F8328" s="591">
        <v>8319</v>
      </c>
      <c r="G8328" s="420">
        <f t="shared" ca="1" si="137"/>
        <v>3.5222929509658787E-2</v>
      </c>
    </row>
    <row r="8329" spans="6:7" x14ac:dyDescent="0.2">
      <c r="F8329" s="591">
        <v>8320</v>
      </c>
      <c r="G8329" s="420">
        <f t="shared" ca="1" si="137"/>
        <v>-0.13098511468844956</v>
      </c>
    </row>
    <row r="8330" spans="6:7" x14ac:dyDescent="0.2">
      <c r="F8330" s="591">
        <v>8321</v>
      </c>
      <c r="G8330" s="420">
        <f t="shared" ca="1" si="137"/>
        <v>-6.4051930585838274E-2</v>
      </c>
    </row>
    <row r="8331" spans="6:7" x14ac:dyDescent="0.2">
      <c r="F8331" s="591">
        <v>8322</v>
      </c>
      <c r="G8331" s="420">
        <f t="shared" ref="G8331:G8394" ca="1" si="138">_xlfn.NORM.INV(RAND(), $M$11,$M$12)</f>
        <v>3.7018485462595584E-2</v>
      </c>
    </row>
    <row r="8332" spans="6:7" x14ac:dyDescent="0.2">
      <c r="F8332" s="591">
        <v>8323</v>
      </c>
      <c r="G8332" s="420">
        <f t="shared" ca="1" si="138"/>
        <v>3.8289568480843871E-3</v>
      </c>
    </row>
    <row r="8333" spans="6:7" x14ac:dyDescent="0.2">
      <c r="F8333" s="591">
        <v>8324</v>
      </c>
      <c r="G8333" s="420">
        <f t="shared" ca="1" si="138"/>
        <v>3.2369090910466539E-2</v>
      </c>
    </row>
    <row r="8334" spans="6:7" x14ac:dyDescent="0.2">
      <c r="F8334" s="591">
        <v>8325</v>
      </c>
      <c r="G8334" s="420">
        <f t="shared" ca="1" si="138"/>
        <v>-3.174858662061307E-2</v>
      </c>
    </row>
    <row r="8335" spans="6:7" x14ac:dyDescent="0.2">
      <c r="F8335" s="591">
        <v>8326</v>
      </c>
      <c r="G8335" s="420">
        <f t="shared" ca="1" si="138"/>
        <v>-2.030661300610034E-2</v>
      </c>
    </row>
    <row r="8336" spans="6:7" x14ac:dyDescent="0.2">
      <c r="F8336" s="591">
        <v>8327</v>
      </c>
      <c r="G8336" s="420">
        <f t="shared" ca="1" si="138"/>
        <v>-1.5471285021839455E-3</v>
      </c>
    </row>
    <row r="8337" spans="6:7" x14ac:dyDescent="0.2">
      <c r="F8337" s="591">
        <v>8328</v>
      </c>
      <c r="G8337" s="420">
        <f t="shared" ca="1" si="138"/>
        <v>-1.0895280231681025E-2</v>
      </c>
    </row>
    <row r="8338" spans="6:7" x14ac:dyDescent="0.2">
      <c r="F8338" s="591">
        <v>8329</v>
      </c>
      <c r="G8338" s="420">
        <f t="shared" ca="1" si="138"/>
        <v>-0.17027443579219492</v>
      </c>
    </row>
    <row r="8339" spans="6:7" x14ac:dyDescent="0.2">
      <c r="F8339" s="591">
        <v>8330</v>
      </c>
      <c r="G8339" s="420">
        <f t="shared" ca="1" si="138"/>
        <v>-3.7639982686677217E-2</v>
      </c>
    </row>
    <row r="8340" spans="6:7" x14ac:dyDescent="0.2">
      <c r="F8340" s="591">
        <v>8331</v>
      </c>
      <c r="G8340" s="420">
        <f t="shared" ca="1" si="138"/>
        <v>8.4820762034992545E-2</v>
      </c>
    </row>
    <row r="8341" spans="6:7" x14ac:dyDescent="0.2">
      <c r="F8341" s="591">
        <v>8332</v>
      </c>
      <c r="G8341" s="420">
        <f t="shared" ca="1" si="138"/>
        <v>-1.0430225349219981E-2</v>
      </c>
    </row>
    <row r="8342" spans="6:7" x14ac:dyDescent="0.2">
      <c r="F8342" s="591">
        <v>8333</v>
      </c>
      <c r="G8342" s="420">
        <f t="shared" ca="1" si="138"/>
        <v>-0.10538530140131759</v>
      </c>
    </row>
    <row r="8343" spans="6:7" x14ac:dyDescent="0.2">
      <c r="F8343" s="591">
        <v>8334</v>
      </c>
      <c r="G8343" s="420">
        <f t="shared" ca="1" si="138"/>
        <v>2.2591453987053506E-2</v>
      </c>
    </row>
    <row r="8344" spans="6:7" x14ac:dyDescent="0.2">
      <c r="F8344" s="591">
        <v>8335</v>
      </c>
      <c r="G8344" s="420">
        <f t="shared" ca="1" si="138"/>
        <v>6.92379077157948E-2</v>
      </c>
    </row>
    <row r="8345" spans="6:7" x14ac:dyDescent="0.2">
      <c r="F8345" s="591">
        <v>8336</v>
      </c>
      <c r="G8345" s="420">
        <f t="shared" ca="1" si="138"/>
        <v>5.0806123188720187E-2</v>
      </c>
    </row>
    <row r="8346" spans="6:7" x14ac:dyDescent="0.2">
      <c r="F8346" s="591">
        <v>8337</v>
      </c>
      <c r="G8346" s="420">
        <f t="shared" ca="1" si="138"/>
        <v>7.0121752330045792E-2</v>
      </c>
    </row>
    <row r="8347" spans="6:7" x14ac:dyDescent="0.2">
      <c r="F8347" s="591">
        <v>8338</v>
      </c>
      <c r="G8347" s="420">
        <f t="shared" ca="1" si="138"/>
        <v>5.2326077650574968E-2</v>
      </c>
    </row>
    <row r="8348" spans="6:7" x14ac:dyDescent="0.2">
      <c r="F8348" s="591">
        <v>8339</v>
      </c>
      <c r="G8348" s="420">
        <f t="shared" ca="1" si="138"/>
        <v>3.5372324732434041E-3</v>
      </c>
    </row>
    <row r="8349" spans="6:7" x14ac:dyDescent="0.2">
      <c r="F8349" s="591">
        <v>8340</v>
      </c>
      <c r="G8349" s="420">
        <f t="shared" ca="1" si="138"/>
        <v>-6.7388839755084751E-2</v>
      </c>
    </row>
    <row r="8350" spans="6:7" x14ac:dyDescent="0.2">
      <c r="F8350" s="591">
        <v>8341</v>
      </c>
      <c r="G8350" s="420">
        <f t="shared" ca="1" si="138"/>
        <v>-7.1621049360197322E-2</v>
      </c>
    </row>
    <row r="8351" spans="6:7" x14ac:dyDescent="0.2">
      <c r="F8351" s="591">
        <v>8342</v>
      </c>
      <c r="G8351" s="420">
        <f t="shared" ca="1" si="138"/>
        <v>-3.4742277371370756E-2</v>
      </c>
    </row>
    <row r="8352" spans="6:7" x14ac:dyDescent="0.2">
      <c r="F8352" s="591">
        <v>8343</v>
      </c>
      <c r="G8352" s="420">
        <f t="shared" ca="1" si="138"/>
        <v>-4.1158091838574079E-2</v>
      </c>
    </row>
    <row r="8353" spans="6:7" x14ac:dyDescent="0.2">
      <c r="F8353" s="591">
        <v>8344</v>
      </c>
      <c r="G8353" s="420">
        <f t="shared" ca="1" si="138"/>
        <v>-6.9594741357606307E-2</v>
      </c>
    </row>
    <row r="8354" spans="6:7" x14ac:dyDescent="0.2">
      <c r="F8354" s="591">
        <v>8345</v>
      </c>
      <c r="G8354" s="420">
        <f t="shared" ca="1" si="138"/>
        <v>8.5378497566341097E-4</v>
      </c>
    </row>
    <row r="8355" spans="6:7" x14ac:dyDescent="0.2">
      <c r="F8355" s="591">
        <v>8346</v>
      </c>
      <c r="G8355" s="420">
        <f t="shared" ca="1" si="138"/>
        <v>3.5468120140716458E-2</v>
      </c>
    </row>
    <row r="8356" spans="6:7" x14ac:dyDescent="0.2">
      <c r="F8356" s="591">
        <v>8347</v>
      </c>
      <c r="G8356" s="420">
        <f t="shared" ca="1" si="138"/>
        <v>6.5078018937164681E-2</v>
      </c>
    </row>
    <row r="8357" spans="6:7" x14ac:dyDescent="0.2">
      <c r="F8357" s="591">
        <v>8348</v>
      </c>
      <c r="G8357" s="420">
        <f t="shared" ca="1" si="138"/>
        <v>3.1977226173134067E-2</v>
      </c>
    </row>
    <row r="8358" spans="6:7" x14ac:dyDescent="0.2">
      <c r="F8358" s="591">
        <v>8349</v>
      </c>
      <c r="G8358" s="420">
        <f t="shared" ca="1" si="138"/>
        <v>3.2031972125706687E-2</v>
      </c>
    </row>
    <row r="8359" spans="6:7" x14ac:dyDescent="0.2">
      <c r="F8359" s="591">
        <v>8350</v>
      </c>
      <c r="G8359" s="420">
        <f t="shared" ca="1" si="138"/>
        <v>2.2913538546297428E-2</v>
      </c>
    </row>
    <row r="8360" spans="6:7" x14ac:dyDescent="0.2">
      <c r="F8360" s="591">
        <v>8351</v>
      </c>
      <c r="G8360" s="420">
        <f t="shared" ca="1" si="138"/>
        <v>2.5388189210070997E-2</v>
      </c>
    </row>
    <row r="8361" spans="6:7" x14ac:dyDescent="0.2">
      <c r="F8361" s="591">
        <v>8352</v>
      </c>
      <c r="G8361" s="420">
        <f t="shared" ca="1" si="138"/>
        <v>-4.0422051764833558E-2</v>
      </c>
    </row>
    <row r="8362" spans="6:7" x14ac:dyDescent="0.2">
      <c r="F8362" s="591">
        <v>8353</v>
      </c>
      <c r="G8362" s="420">
        <f t="shared" ca="1" si="138"/>
        <v>5.6926598586076599E-2</v>
      </c>
    </row>
    <row r="8363" spans="6:7" x14ac:dyDescent="0.2">
      <c r="F8363" s="591">
        <v>8354</v>
      </c>
      <c r="G8363" s="420">
        <f t="shared" ca="1" si="138"/>
        <v>6.6236173661007591E-2</v>
      </c>
    </row>
    <row r="8364" spans="6:7" x14ac:dyDescent="0.2">
      <c r="F8364" s="591">
        <v>8355</v>
      </c>
      <c r="G8364" s="420">
        <f t="shared" ca="1" si="138"/>
        <v>9.0766944243219891E-2</v>
      </c>
    </row>
    <row r="8365" spans="6:7" x14ac:dyDescent="0.2">
      <c r="F8365" s="591">
        <v>8356</v>
      </c>
      <c r="G8365" s="420">
        <f t="shared" ca="1" si="138"/>
        <v>0.10081365303102534</v>
      </c>
    </row>
    <row r="8366" spans="6:7" x14ac:dyDescent="0.2">
      <c r="F8366" s="591">
        <v>8357</v>
      </c>
      <c r="G8366" s="420">
        <f t="shared" ca="1" si="138"/>
        <v>-2.2512966577150541E-2</v>
      </c>
    </row>
    <row r="8367" spans="6:7" x14ac:dyDescent="0.2">
      <c r="F8367" s="591">
        <v>8358</v>
      </c>
      <c r="G8367" s="420">
        <f t="shared" ca="1" si="138"/>
        <v>-4.4144644001777034E-2</v>
      </c>
    </row>
    <row r="8368" spans="6:7" x14ac:dyDescent="0.2">
      <c r="F8368" s="591">
        <v>8359</v>
      </c>
      <c r="G8368" s="420">
        <f t="shared" ca="1" si="138"/>
        <v>4.0083874820042963E-2</v>
      </c>
    </row>
    <row r="8369" spans="6:7" x14ac:dyDescent="0.2">
      <c r="F8369" s="591">
        <v>8360</v>
      </c>
      <c r="G8369" s="420">
        <f t="shared" ca="1" si="138"/>
        <v>-4.323717570329369E-2</v>
      </c>
    </row>
    <row r="8370" spans="6:7" x14ac:dyDescent="0.2">
      <c r="F8370" s="591">
        <v>8361</v>
      </c>
      <c r="G8370" s="420">
        <f t="shared" ca="1" si="138"/>
        <v>2.9965184839507428E-2</v>
      </c>
    </row>
    <row r="8371" spans="6:7" x14ac:dyDescent="0.2">
      <c r="F8371" s="591">
        <v>8362</v>
      </c>
      <c r="G8371" s="420">
        <f t="shared" ca="1" si="138"/>
        <v>-0.14268428295265689</v>
      </c>
    </row>
    <row r="8372" spans="6:7" x14ac:dyDescent="0.2">
      <c r="F8372" s="591">
        <v>8363</v>
      </c>
      <c r="G8372" s="420">
        <f t="shared" ca="1" si="138"/>
        <v>3.5893438441788564E-2</v>
      </c>
    </row>
    <row r="8373" spans="6:7" x14ac:dyDescent="0.2">
      <c r="F8373" s="591">
        <v>8364</v>
      </c>
      <c r="G8373" s="420">
        <f t="shared" ca="1" si="138"/>
        <v>-2.0330909897223134E-2</v>
      </c>
    </row>
    <row r="8374" spans="6:7" x14ac:dyDescent="0.2">
      <c r="F8374" s="591">
        <v>8365</v>
      </c>
      <c r="G8374" s="420">
        <f t="shared" ca="1" si="138"/>
        <v>1.5520095411132747E-2</v>
      </c>
    </row>
    <row r="8375" spans="6:7" x14ac:dyDescent="0.2">
      <c r="F8375" s="591">
        <v>8366</v>
      </c>
      <c r="G8375" s="420">
        <f t="shared" ca="1" si="138"/>
        <v>-4.3559326767297998E-2</v>
      </c>
    </row>
    <row r="8376" spans="6:7" x14ac:dyDescent="0.2">
      <c r="F8376" s="591">
        <v>8367</v>
      </c>
      <c r="G8376" s="420">
        <f t="shared" ca="1" si="138"/>
        <v>5.7134211810079563E-2</v>
      </c>
    </row>
    <row r="8377" spans="6:7" x14ac:dyDescent="0.2">
      <c r="F8377" s="591">
        <v>8368</v>
      </c>
      <c r="G8377" s="420">
        <f t="shared" ca="1" si="138"/>
        <v>-0.19273169393188191</v>
      </c>
    </row>
    <row r="8378" spans="6:7" x14ac:dyDescent="0.2">
      <c r="F8378" s="591">
        <v>8369</v>
      </c>
      <c r="G8378" s="420">
        <f t="shared" ca="1" si="138"/>
        <v>-1.7788154076036216E-2</v>
      </c>
    </row>
    <row r="8379" spans="6:7" x14ac:dyDescent="0.2">
      <c r="F8379" s="591">
        <v>8370</v>
      </c>
      <c r="G8379" s="420">
        <f t="shared" ca="1" si="138"/>
        <v>-6.0449380017480986E-2</v>
      </c>
    </row>
    <row r="8380" spans="6:7" x14ac:dyDescent="0.2">
      <c r="F8380" s="591">
        <v>8371</v>
      </c>
      <c r="G8380" s="420">
        <f t="shared" ca="1" si="138"/>
        <v>3.7256467503700832E-2</v>
      </c>
    </row>
    <row r="8381" spans="6:7" x14ac:dyDescent="0.2">
      <c r="F8381" s="591">
        <v>8372</v>
      </c>
      <c r="G8381" s="420">
        <f t="shared" ca="1" si="138"/>
        <v>7.4853033971137906E-2</v>
      </c>
    </row>
    <row r="8382" spans="6:7" x14ac:dyDescent="0.2">
      <c r="F8382" s="591">
        <v>8373</v>
      </c>
      <c r="G8382" s="420">
        <f t="shared" ca="1" si="138"/>
        <v>-9.5493371593094456E-2</v>
      </c>
    </row>
    <row r="8383" spans="6:7" x14ac:dyDescent="0.2">
      <c r="F8383" s="591">
        <v>8374</v>
      </c>
      <c r="G8383" s="420">
        <f t="shared" ca="1" si="138"/>
        <v>-1.9719958830964838E-2</v>
      </c>
    </row>
    <row r="8384" spans="6:7" x14ac:dyDescent="0.2">
      <c r="F8384" s="591">
        <v>8375</v>
      </c>
      <c r="G8384" s="420">
        <f t="shared" ca="1" si="138"/>
        <v>-6.9798954102411673E-2</v>
      </c>
    </row>
    <row r="8385" spans="6:7" x14ac:dyDescent="0.2">
      <c r="F8385" s="591">
        <v>8376</v>
      </c>
      <c r="G8385" s="420">
        <f t="shared" ca="1" si="138"/>
        <v>-3.1572022971889477E-2</v>
      </c>
    </row>
    <row r="8386" spans="6:7" x14ac:dyDescent="0.2">
      <c r="F8386" s="591">
        <v>8377</v>
      </c>
      <c r="G8386" s="420">
        <f t="shared" ca="1" si="138"/>
        <v>8.1021536056540971E-2</v>
      </c>
    </row>
    <row r="8387" spans="6:7" x14ac:dyDescent="0.2">
      <c r="F8387" s="591">
        <v>8378</v>
      </c>
      <c r="G8387" s="420">
        <f t="shared" ca="1" si="138"/>
        <v>0.1048752558111859</v>
      </c>
    </row>
    <row r="8388" spans="6:7" x14ac:dyDescent="0.2">
      <c r="F8388" s="591">
        <v>8379</v>
      </c>
      <c r="G8388" s="420">
        <f t="shared" ca="1" si="138"/>
        <v>0.13561802326145012</v>
      </c>
    </row>
    <row r="8389" spans="6:7" x14ac:dyDescent="0.2">
      <c r="F8389" s="591">
        <v>8380</v>
      </c>
      <c r="G8389" s="420">
        <f t="shared" ca="1" si="138"/>
        <v>8.3711129491868264E-2</v>
      </c>
    </row>
    <row r="8390" spans="6:7" x14ac:dyDescent="0.2">
      <c r="F8390" s="591">
        <v>8381</v>
      </c>
      <c r="G8390" s="420">
        <f t="shared" ca="1" si="138"/>
        <v>-3.3829910025488782E-2</v>
      </c>
    </row>
    <row r="8391" spans="6:7" x14ac:dyDescent="0.2">
      <c r="F8391" s="591">
        <v>8382</v>
      </c>
      <c r="G8391" s="420">
        <f t="shared" ca="1" si="138"/>
        <v>5.74657171106457E-2</v>
      </c>
    </row>
    <row r="8392" spans="6:7" x14ac:dyDescent="0.2">
      <c r="F8392" s="591">
        <v>8383</v>
      </c>
      <c r="G8392" s="420">
        <f t="shared" ca="1" si="138"/>
        <v>-4.3726119039946457E-2</v>
      </c>
    </row>
    <row r="8393" spans="6:7" x14ac:dyDescent="0.2">
      <c r="F8393" s="591">
        <v>8384</v>
      </c>
      <c r="G8393" s="420">
        <f t="shared" ca="1" si="138"/>
        <v>3.3915109162143721E-2</v>
      </c>
    </row>
    <row r="8394" spans="6:7" x14ac:dyDescent="0.2">
      <c r="F8394" s="591">
        <v>8385</v>
      </c>
      <c r="G8394" s="420">
        <f t="shared" ca="1" si="138"/>
        <v>-6.3830060664198801E-3</v>
      </c>
    </row>
    <row r="8395" spans="6:7" x14ac:dyDescent="0.2">
      <c r="F8395" s="591">
        <v>8386</v>
      </c>
      <c r="G8395" s="420">
        <f t="shared" ref="G8395:G8458" ca="1" si="139">_xlfn.NORM.INV(RAND(), $M$11,$M$12)</f>
        <v>-2.5619143511021094E-2</v>
      </c>
    </row>
    <row r="8396" spans="6:7" x14ac:dyDescent="0.2">
      <c r="F8396" s="591">
        <v>8387</v>
      </c>
      <c r="G8396" s="420">
        <f t="shared" ca="1" si="139"/>
        <v>2.7343246596627572E-2</v>
      </c>
    </row>
    <row r="8397" spans="6:7" x14ac:dyDescent="0.2">
      <c r="F8397" s="591">
        <v>8388</v>
      </c>
      <c r="G8397" s="420">
        <f t="shared" ca="1" si="139"/>
        <v>-2.2521072236312886E-2</v>
      </c>
    </row>
    <row r="8398" spans="6:7" x14ac:dyDescent="0.2">
      <c r="F8398" s="591">
        <v>8389</v>
      </c>
      <c r="G8398" s="420">
        <f t="shared" ca="1" si="139"/>
        <v>-9.1942588176968265E-2</v>
      </c>
    </row>
    <row r="8399" spans="6:7" x14ac:dyDescent="0.2">
      <c r="F8399" s="591">
        <v>8390</v>
      </c>
      <c r="G8399" s="420">
        <f t="shared" ca="1" si="139"/>
        <v>6.6095934063470349E-2</v>
      </c>
    </row>
    <row r="8400" spans="6:7" x14ac:dyDescent="0.2">
      <c r="F8400" s="591">
        <v>8391</v>
      </c>
      <c r="G8400" s="420">
        <f t="shared" ca="1" si="139"/>
        <v>4.1886444444662913E-2</v>
      </c>
    </row>
    <row r="8401" spans="6:7" x14ac:dyDescent="0.2">
      <c r="F8401" s="591">
        <v>8392</v>
      </c>
      <c r="G8401" s="420">
        <f t="shared" ca="1" si="139"/>
        <v>1.136923606250506E-2</v>
      </c>
    </row>
    <row r="8402" spans="6:7" x14ac:dyDescent="0.2">
      <c r="F8402" s="591">
        <v>8393</v>
      </c>
      <c r="G8402" s="420">
        <f t="shared" ca="1" si="139"/>
        <v>-2.5656901839503806E-2</v>
      </c>
    </row>
    <row r="8403" spans="6:7" x14ac:dyDescent="0.2">
      <c r="F8403" s="591">
        <v>8394</v>
      </c>
      <c r="G8403" s="420">
        <f t="shared" ca="1" si="139"/>
        <v>3.949407605191034E-2</v>
      </c>
    </row>
    <row r="8404" spans="6:7" x14ac:dyDescent="0.2">
      <c r="F8404" s="591">
        <v>8395</v>
      </c>
      <c r="G8404" s="420">
        <f t="shared" ca="1" si="139"/>
        <v>9.1534508752117438E-2</v>
      </c>
    </row>
    <row r="8405" spans="6:7" x14ac:dyDescent="0.2">
      <c r="F8405" s="591">
        <v>8396</v>
      </c>
      <c r="G8405" s="420">
        <f t="shared" ca="1" si="139"/>
        <v>5.6190871323901589E-2</v>
      </c>
    </row>
    <row r="8406" spans="6:7" x14ac:dyDescent="0.2">
      <c r="F8406" s="591">
        <v>8397</v>
      </c>
      <c r="G8406" s="420">
        <f t="shared" ca="1" si="139"/>
        <v>5.5206165227168175E-2</v>
      </c>
    </row>
    <row r="8407" spans="6:7" x14ac:dyDescent="0.2">
      <c r="F8407" s="591">
        <v>8398</v>
      </c>
      <c r="G8407" s="420">
        <f t="shared" ca="1" si="139"/>
        <v>-5.3641386866298213E-2</v>
      </c>
    </row>
    <row r="8408" spans="6:7" x14ac:dyDescent="0.2">
      <c r="F8408" s="591">
        <v>8399</v>
      </c>
      <c r="G8408" s="420">
        <f t="shared" ca="1" si="139"/>
        <v>9.9294536759768598E-2</v>
      </c>
    </row>
    <row r="8409" spans="6:7" x14ac:dyDescent="0.2">
      <c r="F8409" s="591">
        <v>8400</v>
      </c>
      <c r="G8409" s="420">
        <f t="shared" ca="1" si="139"/>
        <v>-6.8076495062134756E-2</v>
      </c>
    </row>
    <row r="8410" spans="6:7" x14ac:dyDescent="0.2">
      <c r="F8410" s="591">
        <v>8401</v>
      </c>
      <c r="G8410" s="420">
        <f t="shared" ca="1" si="139"/>
        <v>6.5784368467133342E-2</v>
      </c>
    </row>
    <row r="8411" spans="6:7" x14ac:dyDescent="0.2">
      <c r="F8411" s="591">
        <v>8402</v>
      </c>
      <c r="G8411" s="420">
        <f t="shared" ca="1" si="139"/>
        <v>-4.8564508132325157E-2</v>
      </c>
    </row>
    <row r="8412" spans="6:7" x14ac:dyDescent="0.2">
      <c r="F8412" s="591">
        <v>8403</v>
      </c>
      <c r="G8412" s="420">
        <f t="shared" ca="1" si="139"/>
        <v>7.0307541748163657E-2</v>
      </c>
    </row>
    <row r="8413" spans="6:7" x14ac:dyDescent="0.2">
      <c r="F8413" s="591">
        <v>8404</v>
      </c>
      <c r="G8413" s="420">
        <f t="shared" ca="1" si="139"/>
        <v>3.4161387152535083E-3</v>
      </c>
    </row>
    <row r="8414" spans="6:7" x14ac:dyDescent="0.2">
      <c r="F8414" s="591">
        <v>8405</v>
      </c>
      <c r="G8414" s="420">
        <f t="shared" ca="1" si="139"/>
        <v>4.4138510270628609E-2</v>
      </c>
    </row>
    <row r="8415" spans="6:7" x14ac:dyDescent="0.2">
      <c r="F8415" s="591">
        <v>8406</v>
      </c>
      <c r="G8415" s="420">
        <f t="shared" ca="1" si="139"/>
        <v>4.0591198074387352E-2</v>
      </c>
    </row>
    <row r="8416" spans="6:7" x14ac:dyDescent="0.2">
      <c r="F8416" s="591">
        <v>8407</v>
      </c>
      <c r="G8416" s="420">
        <f t="shared" ca="1" si="139"/>
        <v>3.1650139733827347E-2</v>
      </c>
    </row>
    <row r="8417" spans="6:7" x14ac:dyDescent="0.2">
      <c r="F8417" s="591">
        <v>8408</v>
      </c>
      <c r="G8417" s="420">
        <f t="shared" ca="1" si="139"/>
        <v>2.7021045442210449E-2</v>
      </c>
    </row>
    <row r="8418" spans="6:7" x14ac:dyDescent="0.2">
      <c r="F8418" s="591">
        <v>8409</v>
      </c>
      <c r="G8418" s="420">
        <f t="shared" ca="1" si="139"/>
        <v>8.928852220650367E-2</v>
      </c>
    </row>
    <row r="8419" spans="6:7" x14ac:dyDescent="0.2">
      <c r="F8419" s="591">
        <v>8410</v>
      </c>
      <c r="G8419" s="420">
        <f t="shared" ca="1" si="139"/>
        <v>8.1063383391786495E-2</v>
      </c>
    </row>
    <row r="8420" spans="6:7" x14ac:dyDescent="0.2">
      <c r="F8420" s="591">
        <v>8411</v>
      </c>
      <c r="G8420" s="420">
        <f t="shared" ca="1" si="139"/>
        <v>-2.707317594252585E-2</v>
      </c>
    </row>
    <row r="8421" spans="6:7" x14ac:dyDescent="0.2">
      <c r="F8421" s="591">
        <v>8412</v>
      </c>
      <c r="G8421" s="420">
        <f t="shared" ca="1" si="139"/>
        <v>-0.10867727872491648</v>
      </c>
    </row>
    <row r="8422" spans="6:7" x14ac:dyDescent="0.2">
      <c r="F8422" s="591">
        <v>8413</v>
      </c>
      <c r="G8422" s="420">
        <f t="shared" ca="1" si="139"/>
        <v>-1.9672395881107092E-2</v>
      </c>
    </row>
    <row r="8423" spans="6:7" x14ac:dyDescent="0.2">
      <c r="F8423" s="591">
        <v>8414</v>
      </c>
      <c r="G8423" s="420">
        <f t="shared" ca="1" si="139"/>
        <v>-9.8333009250614993E-3</v>
      </c>
    </row>
    <row r="8424" spans="6:7" x14ac:dyDescent="0.2">
      <c r="F8424" s="591">
        <v>8415</v>
      </c>
      <c r="G8424" s="420">
        <f t="shared" ca="1" si="139"/>
        <v>-7.9117932493953422E-2</v>
      </c>
    </row>
    <row r="8425" spans="6:7" x14ac:dyDescent="0.2">
      <c r="F8425" s="591">
        <v>8416</v>
      </c>
      <c r="G8425" s="420">
        <f t="shared" ca="1" si="139"/>
        <v>6.9297117511389505E-2</v>
      </c>
    </row>
    <row r="8426" spans="6:7" x14ac:dyDescent="0.2">
      <c r="F8426" s="591">
        <v>8417</v>
      </c>
      <c r="G8426" s="420">
        <f t="shared" ca="1" si="139"/>
        <v>-0.1238455966822939</v>
      </c>
    </row>
    <row r="8427" spans="6:7" x14ac:dyDescent="0.2">
      <c r="F8427" s="591">
        <v>8418</v>
      </c>
      <c r="G8427" s="420">
        <f t="shared" ca="1" si="139"/>
        <v>1.624684688322833E-2</v>
      </c>
    </row>
    <row r="8428" spans="6:7" x14ac:dyDescent="0.2">
      <c r="F8428" s="591">
        <v>8419</v>
      </c>
      <c r="G8428" s="420">
        <f t="shared" ca="1" si="139"/>
        <v>-5.2618610067600435E-2</v>
      </c>
    </row>
    <row r="8429" spans="6:7" x14ac:dyDescent="0.2">
      <c r="F8429" s="591">
        <v>8420</v>
      </c>
      <c r="G8429" s="420">
        <f t="shared" ca="1" si="139"/>
        <v>-7.2611323813876638E-2</v>
      </c>
    </row>
    <row r="8430" spans="6:7" x14ac:dyDescent="0.2">
      <c r="F8430" s="591">
        <v>8421</v>
      </c>
      <c r="G8430" s="420">
        <f t="shared" ca="1" si="139"/>
        <v>5.4178430295375613E-2</v>
      </c>
    </row>
    <row r="8431" spans="6:7" x14ac:dyDescent="0.2">
      <c r="F8431" s="591">
        <v>8422</v>
      </c>
      <c r="G8431" s="420">
        <f t="shared" ca="1" si="139"/>
        <v>-1.0071978714190653E-2</v>
      </c>
    </row>
    <row r="8432" spans="6:7" x14ac:dyDescent="0.2">
      <c r="F8432" s="591">
        <v>8423</v>
      </c>
      <c r="G8432" s="420">
        <f t="shared" ca="1" si="139"/>
        <v>0.11301374520109436</v>
      </c>
    </row>
    <row r="8433" spans="6:7" x14ac:dyDescent="0.2">
      <c r="F8433" s="591">
        <v>8424</v>
      </c>
      <c r="G8433" s="420">
        <f t="shared" ca="1" si="139"/>
        <v>9.9958220147355892E-2</v>
      </c>
    </row>
    <row r="8434" spans="6:7" x14ac:dyDescent="0.2">
      <c r="F8434" s="591">
        <v>8425</v>
      </c>
      <c r="G8434" s="420">
        <f t="shared" ca="1" si="139"/>
        <v>3.1030944236148116E-2</v>
      </c>
    </row>
    <row r="8435" spans="6:7" x14ac:dyDescent="0.2">
      <c r="F8435" s="591">
        <v>8426</v>
      </c>
      <c r="G8435" s="420">
        <f t="shared" ca="1" si="139"/>
        <v>2.1399741272550513E-3</v>
      </c>
    </row>
    <row r="8436" spans="6:7" x14ac:dyDescent="0.2">
      <c r="F8436" s="591">
        <v>8427</v>
      </c>
      <c r="G8436" s="420">
        <f t="shared" ca="1" si="139"/>
        <v>9.549938645504942E-2</v>
      </c>
    </row>
    <row r="8437" spans="6:7" x14ac:dyDescent="0.2">
      <c r="F8437" s="591">
        <v>8428</v>
      </c>
      <c r="G8437" s="420">
        <f t="shared" ca="1" si="139"/>
        <v>-4.2850371177563712E-2</v>
      </c>
    </row>
    <row r="8438" spans="6:7" x14ac:dyDescent="0.2">
      <c r="F8438" s="591">
        <v>8429</v>
      </c>
      <c r="G8438" s="420">
        <f t="shared" ca="1" si="139"/>
        <v>-4.2231937636452166E-2</v>
      </c>
    </row>
    <row r="8439" spans="6:7" x14ac:dyDescent="0.2">
      <c r="F8439" s="591">
        <v>8430</v>
      </c>
      <c r="G8439" s="420">
        <f t="shared" ca="1" si="139"/>
        <v>-8.2063917364381997E-2</v>
      </c>
    </row>
    <row r="8440" spans="6:7" x14ac:dyDescent="0.2">
      <c r="F8440" s="591">
        <v>8431</v>
      </c>
      <c r="G8440" s="420">
        <f t="shared" ca="1" si="139"/>
        <v>-3.6366969546088077E-2</v>
      </c>
    </row>
    <row r="8441" spans="6:7" x14ac:dyDescent="0.2">
      <c r="F8441" s="591">
        <v>8432</v>
      </c>
      <c r="G8441" s="420">
        <f t="shared" ca="1" si="139"/>
        <v>-4.4055843538643349E-2</v>
      </c>
    </row>
    <row r="8442" spans="6:7" x14ac:dyDescent="0.2">
      <c r="F8442" s="591">
        <v>8433</v>
      </c>
      <c r="G8442" s="420">
        <f t="shared" ca="1" si="139"/>
        <v>4.401947158302133E-2</v>
      </c>
    </row>
    <row r="8443" spans="6:7" x14ac:dyDescent="0.2">
      <c r="F8443" s="591">
        <v>8434</v>
      </c>
      <c r="G8443" s="420">
        <f t="shared" ca="1" si="139"/>
        <v>1.2205645936207526E-2</v>
      </c>
    </row>
    <row r="8444" spans="6:7" x14ac:dyDescent="0.2">
      <c r="F8444" s="591">
        <v>8435</v>
      </c>
      <c r="G8444" s="420">
        <f t="shared" ca="1" si="139"/>
        <v>0.1525666390151505</v>
      </c>
    </row>
    <row r="8445" spans="6:7" x14ac:dyDescent="0.2">
      <c r="F8445" s="591">
        <v>8436</v>
      </c>
      <c r="G8445" s="420">
        <f t="shared" ca="1" si="139"/>
        <v>-1.7290483785153916E-2</v>
      </c>
    </row>
    <row r="8446" spans="6:7" x14ac:dyDescent="0.2">
      <c r="F8446" s="591">
        <v>8437</v>
      </c>
      <c r="G8446" s="420">
        <f t="shared" ca="1" si="139"/>
        <v>-3.0604324450009893E-3</v>
      </c>
    </row>
    <row r="8447" spans="6:7" x14ac:dyDescent="0.2">
      <c r="F8447" s="591">
        <v>8438</v>
      </c>
      <c r="G8447" s="420">
        <f t="shared" ca="1" si="139"/>
        <v>-3.6972587185308672E-2</v>
      </c>
    </row>
    <row r="8448" spans="6:7" x14ac:dyDescent="0.2">
      <c r="F8448" s="591">
        <v>8439</v>
      </c>
      <c r="G8448" s="420">
        <f t="shared" ca="1" si="139"/>
        <v>-8.543409523152478E-4</v>
      </c>
    </row>
    <row r="8449" spans="6:7" x14ac:dyDescent="0.2">
      <c r="F8449" s="591">
        <v>8440</v>
      </c>
      <c r="G8449" s="420">
        <f t="shared" ca="1" si="139"/>
        <v>4.9205274262212268E-3</v>
      </c>
    </row>
    <row r="8450" spans="6:7" x14ac:dyDescent="0.2">
      <c r="F8450" s="591">
        <v>8441</v>
      </c>
      <c r="G8450" s="420">
        <f t="shared" ca="1" si="139"/>
        <v>-0.1663421381180496</v>
      </c>
    </row>
    <row r="8451" spans="6:7" x14ac:dyDescent="0.2">
      <c r="F8451" s="591">
        <v>8442</v>
      </c>
      <c r="G8451" s="420">
        <f t="shared" ca="1" si="139"/>
        <v>9.7951662463407349E-2</v>
      </c>
    </row>
    <row r="8452" spans="6:7" x14ac:dyDescent="0.2">
      <c r="F8452" s="591">
        <v>8443</v>
      </c>
      <c r="G8452" s="420">
        <f t="shared" ca="1" si="139"/>
        <v>2.3175046815399562E-2</v>
      </c>
    </row>
    <row r="8453" spans="6:7" x14ac:dyDescent="0.2">
      <c r="F8453" s="591">
        <v>8444</v>
      </c>
      <c r="G8453" s="420">
        <f t="shared" ca="1" si="139"/>
        <v>-2.9865366644483613E-2</v>
      </c>
    </row>
    <row r="8454" spans="6:7" x14ac:dyDescent="0.2">
      <c r="F8454" s="591">
        <v>8445</v>
      </c>
      <c r="G8454" s="420">
        <f t="shared" ca="1" si="139"/>
        <v>3.8920868340870413E-2</v>
      </c>
    </row>
    <row r="8455" spans="6:7" x14ac:dyDescent="0.2">
      <c r="F8455" s="591">
        <v>8446</v>
      </c>
      <c r="G8455" s="420">
        <f t="shared" ca="1" si="139"/>
        <v>5.6418336982724485E-2</v>
      </c>
    </row>
    <row r="8456" spans="6:7" x14ac:dyDescent="0.2">
      <c r="F8456" s="591">
        <v>8447</v>
      </c>
      <c r="G8456" s="420">
        <f t="shared" ca="1" si="139"/>
        <v>-4.3188959847575689E-2</v>
      </c>
    </row>
    <row r="8457" spans="6:7" x14ac:dyDescent="0.2">
      <c r="F8457" s="591">
        <v>8448</v>
      </c>
      <c r="G8457" s="420">
        <f t="shared" ca="1" si="139"/>
        <v>-3.5793451180225061E-2</v>
      </c>
    </row>
    <row r="8458" spans="6:7" x14ac:dyDescent="0.2">
      <c r="F8458" s="591">
        <v>8449</v>
      </c>
      <c r="G8458" s="420">
        <f t="shared" ca="1" si="139"/>
        <v>-1.5395954544981036E-2</v>
      </c>
    </row>
    <row r="8459" spans="6:7" x14ac:dyDescent="0.2">
      <c r="F8459" s="591">
        <v>8450</v>
      </c>
      <c r="G8459" s="420">
        <f t="shared" ref="G8459:G8522" ca="1" si="140">_xlfn.NORM.INV(RAND(), $M$11,$M$12)</f>
        <v>-3.5216753225114444E-2</v>
      </c>
    </row>
    <row r="8460" spans="6:7" x14ac:dyDescent="0.2">
      <c r="F8460" s="591">
        <v>8451</v>
      </c>
      <c r="G8460" s="420">
        <f t="shared" ca="1" si="140"/>
        <v>0.11412243925127358</v>
      </c>
    </row>
    <row r="8461" spans="6:7" x14ac:dyDescent="0.2">
      <c r="F8461" s="591">
        <v>8452</v>
      </c>
      <c r="G8461" s="420">
        <f t="shared" ca="1" si="140"/>
        <v>2.8209625862606974E-2</v>
      </c>
    </row>
    <row r="8462" spans="6:7" x14ac:dyDescent="0.2">
      <c r="F8462" s="591">
        <v>8453</v>
      </c>
      <c r="G8462" s="420">
        <f t="shared" ca="1" si="140"/>
        <v>-4.0286699028466683E-2</v>
      </c>
    </row>
    <row r="8463" spans="6:7" x14ac:dyDescent="0.2">
      <c r="F8463" s="591">
        <v>8454</v>
      </c>
      <c r="G8463" s="420">
        <f t="shared" ca="1" si="140"/>
        <v>-6.9359732300306551E-2</v>
      </c>
    </row>
    <row r="8464" spans="6:7" x14ac:dyDescent="0.2">
      <c r="F8464" s="591">
        <v>8455</v>
      </c>
      <c r="G8464" s="420">
        <f t="shared" ca="1" si="140"/>
        <v>3.6964167071030979E-2</v>
      </c>
    </row>
    <row r="8465" spans="6:7" x14ac:dyDescent="0.2">
      <c r="F8465" s="591">
        <v>8456</v>
      </c>
      <c r="G8465" s="420">
        <f t="shared" ca="1" si="140"/>
        <v>-2.9525456100755323E-2</v>
      </c>
    </row>
    <row r="8466" spans="6:7" x14ac:dyDescent="0.2">
      <c r="F8466" s="591">
        <v>8457</v>
      </c>
      <c r="G8466" s="420">
        <f t="shared" ca="1" si="140"/>
        <v>-0.10277981068223419</v>
      </c>
    </row>
    <row r="8467" spans="6:7" x14ac:dyDescent="0.2">
      <c r="F8467" s="591">
        <v>8458</v>
      </c>
      <c r="G8467" s="420">
        <f t="shared" ca="1" si="140"/>
        <v>7.18903396176023E-2</v>
      </c>
    </row>
    <row r="8468" spans="6:7" x14ac:dyDescent="0.2">
      <c r="F8468" s="591">
        <v>8459</v>
      </c>
      <c r="G8468" s="420">
        <f t="shared" ca="1" si="140"/>
        <v>0.13925302549683063</v>
      </c>
    </row>
    <row r="8469" spans="6:7" x14ac:dyDescent="0.2">
      <c r="F8469" s="591">
        <v>8460</v>
      </c>
      <c r="G8469" s="420">
        <f t="shared" ca="1" si="140"/>
        <v>8.990880293867233E-2</v>
      </c>
    </row>
    <row r="8470" spans="6:7" x14ac:dyDescent="0.2">
      <c r="F8470" s="591">
        <v>8461</v>
      </c>
      <c r="G8470" s="420">
        <f t="shared" ca="1" si="140"/>
        <v>-2.1874514571096629E-2</v>
      </c>
    </row>
    <row r="8471" spans="6:7" x14ac:dyDescent="0.2">
      <c r="F8471" s="591">
        <v>8462</v>
      </c>
      <c r="G8471" s="420">
        <f t="shared" ca="1" si="140"/>
        <v>-6.8011492340529327E-3</v>
      </c>
    </row>
    <row r="8472" spans="6:7" x14ac:dyDescent="0.2">
      <c r="F8472" s="591">
        <v>8463</v>
      </c>
      <c r="G8472" s="420">
        <f t="shared" ca="1" si="140"/>
        <v>5.3988067463948228E-2</v>
      </c>
    </row>
    <row r="8473" spans="6:7" x14ac:dyDescent="0.2">
      <c r="F8473" s="591">
        <v>8464</v>
      </c>
      <c r="G8473" s="420">
        <f t="shared" ca="1" si="140"/>
        <v>0.13674906937840914</v>
      </c>
    </row>
    <row r="8474" spans="6:7" x14ac:dyDescent="0.2">
      <c r="F8474" s="591">
        <v>8465</v>
      </c>
      <c r="G8474" s="420">
        <f t="shared" ca="1" si="140"/>
        <v>-6.4830857318026236E-2</v>
      </c>
    </row>
    <row r="8475" spans="6:7" x14ac:dyDescent="0.2">
      <c r="F8475" s="591">
        <v>8466</v>
      </c>
      <c r="G8475" s="420">
        <f t="shared" ca="1" si="140"/>
        <v>0.11926710216652418</v>
      </c>
    </row>
    <row r="8476" spans="6:7" x14ac:dyDescent="0.2">
      <c r="F8476" s="591">
        <v>8467</v>
      </c>
      <c r="G8476" s="420">
        <f t="shared" ca="1" si="140"/>
        <v>5.6742063711681917E-2</v>
      </c>
    </row>
    <row r="8477" spans="6:7" x14ac:dyDescent="0.2">
      <c r="F8477" s="591">
        <v>8468</v>
      </c>
      <c r="G8477" s="420">
        <f t="shared" ca="1" si="140"/>
        <v>3.852378495111345E-2</v>
      </c>
    </row>
    <row r="8478" spans="6:7" x14ac:dyDescent="0.2">
      <c r="F8478" s="591">
        <v>8469</v>
      </c>
      <c r="G8478" s="420">
        <f t="shared" ca="1" si="140"/>
        <v>0.10288906032479364</v>
      </c>
    </row>
    <row r="8479" spans="6:7" x14ac:dyDescent="0.2">
      <c r="F8479" s="591">
        <v>8470</v>
      </c>
      <c r="G8479" s="420">
        <f t="shared" ca="1" si="140"/>
        <v>1.3707196774099744E-2</v>
      </c>
    </row>
    <row r="8480" spans="6:7" x14ac:dyDescent="0.2">
      <c r="F8480" s="591">
        <v>8471</v>
      </c>
      <c r="G8480" s="420">
        <f t="shared" ca="1" si="140"/>
        <v>0.13407366393203513</v>
      </c>
    </row>
    <row r="8481" spans="6:7" x14ac:dyDescent="0.2">
      <c r="F8481" s="591">
        <v>8472</v>
      </c>
      <c r="G8481" s="420">
        <f t="shared" ca="1" si="140"/>
        <v>9.2633286842200471E-2</v>
      </c>
    </row>
    <row r="8482" spans="6:7" x14ac:dyDescent="0.2">
      <c r="F8482" s="591">
        <v>8473</v>
      </c>
      <c r="G8482" s="420">
        <f t="shared" ca="1" si="140"/>
        <v>-4.1852263216443489E-2</v>
      </c>
    </row>
    <row r="8483" spans="6:7" x14ac:dyDescent="0.2">
      <c r="F8483" s="591">
        <v>8474</v>
      </c>
      <c r="G8483" s="420">
        <f t="shared" ca="1" si="140"/>
        <v>3.0682360132162689E-2</v>
      </c>
    </row>
    <row r="8484" spans="6:7" x14ac:dyDescent="0.2">
      <c r="F8484" s="591">
        <v>8475</v>
      </c>
      <c r="G8484" s="420">
        <f t="shared" ca="1" si="140"/>
        <v>-1.3553345786982824E-2</v>
      </c>
    </row>
    <row r="8485" spans="6:7" x14ac:dyDescent="0.2">
      <c r="F8485" s="591">
        <v>8476</v>
      </c>
      <c r="G8485" s="420">
        <f t="shared" ca="1" si="140"/>
        <v>3.3964030530231754E-2</v>
      </c>
    </row>
    <row r="8486" spans="6:7" x14ac:dyDescent="0.2">
      <c r="F8486" s="591">
        <v>8477</v>
      </c>
      <c r="G8486" s="420">
        <f t="shared" ca="1" si="140"/>
        <v>6.9978164345346108E-2</v>
      </c>
    </row>
    <row r="8487" spans="6:7" x14ac:dyDescent="0.2">
      <c r="F8487" s="591">
        <v>8478</v>
      </c>
      <c r="G8487" s="420">
        <f t="shared" ca="1" si="140"/>
        <v>-4.1659152775272448E-2</v>
      </c>
    </row>
    <row r="8488" spans="6:7" x14ac:dyDescent="0.2">
      <c r="F8488" s="591">
        <v>8479</v>
      </c>
      <c r="G8488" s="420">
        <f t="shared" ca="1" si="140"/>
        <v>0.11405820352625073</v>
      </c>
    </row>
    <row r="8489" spans="6:7" x14ac:dyDescent="0.2">
      <c r="F8489" s="591">
        <v>8480</v>
      </c>
      <c r="G8489" s="420">
        <f t="shared" ca="1" si="140"/>
        <v>0.12403428930470385</v>
      </c>
    </row>
    <row r="8490" spans="6:7" x14ac:dyDescent="0.2">
      <c r="F8490" s="591">
        <v>8481</v>
      </c>
      <c r="G8490" s="420">
        <f t="shared" ca="1" si="140"/>
        <v>-7.9770876671564697E-3</v>
      </c>
    </row>
    <row r="8491" spans="6:7" x14ac:dyDescent="0.2">
      <c r="F8491" s="591">
        <v>8482</v>
      </c>
      <c r="G8491" s="420">
        <f t="shared" ca="1" si="140"/>
        <v>5.8284061913585553E-2</v>
      </c>
    </row>
    <row r="8492" spans="6:7" x14ac:dyDescent="0.2">
      <c r="F8492" s="591">
        <v>8483</v>
      </c>
      <c r="G8492" s="420">
        <f t="shared" ca="1" si="140"/>
        <v>-1.476752598771405E-2</v>
      </c>
    </row>
    <row r="8493" spans="6:7" x14ac:dyDescent="0.2">
      <c r="F8493" s="591">
        <v>8484</v>
      </c>
      <c r="G8493" s="420">
        <f t="shared" ca="1" si="140"/>
        <v>-0.15743553388836193</v>
      </c>
    </row>
    <row r="8494" spans="6:7" x14ac:dyDescent="0.2">
      <c r="F8494" s="591">
        <v>8485</v>
      </c>
      <c r="G8494" s="420">
        <f t="shared" ca="1" si="140"/>
        <v>6.6853030595062188E-2</v>
      </c>
    </row>
    <row r="8495" spans="6:7" x14ac:dyDescent="0.2">
      <c r="F8495" s="591">
        <v>8486</v>
      </c>
      <c r="G8495" s="420">
        <f t="shared" ca="1" si="140"/>
        <v>9.7033879167286383E-2</v>
      </c>
    </row>
    <row r="8496" spans="6:7" x14ac:dyDescent="0.2">
      <c r="F8496" s="591">
        <v>8487</v>
      </c>
      <c r="G8496" s="420">
        <f t="shared" ca="1" si="140"/>
        <v>-4.1698989892157243E-2</v>
      </c>
    </row>
    <row r="8497" spans="6:7" x14ac:dyDescent="0.2">
      <c r="F8497" s="591">
        <v>8488</v>
      </c>
      <c r="G8497" s="420">
        <f t="shared" ca="1" si="140"/>
        <v>9.1631795710444164E-2</v>
      </c>
    </row>
    <row r="8498" spans="6:7" x14ac:dyDescent="0.2">
      <c r="F8498" s="591">
        <v>8489</v>
      </c>
      <c r="G8498" s="420">
        <f t="shared" ca="1" si="140"/>
        <v>-5.318076975531924E-3</v>
      </c>
    </row>
    <row r="8499" spans="6:7" x14ac:dyDescent="0.2">
      <c r="F8499" s="591">
        <v>8490</v>
      </c>
      <c r="G8499" s="420">
        <f t="shared" ca="1" si="140"/>
        <v>5.8485253904174375E-2</v>
      </c>
    </row>
    <row r="8500" spans="6:7" x14ac:dyDescent="0.2">
      <c r="F8500" s="591">
        <v>8491</v>
      </c>
      <c r="G8500" s="420">
        <f t="shared" ca="1" si="140"/>
        <v>8.4829785046909897E-2</v>
      </c>
    </row>
    <row r="8501" spans="6:7" x14ac:dyDescent="0.2">
      <c r="F8501" s="591">
        <v>8492</v>
      </c>
      <c r="G8501" s="420">
        <f t="shared" ca="1" si="140"/>
        <v>1.8765651886922689E-2</v>
      </c>
    </row>
    <row r="8502" spans="6:7" x14ac:dyDescent="0.2">
      <c r="F8502" s="591">
        <v>8493</v>
      </c>
      <c r="G8502" s="420">
        <f t="shared" ca="1" si="140"/>
        <v>1.2812784117227312E-2</v>
      </c>
    </row>
    <row r="8503" spans="6:7" x14ac:dyDescent="0.2">
      <c r="F8503" s="591">
        <v>8494</v>
      </c>
      <c r="G8503" s="420">
        <f t="shared" ca="1" si="140"/>
        <v>3.0355685983808681E-3</v>
      </c>
    </row>
    <row r="8504" spans="6:7" x14ac:dyDescent="0.2">
      <c r="F8504" s="591">
        <v>8495</v>
      </c>
      <c r="G8504" s="420">
        <f t="shared" ca="1" si="140"/>
        <v>0.12236088914999933</v>
      </c>
    </row>
    <row r="8505" spans="6:7" x14ac:dyDescent="0.2">
      <c r="F8505" s="591">
        <v>8496</v>
      </c>
      <c r="G8505" s="420">
        <f t="shared" ca="1" si="140"/>
        <v>4.0697767594846827E-2</v>
      </c>
    </row>
    <row r="8506" spans="6:7" x14ac:dyDescent="0.2">
      <c r="F8506" s="591">
        <v>8497</v>
      </c>
      <c r="G8506" s="420">
        <f t="shared" ca="1" si="140"/>
        <v>0.17187122996563867</v>
      </c>
    </row>
    <row r="8507" spans="6:7" x14ac:dyDescent="0.2">
      <c r="F8507" s="591">
        <v>8498</v>
      </c>
      <c r="G8507" s="420">
        <f t="shared" ca="1" si="140"/>
        <v>3.0154328539733131E-2</v>
      </c>
    </row>
    <row r="8508" spans="6:7" x14ac:dyDescent="0.2">
      <c r="F8508" s="591">
        <v>8499</v>
      </c>
      <c r="G8508" s="420">
        <f t="shared" ca="1" si="140"/>
        <v>0.10643461071914666</v>
      </c>
    </row>
    <row r="8509" spans="6:7" x14ac:dyDescent="0.2">
      <c r="F8509" s="591">
        <v>8500</v>
      </c>
      <c r="G8509" s="420">
        <f t="shared" ca="1" si="140"/>
        <v>0.14226728316267742</v>
      </c>
    </row>
    <row r="8510" spans="6:7" x14ac:dyDescent="0.2">
      <c r="F8510" s="591">
        <v>8501</v>
      </c>
      <c r="G8510" s="420">
        <f t="shared" ca="1" si="140"/>
        <v>-2.365240564819945E-2</v>
      </c>
    </row>
    <row r="8511" spans="6:7" x14ac:dyDescent="0.2">
      <c r="F8511" s="591">
        <v>8502</v>
      </c>
      <c r="G8511" s="420">
        <f t="shared" ca="1" si="140"/>
        <v>-6.7308642052744602E-2</v>
      </c>
    </row>
    <row r="8512" spans="6:7" x14ac:dyDescent="0.2">
      <c r="F8512" s="591">
        <v>8503</v>
      </c>
      <c r="G8512" s="420">
        <f t="shared" ca="1" si="140"/>
        <v>-0.14317194740670003</v>
      </c>
    </row>
    <row r="8513" spans="6:7" x14ac:dyDescent="0.2">
      <c r="F8513" s="591">
        <v>8504</v>
      </c>
      <c r="G8513" s="420">
        <f t="shared" ca="1" si="140"/>
        <v>-1.66740959758537E-3</v>
      </c>
    </row>
    <row r="8514" spans="6:7" x14ac:dyDescent="0.2">
      <c r="F8514" s="591">
        <v>8505</v>
      </c>
      <c r="G8514" s="420">
        <f t="shared" ca="1" si="140"/>
        <v>9.368219853215844E-3</v>
      </c>
    </row>
    <row r="8515" spans="6:7" x14ac:dyDescent="0.2">
      <c r="F8515" s="591">
        <v>8506</v>
      </c>
      <c r="G8515" s="420">
        <f t="shared" ca="1" si="140"/>
        <v>-3.2024107601855666E-3</v>
      </c>
    </row>
    <row r="8516" spans="6:7" x14ac:dyDescent="0.2">
      <c r="F8516" s="591">
        <v>8507</v>
      </c>
      <c r="G8516" s="420">
        <f t="shared" ca="1" si="140"/>
        <v>5.8070638411505282E-2</v>
      </c>
    </row>
    <row r="8517" spans="6:7" x14ac:dyDescent="0.2">
      <c r="F8517" s="591">
        <v>8508</v>
      </c>
      <c r="G8517" s="420">
        <f t="shared" ca="1" si="140"/>
        <v>4.0753950850941981E-2</v>
      </c>
    </row>
    <row r="8518" spans="6:7" x14ac:dyDescent="0.2">
      <c r="F8518" s="591">
        <v>8509</v>
      </c>
      <c r="G8518" s="420">
        <f t="shared" ca="1" si="140"/>
        <v>-0.1081974327582545</v>
      </c>
    </row>
    <row r="8519" spans="6:7" x14ac:dyDescent="0.2">
      <c r="F8519" s="591">
        <v>8510</v>
      </c>
      <c r="G8519" s="420">
        <f t="shared" ca="1" si="140"/>
        <v>5.5672048864351342E-2</v>
      </c>
    </row>
    <row r="8520" spans="6:7" x14ac:dyDescent="0.2">
      <c r="F8520" s="591">
        <v>8511</v>
      </c>
      <c r="G8520" s="420">
        <f t="shared" ca="1" si="140"/>
        <v>-4.4324934700433846E-2</v>
      </c>
    </row>
    <row r="8521" spans="6:7" x14ac:dyDescent="0.2">
      <c r="F8521" s="591">
        <v>8512</v>
      </c>
      <c r="G8521" s="420">
        <f t="shared" ca="1" si="140"/>
        <v>-1.2188935085021575E-2</v>
      </c>
    </row>
    <row r="8522" spans="6:7" x14ac:dyDescent="0.2">
      <c r="F8522" s="591">
        <v>8513</v>
      </c>
      <c r="G8522" s="420">
        <f t="shared" ca="1" si="140"/>
        <v>1.8337471160717721E-2</v>
      </c>
    </row>
    <row r="8523" spans="6:7" x14ac:dyDescent="0.2">
      <c r="F8523" s="591">
        <v>8514</v>
      </c>
      <c r="G8523" s="420">
        <f t="shared" ref="G8523:G8586" ca="1" si="141">_xlfn.NORM.INV(RAND(), $M$11,$M$12)</f>
        <v>-5.8541823692043374E-2</v>
      </c>
    </row>
    <row r="8524" spans="6:7" x14ac:dyDescent="0.2">
      <c r="F8524" s="591">
        <v>8515</v>
      </c>
      <c r="G8524" s="420">
        <f t="shared" ca="1" si="141"/>
        <v>-3.2411460661269681E-2</v>
      </c>
    </row>
    <row r="8525" spans="6:7" x14ac:dyDescent="0.2">
      <c r="F8525" s="591">
        <v>8516</v>
      </c>
      <c r="G8525" s="420">
        <f t="shared" ca="1" si="141"/>
        <v>-2.7103551239643319E-2</v>
      </c>
    </row>
    <row r="8526" spans="6:7" x14ac:dyDescent="0.2">
      <c r="F8526" s="591">
        <v>8517</v>
      </c>
      <c r="G8526" s="420">
        <f t="shared" ca="1" si="141"/>
        <v>7.2294454263545166E-2</v>
      </c>
    </row>
    <row r="8527" spans="6:7" x14ac:dyDescent="0.2">
      <c r="F8527" s="591">
        <v>8518</v>
      </c>
      <c r="G8527" s="420">
        <f t="shared" ca="1" si="141"/>
        <v>8.6772107538144946E-2</v>
      </c>
    </row>
    <row r="8528" spans="6:7" x14ac:dyDescent="0.2">
      <c r="F8528" s="591">
        <v>8519</v>
      </c>
      <c r="G8528" s="420">
        <f t="shared" ca="1" si="141"/>
        <v>7.9939600874590636E-2</v>
      </c>
    </row>
    <row r="8529" spans="6:7" x14ac:dyDescent="0.2">
      <c r="F8529" s="591">
        <v>8520</v>
      </c>
      <c r="G8529" s="420">
        <f t="shared" ca="1" si="141"/>
        <v>1.9521519051737005E-2</v>
      </c>
    </row>
    <row r="8530" spans="6:7" x14ac:dyDescent="0.2">
      <c r="F8530" s="591">
        <v>8521</v>
      </c>
      <c r="G8530" s="420">
        <f t="shared" ca="1" si="141"/>
        <v>5.7225820341289826E-2</v>
      </c>
    </row>
    <row r="8531" spans="6:7" x14ac:dyDescent="0.2">
      <c r="F8531" s="591">
        <v>8522</v>
      </c>
      <c r="G8531" s="420">
        <f t="shared" ca="1" si="141"/>
        <v>-6.5224864710275735E-2</v>
      </c>
    </row>
    <row r="8532" spans="6:7" x14ac:dyDescent="0.2">
      <c r="F8532" s="591">
        <v>8523</v>
      </c>
      <c r="G8532" s="420">
        <f t="shared" ca="1" si="141"/>
        <v>-3.5723265116128153E-2</v>
      </c>
    </row>
    <row r="8533" spans="6:7" x14ac:dyDescent="0.2">
      <c r="F8533" s="591">
        <v>8524</v>
      </c>
      <c r="G8533" s="420">
        <f t="shared" ca="1" si="141"/>
        <v>2.1856153974549507E-2</v>
      </c>
    </row>
    <row r="8534" spans="6:7" x14ac:dyDescent="0.2">
      <c r="F8534" s="591">
        <v>8525</v>
      </c>
      <c r="G8534" s="420">
        <f t="shared" ca="1" si="141"/>
        <v>1.4754543755432739E-2</v>
      </c>
    </row>
    <row r="8535" spans="6:7" x14ac:dyDescent="0.2">
      <c r="F8535" s="591">
        <v>8526</v>
      </c>
      <c r="G8535" s="420">
        <f t="shared" ca="1" si="141"/>
        <v>-9.4416192398546941E-2</v>
      </c>
    </row>
    <row r="8536" spans="6:7" x14ac:dyDescent="0.2">
      <c r="F8536" s="591">
        <v>8527</v>
      </c>
      <c r="G8536" s="420">
        <f t="shared" ca="1" si="141"/>
        <v>0.13222137655672403</v>
      </c>
    </row>
    <row r="8537" spans="6:7" x14ac:dyDescent="0.2">
      <c r="F8537" s="591">
        <v>8528</v>
      </c>
      <c r="G8537" s="420">
        <f t="shared" ca="1" si="141"/>
        <v>7.1523792567874278E-2</v>
      </c>
    </row>
    <row r="8538" spans="6:7" x14ac:dyDescent="0.2">
      <c r="F8538" s="591">
        <v>8529</v>
      </c>
      <c r="G8538" s="420">
        <f t="shared" ca="1" si="141"/>
        <v>6.4765353142478055E-2</v>
      </c>
    </row>
    <row r="8539" spans="6:7" x14ac:dyDescent="0.2">
      <c r="F8539" s="591">
        <v>8530</v>
      </c>
      <c r="G8539" s="420">
        <f t="shared" ca="1" si="141"/>
        <v>-0.1209366507495727</v>
      </c>
    </row>
    <row r="8540" spans="6:7" x14ac:dyDescent="0.2">
      <c r="F8540" s="591">
        <v>8531</v>
      </c>
      <c r="G8540" s="420">
        <f t="shared" ca="1" si="141"/>
        <v>3.4167000927969857E-2</v>
      </c>
    </row>
    <row r="8541" spans="6:7" x14ac:dyDescent="0.2">
      <c r="F8541" s="591">
        <v>8532</v>
      </c>
      <c r="G8541" s="420">
        <f t="shared" ca="1" si="141"/>
        <v>-2.1255864452262851E-3</v>
      </c>
    </row>
    <row r="8542" spans="6:7" x14ac:dyDescent="0.2">
      <c r="F8542" s="591">
        <v>8533</v>
      </c>
      <c r="G8542" s="420">
        <f t="shared" ca="1" si="141"/>
        <v>-2.9746851793200215E-2</v>
      </c>
    </row>
    <row r="8543" spans="6:7" x14ac:dyDescent="0.2">
      <c r="F8543" s="591">
        <v>8534</v>
      </c>
      <c r="G8543" s="420">
        <f t="shared" ca="1" si="141"/>
        <v>-2.2831523793330411E-2</v>
      </c>
    </row>
    <row r="8544" spans="6:7" x14ac:dyDescent="0.2">
      <c r="F8544" s="591">
        <v>8535</v>
      </c>
      <c r="G8544" s="420">
        <f t="shared" ca="1" si="141"/>
        <v>7.4051734173905606E-2</v>
      </c>
    </row>
    <row r="8545" spans="6:7" x14ac:dyDescent="0.2">
      <c r="F8545" s="591">
        <v>8536</v>
      </c>
      <c r="G8545" s="420">
        <f t="shared" ca="1" si="141"/>
        <v>-6.0121730539820145E-2</v>
      </c>
    </row>
    <row r="8546" spans="6:7" x14ac:dyDescent="0.2">
      <c r="F8546" s="591">
        <v>8537</v>
      </c>
      <c r="G8546" s="420">
        <f t="shared" ca="1" si="141"/>
        <v>4.842185515571816E-2</v>
      </c>
    </row>
    <row r="8547" spans="6:7" x14ac:dyDescent="0.2">
      <c r="F8547" s="591">
        <v>8538</v>
      </c>
      <c r="G8547" s="420">
        <f t="shared" ca="1" si="141"/>
        <v>-8.6201817832683089E-3</v>
      </c>
    </row>
    <row r="8548" spans="6:7" x14ac:dyDescent="0.2">
      <c r="F8548" s="591">
        <v>8539</v>
      </c>
      <c r="G8548" s="420">
        <f t="shared" ca="1" si="141"/>
        <v>-1.1432523552420325E-2</v>
      </c>
    </row>
    <row r="8549" spans="6:7" x14ac:dyDescent="0.2">
      <c r="F8549" s="591">
        <v>8540</v>
      </c>
      <c r="G8549" s="420">
        <f t="shared" ca="1" si="141"/>
        <v>-1.3617490757925375E-2</v>
      </c>
    </row>
    <row r="8550" spans="6:7" x14ac:dyDescent="0.2">
      <c r="F8550" s="591">
        <v>8541</v>
      </c>
      <c r="G8550" s="420">
        <f t="shared" ca="1" si="141"/>
        <v>-7.4686049011405339E-3</v>
      </c>
    </row>
    <row r="8551" spans="6:7" x14ac:dyDescent="0.2">
      <c r="F8551" s="591">
        <v>8542</v>
      </c>
      <c r="G8551" s="420">
        <f t="shared" ca="1" si="141"/>
        <v>-4.6625062877682463E-2</v>
      </c>
    </row>
    <row r="8552" spans="6:7" x14ac:dyDescent="0.2">
      <c r="F8552" s="591">
        <v>8543</v>
      </c>
      <c r="G8552" s="420">
        <f t="shared" ca="1" si="141"/>
        <v>-4.9767677656973514E-2</v>
      </c>
    </row>
    <row r="8553" spans="6:7" x14ac:dyDescent="0.2">
      <c r="F8553" s="591">
        <v>8544</v>
      </c>
      <c r="G8553" s="420">
        <f t="shared" ca="1" si="141"/>
        <v>7.3433589746647168E-2</v>
      </c>
    </row>
    <row r="8554" spans="6:7" x14ac:dyDescent="0.2">
      <c r="F8554" s="591">
        <v>8545</v>
      </c>
      <c r="G8554" s="420">
        <f t="shared" ca="1" si="141"/>
        <v>6.6199810543544527E-2</v>
      </c>
    </row>
    <row r="8555" spans="6:7" x14ac:dyDescent="0.2">
      <c r="F8555" s="591">
        <v>8546</v>
      </c>
      <c r="G8555" s="420">
        <f t="shared" ca="1" si="141"/>
        <v>1.0205548562114093E-2</v>
      </c>
    </row>
    <row r="8556" spans="6:7" x14ac:dyDescent="0.2">
      <c r="F8556" s="591">
        <v>8547</v>
      </c>
      <c r="G8556" s="420">
        <f t="shared" ca="1" si="141"/>
        <v>3.1129694216563905E-3</v>
      </c>
    </row>
    <row r="8557" spans="6:7" x14ac:dyDescent="0.2">
      <c r="F8557" s="591">
        <v>8548</v>
      </c>
      <c r="G8557" s="420">
        <f t="shared" ca="1" si="141"/>
        <v>1.6144150515497904E-2</v>
      </c>
    </row>
    <row r="8558" spans="6:7" x14ac:dyDescent="0.2">
      <c r="F8558" s="591">
        <v>8549</v>
      </c>
      <c r="G8558" s="420">
        <f t="shared" ca="1" si="141"/>
        <v>-4.4643499759425914E-2</v>
      </c>
    </row>
    <row r="8559" spans="6:7" x14ac:dyDescent="0.2">
      <c r="F8559" s="591">
        <v>8550</v>
      </c>
      <c r="G8559" s="420">
        <f t="shared" ca="1" si="141"/>
        <v>-7.3223227036848693E-2</v>
      </c>
    </row>
    <row r="8560" spans="6:7" x14ac:dyDescent="0.2">
      <c r="F8560" s="591">
        <v>8551</v>
      </c>
      <c r="G8560" s="420">
        <f t="shared" ca="1" si="141"/>
        <v>-7.1027976786667557E-2</v>
      </c>
    </row>
    <row r="8561" spans="6:7" x14ac:dyDescent="0.2">
      <c r="F8561" s="591">
        <v>8552</v>
      </c>
      <c r="G8561" s="420">
        <f t="shared" ca="1" si="141"/>
        <v>6.2251956987513526E-2</v>
      </c>
    </row>
    <row r="8562" spans="6:7" x14ac:dyDescent="0.2">
      <c r="F8562" s="591">
        <v>8553</v>
      </c>
      <c r="G8562" s="420">
        <f t="shared" ca="1" si="141"/>
        <v>-3.8075049412626405E-3</v>
      </c>
    </row>
    <row r="8563" spans="6:7" x14ac:dyDescent="0.2">
      <c r="F8563" s="591">
        <v>8554</v>
      </c>
      <c r="G8563" s="420">
        <f t="shared" ca="1" si="141"/>
        <v>-4.0555810287595251E-2</v>
      </c>
    </row>
    <row r="8564" spans="6:7" x14ac:dyDescent="0.2">
      <c r="F8564" s="591">
        <v>8555</v>
      </c>
      <c r="G8564" s="420">
        <f t="shared" ca="1" si="141"/>
        <v>1.0610286321560006E-2</v>
      </c>
    </row>
    <row r="8565" spans="6:7" x14ac:dyDescent="0.2">
      <c r="F8565" s="591">
        <v>8556</v>
      </c>
      <c r="G8565" s="420">
        <f t="shared" ca="1" si="141"/>
        <v>7.3485211994881172E-2</v>
      </c>
    </row>
    <row r="8566" spans="6:7" x14ac:dyDescent="0.2">
      <c r="F8566" s="591">
        <v>8557</v>
      </c>
      <c r="G8566" s="420">
        <f t="shared" ca="1" si="141"/>
        <v>0.13498898561213002</v>
      </c>
    </row>
    <row r="8567" spans="6:7" x14ac:dyDescent="0.2">
      <c r="F8567" s="591">
        <v>8558</v>
      </c>
      <c r="G8567" s="420">
        <f t="shared" ca="1" si="141"/>
        <v>7.3198600467355004E-2</v>
      </c>
    </row>
    <row r="8568" spans="6:7" x14ac:dyDescent="0.2">
      <c r="F8568" s="591">
        <v>8559</v>
      </c>
      <c r="G8568" s="420">
        <f t="shared" ca="1" si="141"/>
        <v>0.15943171739554735</v>
      </c>
    </row>
    <row r="8569" spans="6:7" x14ac:dyDescent="0.2">
      <c r="F8569" s="591">
        <v>8560</v>
      </c>
      <c r="G8569" s="420">
        <f t="shared" ca="1" si="141"/>
        <v>6.4931567623160685E-2</v>
      </c>
    </row>
    <row r="8570" spans="6:7" x14ac:dyDescent="0.2">
      <c r="F8570" s="591">
        <v>8561</v>
      </c>
      <c r="G8570" s="420">
        <f t="shared" ca="1" si="141"/>
        <v>7.8355843715699702E-2</v>
      </c>
    </row>
    <row r="8571" spans="6:7" x14ac:dyDescent="0.2">
      <c r="F8571" s="591">
        <v>8562</v>
      </c>
      <c r="G8571" s="420">
        <f t="shared" ca="1" si="141"/>
        <v>6.9279326601174349E-2</v>
      </c>
    </row>
    <row r="8572" spans="6:7" x14ac:dyDescent="0.2">
      <c r="F8572" s="591">
        <v>8563</v>
      </c>
      <c r="G8572" s="420">
        <f t="shared" ca="1" si="141"/>
        <v>7.6072086509613182E-2</v>
      </c>
    </row>
    <row r="8573" spans="6:7" x14ac:dyDescent="0.2">
      <c r="F8573" s="591">
        <v>8564</v>
      </c>
      <c r="G8573" s="420">
        <f t="shared" ca="1" si="141"/>
        <v>3.1935512029872083E-2</v>
      </c>
    </row>
    <row r="8574" spans="6:7" x14ac:dyDescent="0.2">
      <c r="F8574" s="591">
        <v>8565</v>
      </c>
      <c r="G8574" s="420">
        <f t="shared" ca="1" si="141"/>
        <v>-7.7223185536885695E-3</v>
      </c>
    </row>
    <row r="8575" spans="6:7" x14ac:dyDescent="0.2">
      <c r="F8575" s="591">
        <v>8566</v>
      </c>
      <c r="G8575" s="420">
        <f t="shared" ca="1" si="141"/>
        <v>3.3488992868885063E-2</v>
      </c>
    </row>
    <row r="8576" spans="6:7" x14ac:dyDescent="0.2">
      <c r="F8576" s="591">
        <v>8567</v>
      </c>
      <c r="G8576" s="420">
        <f t="shared" ca="1" si="141"/>
        <v>6.8617004449662913E-2</v>
      </c>
    </row>
    <row r="8577" spans="6:7" x14ac:dyDescent="0.2">
      <c r="F8577" s="591">
        <v>8568</v>
      </c>
      <c r="G8577" s="420">
        <f t="shared" ca="1" si="141"/>
        <v>-2.5733623439212667E-2</v>
      </c>
    </row>
    <row r="8578" spans="6:7" x14ac:dyDescent="0.2">
      <c r="F8578" s="591">
        <v>8569</v>
      </c>
      <c r="G8578" s="420">
        <f t="shared" ca="1" si="141"/>
        <v>8.0244884145382098E-2</v>
      </c>
    </row>
    <row r="8579" spans="6:7" x14ac:dyDescent="0.2">
      <c r="F8579" s="591">
        <v>8570</v>
      </c>
      <c r="G8579" s="420">
        <f t="shared" ca="1" si="141"/>
        <v>4.8975525897646088E-2</v>
      </c>
    </row>
    <row r="8580" spans="6:7" x14ac:dyDescent="0.2">
      <c r="F8580" s="591">
        <v>8571</v>
      </c>
      <c r="G8580" s="420">
        <f t="shared" ca="1" si="141"/>
        <v>5.7190324544145008E-2</v>
      </c>
    </row>
    <row r="8581" spans="6:7" x14ac:dyDescent="0.2">
      <c r="F8581" s="591">
        <v>8572</v>
      </c>
      <c r="G8581" s="420">
        <f t="shared" ca="1" si="141"/>
        <v>2.4817929175379734E-2</v>
      </c>
    </row>
    <row r="8582" spans="6:7" x14ac:dyDescent="0.2">
      <c r="F8582" s="591">
        <v>8573</v>
      </c>
      <c r="G8582" s="420">
        <f t="shared" ca="1" si="141"/>
        <v>0.11355094600865764</v>
      </c>
    </row>
    <row r="8583" spans="6:7" x14ac:dyDescent="0.2">
      <c r="F8583" s="591">
        <v>8574</v>
      </c>
      <c r="G8583" s="420">
        <f t="shared" ca="1" si="141"/>
        <v>-2.9106136014992855E-2</v>
      </c>
    </row>
    <row r="8584" spans="6:7" x14ac:dyDescent="0.2">
      <c r="F8584" s="591">
        <v>8575</v>
      </c>
      <c r="G8584" s="420">
        <f t="shared" ca="1" si="141"/>
        <v>2.9278919750120438E-2</v>
      </c>
    </row>
    <row r="8585" spans="6:7" x14ac:dyDescent="0.2">
      <c r="F8585" s="591">
        <v>8576</v>
      </c>
      <c r="G8585" s="420">
        <f t="shared" ca="1" si="141"/>
        <v>0.12678611958154615</v>
      </c>
    </row>
    <row r="8586" spans="6:7" x14ac:dyDescent="0.2">
      <c r="F8586" s="591">
        <v>8577</v>
      </c>
      <c r="G8586" s="420">
        <f t="shared" ca="1" si="141"/>
        <v>4.4509845779720059E-2</v>
      </c>
    </row>
    <row r="8587" spans="6:7" x14ac:dyDescent="0.2">
      <c r="F8587" s="591">
        <v>8578</v>
      </c>
      <c r="G8587" s="420">
        <f t="shared" ref="G8587:G8650" ca="1" si="142">_xlfn.NORM.INV(RAND(), $M$11,$M$12)</f>
        <v>2.7770854931000438E-2</v>
      </c>
    </row>
    <row r="8588" spans="6:7" x14ac:dyDescent="0.2">
      <c r="F8588" s="591">
        <v>8579</v>
      </c>
      <c r="G8588" s="420">
        <f t="shared" ca="1" si="142"/>
        <v>-5.3331033801979538E-2</v>
      </c>
    </row>
    <row r="8589" spans="6:7" x14ac:dyDescent="0.2">
      <c r="F8589" s="591">
        <v>8580</v>
      </c>
      <c r="G8589" s="420">
        <f t="shared" ca="1" si="142"/>
        <v>9.7409859056972761E-2</v>
      </c>
    </row>
    <row r="8590" spans="6:7" x14ac:dyDescent="0.2">
      <c r="F8590" s="591">
        <v>8581</v>
      </c>
      <c r="G8590" s="420">
        <f t="shared" ca="1" si="142"/>
        <v>0.10866172616652174</v>
      </c>
    </row>
    <row r="8591" spans="6:7" x14ac:dyDescent="0.2">
      <c r="F8591" s="591">
        <v>8582</v>
      </c>
      <c r="G8591" s="420">
        <f t="shared" ca="1" si="142"/>
        <v>-3.8706792923473135E-2</v>
      </c>
    </row>
    <row r="8592" spans="6:7" x14ac:dyDescent="0.2">
      <c r="F8592" s="591">
        <v>8583</v>
      </c>
      <c r="G8592" s="420">
        <f t="shared" ca="1" si="142"/>
        <v>0.10799295621064703</v>
      </c>
    </row>
    <row r="8593" spans="6:7" x14ac:dyDescent="0.2">
      <c r="F8593" s="591">
        <v>8584</v>
      </c>
      <c r="G8593" s="420">
        <f t="shared" ca="1" si="142"/>
        <v>-2.2909186693733177E-2</v>
      </c>
    </row>
    <row r="8594" spans="6:7" x14ac:dyDescent="0.2">
      <c r="F8594" s="591">
        <v>8585</v>
      </c>
      <c r="G8594" s="420">
        <f t="shared" ca="1" si="142"/>
        <v>2.1390176336986595E-2</v>
      </c>
    </row>
    <row r="8595" spans="6:7" x14ac:dyDescent="0.2">
      <c r="F8595" s="591">
        <v>8586</v>
      </c>
      <c r="G8595" s="420">
        <f t="shared" ca="1" si="142"/>
        <v>-1.0515156523386898E-2</v>
      </c>
    </row>
    <row r="8596" spans="6:7" x14ac:dyDescent="0.2">
      <c r="F8596" s="591">
        <v>8587</v>
      </c>
      <c r="G8596" s="420">
        <f t="shared" ca="1" si="142"/>
        <v>-5.2011274399808391E-2</v>
      </c>
    </row>
    <row r="8597" spans="6:7" x14ac:dyDescent="0.2">
      <c r="F8597" s="591">
        <v>8588</v>
      </c>
      <c r="G8597" s="420">
        <f t="shared" ca="1" si="142"/>
        <v>1.0196799783882396E-2</v>
      </c>
    </row>
    <row r="8598" spans="6:7" x14ac:dyDescent="0.2">
      <c r="F8598" s="591">
        <v>8589</v>
      </c>
      <c r="G8598" s="420">
        <f t="shared" ca="1" si="142"/>
        <v>0.12537265481564128</v>
      </c>
    </row>
    <row r="8599" spans="6:7" x14ac:dyDescent="0.2">
      <c r="F8599" s="591">
        <v>8590</v>
      </c>
      <c r="G8599" s="420">
        <f t="shared" ca="1" si="142"/>
        <v>-4.0031576637978003E-2</v>
      </c>
    </row>
    <row r="8600" spans="6:7" x14ac:dyDescent="0.2">
      <c r="F8600" s="591">
        <v>8591</v>
      </c>
      <c r="G8600" s="420">
        <f t="shared" ca="1" si="142"/>
        <v>4.0884583788851181E-2</v>
      </c>
    </row>
    <row r="8601" spans="6:7" x14ac:dyDescent="0.2">
      <c r="F8601" s="591">
        <v>8592</v>
      </c>
      <c r="G8601" s="420">
        <f t="shared" ca="1" si="142"/>
        <v>4.3287890431620629E-3</v>
      </c>
    </row>
    <row r="8602" spans="6:7" x14ac:dyDescent="0.2">
      <c r="F8602" s="591">
        <v>8593</v>
      </c>
      <c r="G8602" s="420">
        <f t="shared" ca="1" si="142"/>
        <v>-0.10775784106129191</v>
      </c>
    </row>
    <row r="8603" spans="6:7" x14ac:dyDescent="0.2">
      <c r="F8603" s="591">
        <v>8594</v>
      </c>
      <c r="G8603" s="420">
        <f t="shared" ca="1" si="142"/>
        <v>6.8988671392425677E-2</v>
      </c>
    </row>
    <row r="8604" spans="6:7" x14ac:dyDescent="0.2">
      <c r="F8604" s="591">
        <v>8595</v>
      </c>
      <c r="G8604" s="420">
        <f t="shared" ca="1" si="142"/>
        <v>-6.7515946069372682E-2</v>
      </c>
    </row>
    <row r="8605" spans="6:7" x14ac:dyDescent="0.2">
      <c r="F8605" s="591">
        <v>8596</v>
      </c>
      <c r="G8605" s="420">
        <f t="shared" ca="1" si="142"/>
        <v>2.3438533786348033E-2</v>
      </c>
    </row>
    <row r="8606" spans="6:7" x14ac:dyDescent="0.2">
      <c r="F8606" s="591">
        <v>8597</v>
      </c>
      <c r="G8606" s="420">
        <f t="shared" ca="1" si="142"/>
        <v>0.13589561665943475</v>
      </c>
    </row>
    <row r="8607" spans="6:7" x14ac:dyDescent="0.2">
      <c r="F8607" s="591">
        <v>8598</v>
      </c>
      <c r="G8607" s="420">
        <f t="shared" ca="1" si="142"/>
        <v>-6.5955329433038862E-2</v>
      </c>
    </row>
    <row r="8608" spans="6:7" x14ac:dyDescent="0.2">
      <c r="F8608" s="591">
        <v>8599</v>
      </c>
      <c r="G8608" s="420">
        <f t="shared" ca="1" si="142"/>
        <v>6.1287526300473336E-2</v>
      </c>
    </row>
    <row r="8609" spans="6:7" x14ac:dyDescent="0.2">
      <c r="F8609" s="591">
        <v>8600</v>
      </c>
      <c r="G8609" s="420">
        <f t="shared" ca="1" si="142"/>
        <v>1.7818807661457048E-2</v>
      </c>
    </row>
    <row r="8610" spans="6:7" x14ac:dyDescent="0.2">
      <c r="F8610" s="591">
        <v>8601</v>
      </c>
      <c r="G8610" s="420">
        <f t="shared" ca="1" si="142"/>
        <v>0.10271784899304975</v>
      </c>
    </row>
    <row r="8611" spans="6:7" x14ac:dyDescent="0.2">
      <c r="F8611" s="591">
        <v>8602</v>
      </c>
      <c r="G8611" s="420">
        <f t="shared" ca="1" si="142"/>
        <v>4.4114797592414226E-2</v>
      </c>
    </row>
    <row r="8612" spans="6:7" x14ac:dyDescent="0.2">
      <c r="F8612" s="591">
        <v>8603</v>
      </c>
      <c r="G8612" s="420">
        <f t="shared" ca="1" si="142"/>
        <v>-4.1641598790936526E-2</v>
      </c>
    </row>
    <row r="8613" spans="6:7" x14ac:dyDescent="0.2">
      <c r="F8613" s="591">
        <v>8604</v>
      </c>
      <c r="G8613" s="420">
        <f t="shared" ca="1" si="142"/>
        <v>-1.3304424771177058E-2</v>
      </c>
    </row>
    <row r="8614" spans="6:7" x14ac:dyDescent="0.2">
      <c r="F8614" s="591">
        <v>8605</v>
      </c>
      <c r="G8614" s="420">
        <f t="shared" ca="1" si="142"/>
        <v>0.10384814507857391</v>
      </c>
    </row>
    <row r="8615" spans="6:7" x14ac:dyDescent="0.2">
      <c r="F8615" s="591">
        <v>8606</v>
      </c>
      <c r="G8615" s="420">
        <f t="shared" ca="1" si="142"/>
        <v>-4.0891078912976858E-2</v>
      </c>
    </row>
    <row r="8616" spans="6:7" x14ac:dyDescent="0.2">
      <c r="F8616" s="591">
        <v>8607</v>
      </c>
      <c r="G8616" s="420">
        <f t="shared" ca="1" si="142"/>
        <v>-3.584010694948439E-2</v>
      </c>
    </row>
    <row r="8617" spans="6:7" x14ac:dyDescent="0.2">
      <c r="F8617" s="591">
        <v>8608</v>
      </c>
      <c r="G8617" s="420">
        <f t="shared" ca="1" si="142"/>
        <v>-3.0103612469600537E-2</v>
      </c>
    </row>
    <row r="8618" spans="6:7" x14ac:dyDescent="0.2">
      <c r="F8618" s="591">
        <v>8609</v>
      </c>
      <c r="G8618" s="420">
        <f t="shared" ca="1" si="142"/>
        <v>5.8045330431381964E-2</v>
      </c>
    </row>
    <row r="8619" spans="6:7" x14ac:dyDescent="0.2">
      <c r="F8619" s="591">
        <v>8610</v>
      </c>
      <c r="G8619" s="420">
        <f t="shared" ca="1" si="142"/>
        <v>9.1263040272209037E-2</v>
      </c>
    </row>
    <row r="8620" spans="6:7" x14ac:dyDescent="0.2">
      <c r="F8620" s="591">
        <v>8611</v>
      </c>
      <c r="G8620" s="420">
        <f t="shared" ca="1" si="142"/>
        <v>-7.5731702571298597E-4</v>
      </c>
    </row>
    <row r="8621" spans="6:7" x14ac:dyDescent="0.2">
      <c r="F8621" s="591">
        <v>8612</v>
      </c>
      <c r="G8621" s="420">
        <f t="shared" ca="1" si="142"/>
        <v>1.843454682681285E-2</v>
      </c>
    </row>
    <row r="8622" spans="6:7" x14ac:dyDescent="0.2">
      <c r="F8622" s="591">
        <v>8613</v>
      </c>
      <c r="G8622" s="420">
        <f t="shared" ca="1" si="142"/>
        <v>0.10500568956559432</v>
      </c>
    </row>
    <row r="8623" spans="6:7" x14ac:dyDescent="0.2">
      <c r="F8623" s="591">
        <v>8614</v>
      </c>
      <c r="G8623" s="420">
        <f t="shared" ca="1" si="142"/>
        <v>-2.3582410919635474E-2</v>
      </c>
    </row>
    <row r="8624" spans="6:7" x14ac:dyDescent="0.2">
      <c r="F8624" s="591">
        <v>8615</v>
      </c>
      <c r="G8624" s="420">
        <f t="shared" ca="1" si="142"/>
        <v>-1.6246035155328634E-2</v>
      </c>
    </row>
    <row r="8625" spans="6:7" x14ac:dyDescent="0.2">
      <c r="F8625" s="591">
        <v>8616</v>
      </c>
      <c r="G8625" s="420">
        <f t="shared" ca="1" si="142"/>
        <v>-6.1805984912253142E-2</v>
      </c>
    </row>
    <row r="8626" spans="6:7" x14ac:dyDescent="0.2">
      <c r="F8626" s="591">
        <v>8617</v>
      </c>
      <c r="G8626" s="420">
        <f t="shared" ca="1" si="142"/>
        <v>1.2301794580570694E-3</v>
      </c>
    </row>
    <row r="8627" spans="6:7" x14ac:dyDescent="0.2">
      <c r="F8627" s="591">
        <v>8618</v>
      </c>
      <c r="G8627" s="420">
        <f t="shared" ca="1" si="142"/>
        <v>5.6411514832969245E-2</v>
      </c>
    </row>
    <row r="8628" spans="6:7" x14ac:dyDescent="0.2">
      <c r="F8628" s="591">
        <v>8619</v>
      </c>
      <c r="G8628" s="420">
        <f t="shared" ca="1" si="142"/>
        <v>-1.0568924161695054E-3</v>
      </c>
    </row>
    <row r="8629" spans="6:7" x14ac:dyDescent="0.2">
      <c r="F8629" s="591">
        <v>8620</v>
      </c>
      <c r="G8629" s="420">
        <f t="shared" ca="1" si="142"/>
        <v>2.2101848296623726E-2</v>
      </c>
    </row>
    <row r="8630" spans="6:7" x14ac:dyDescent="0.2">
      <c r="F8630" s="591">
        <v>8621</v>
      </c>
      <c r="G8630" s="420">
        <f t="shared" ca="1" si="142"/>
        <v>-0.11251379165013645</v>
      </c>
    </row>
    <row r="8631" spans="6:7" x14ac:dyDescent="0.2">
      <c r="F8631" s="591">
        <v>8622</v>
      </c>
      <c r="G8631" s="420">
        <f t="shared" ca="1" si="142"/>
        <v>3.7525004372895979E-2</v>
      </c>
    </row>
    <row r="8632" spans="6:7" x14ac:dyDescent="0.2">
      <c r="F8632" s="591">
        <v>8623</v>
      </c>
      <c r="G8632" s="420">
        <f t="shared" ca="1" si="142"/>
        <v>1.6675812377536278E-2</v>
      </c>
    </row>
    <row r="8633" spans="6:7" x14ac:dyDescent="0.2">
      <c r="F8633" s="591">
        <v>8624</v>
      </c>
      <c r="G8633" s="420">
        <f t="shared" ca="1" si="142"/>
        <v>5.220335022494095E-2</v>
      </c>
    </row>
    <row r="8634" spans="6:7" x14ac:dyDescent="0.2">
      <c r="F8634" s="591">
        <v>8625</v>
      </c>
      <c r="G8634" s="420">
        <f t="shared" ca="1" si="142"/>
        <v>4.0949495463425689E-2</v>
      </c>
    </row>
    <row r="8635" spans="6:7" x14ac:dyDescent="0.2">
      <c r="F8635" s="591">
        <v>8626</v>
      </c>
      <c r="G8635" s="420">
        <f t="shared" ca="1" si="142"/>
        <v>7.8581432981663049E-2</v>
      </c>
    </row>
    <row r="8636" spans="6:7" x14ac:dyDescent="0.2">
      <c r="F8636" s="591">
        <v>8627</v>
      </c>
      <c r="G8636" s="420">
        <f t="shared" ca="1" si="142"/>
        <v>6.9358813475786082E-2</v>
      </c>
    </row>
    <row r="8637" spans="6:7" x14ac:dyDescent="0.2">
      <c r="F8637" s="591">
        <v>8628</v>
      </c>
      <c r="G8637" s="420">
        <f t="shared" ca="1" si="142"/>
        <v>4.3449558080282946E-2</v>
      </c>
    </row>
    <row r="8638" spans="6:7" x14ac:dyDescent="0.2">
      <c r="F8638" s="591">
        <v>8629</v>
      </c>
      <c r="G8638" s="420">
        <f t="shared" ca="1" si="142"/>
        <v>-8.1660714032540563E-2</v>
      </c>
    </row>
    <row r="8639" spans="6:7" x14ac:dyDescent="0.2">
      <c r="F8639" s="591">
        <v>8630</v>
      </c>
      <c r="G8639" s="420">
        <f t="shared" ca="1" si="142"/>
        <v>-8.0339690365575644E-3</v>
      </c>
    </row>
    <row r="8640" spans="6:7" x14ac:dyDescent="0.2">
      <c r="F8640" s="591">
        <v>8631</v>
      </c>
      <c r="G8640" s="420">
        <f t="shared" ca="1" si="142"/>
        <v>-1.12352732783885E-2</v>
      </c>
    </row>
    <row r="8641" spans="6:7" x14ac:dyDescent="0.2">
      <c r="F8641" s="591">
        <v>8632</v>
      </c>
      <c r="G8641" s="420">
        <f t="shared" ca="1" si="142"/>
        <v>4.7010037280688172E-2</v>
      </c>
    </row>
    <row r="8642" spans="6:7" x14ac:dyDescent="0.2">
      <c r="F8642" s="591">
        <v>8633</v>
      </c>
      <c r="G8642" s="420">
        <f t="shared" ca="1" si="142"/>
        <v>0.10855169990367596</v>
      </c>
    </row>
    <row r="8643" spans="6:7" x14ac:dyDescent="0.2">
      <c r="F8643" s="591">
        <v>8634</v>
      </c>
      <c r="G8643" s="420">
        <f t="shared" ca="1" si="142"/>
        <v>-5.6600327645072973E-2</v>
      </c>
    </row>
    <row r="8644" spans="6:7" x14ac:dyDescent="0.2">
      <c r="F8644" s="591">
        <v>8635</v>
      </c>
      <c r="G8644" s="420">
        <f t="shared" ca="1" si="142"/>
        <v>-2.7336939020617779E-2</v>
      </c>
    </row>
    <row r="8645" spans="6:7" x14ac:dyDescent="0.2">
      <c r="F8645" s="591">
        <v>8636</v>
      </c>
      <c r="G8645" s="420">
        <f t="shared" ca="1" si="142"/>
        <v>6.9908366761492674E-2</v>
      </c>
    </row>
    <row r="8646" spans="6:7" x14ac:dyDescent="0.2">
      <c r="F8646" s="591">
        <v>8637</v>
      </c>
      <c r="G8646" s="420">
        <f t="shared" ca="1" si="142"/>
        <v>0.10895370261349907</v>
      </c>
    </row>
    <row r="8647" spans="6:7" x14ac:dyDescent="0.2">
      <c r="F8647" s="591">
        <v>8638</v>
      </c>
      <c r="G8647" s="420">
        <f t="shared" ca="1" si="142"/>
        <v>-1.7173415607196464E-2</v>
      </c>
    </row>
    <row r="8648" spans="6:7" x14ac:dyDescent="0.2">
      <c r="F8648" s="591">
        <v>8639</v>
      </c>
      <c r="G8648" s="420">
        <f t="shared" ca="1" si="142"/>
        <v>-1.3784049817284101E-3</v>
      </c>
    </row>
    <row r="8649" spans="6:7" x14ac:dyDescent="0.2">
      <c r="F8649" s="591">
        <v>8640</v>
      </c>
      <c r="G8649" s="420">
        <f t="shared" ca="1" si="142"/>
        <v>-5.3639658965682013E-2</v>
      </c>
    </row>
    <row r="8650" spans="6:7" x14ac:dyDescent="0.2">
      <c r="F8650" s="591">
        <v>8641</v>
      </c>
      <c r="G8650" s="420">
        <f t="shared" ca="1" si="142"/>
        <v>-9.0970652439346655E-3</v>
      </c>
    </row>
    <row r="8651" spans="6:7" x14ac:dyDescent="0.2">
      <c r="F8651" s="591">
        <v>8642</v>
      </c>
      <c r="G8651" s="420">
        <f t="shared" ref="G8651:G8714" ca="1" si="143">_xlfn.NORM.INV(RAND(), $M$11,$M$12)</f>
        <v>0.12822671451479531</v>
      </c>
    </row>
    <row r="8652" spans="6:7" x14ac:dyDescent="0.2">
      <c r="F8652" s="591">
        <v>8643</v>
      </c>
      <c r="G8652" s="420">
        <f t="shared" ca="1" si="143"/>
        <v>2.7071346280428069E-2</v>
      </c>
    </row>
    <row r="8653" spans="6:7" x14ac:dyDescent="0.2">
      <c r="F8653" s="591">
        <v>8644</v>
      </c>
      <c r="G8653" s="420">
        <f t="shared" ca="1" si="143"/>
        <v>-4.0967124914122854E-2</v>
      </c>
    </row>
    <row r="8654" spans="6:7" x14ac:dyDescent="0.2">
      <c r="F8654" s="591">
        <v>8645</v>
      </c>
      <c r="G8654" s="420">
        <f t="shared" ca="1" si="143"/>
        <v>-3.1064061465484055E-2</v>
      </c>
    </row>
    <row r="8655" spans="6:7" x14ac:dyDescent="0.2">
      <c r="F8655" s="591">
        <v>8646</v>
      </c>
      <c r="G8655" s="420">
        <f t="shared" ca="1" si="143"/>
        <v>-6.173568205678269E-2</v>
      </c>
    </row>
    <row r="8656" spans="6:7" x14ac:dyDescent="0.2">
      <c r="F8656" s="591">
        <v>8647</v>
      </c>
      <c r="G8656" s="420">
        <f t="shared" ca="1" si="143"/>
        <v>-1.2335779206519602E-2</v>
      </c>
    </row>
    <row r="8657" spans="6:7" x14ac:dyDescent="0.2">
      <c r="F8657" s="591">
        <v>8648</v>
      </c>
      <c r="G8657" s="420">
        <f t="shared" ca="1" si="143"/>
        <v>-4.6120167686746982E-2</v>
      </c>
    </row>
    <row r="8658" spans="6:7" x14ac:dyDescent="0.2">
      <c r="F8658" s="591">
        <v>8649</v>
      </c>
      <c r="G8658" s="420">
        <f t="shared" ca="1" si="143"/>
        <v>0.11711338451990153</v>
      </c>
    </row>
    <row r="8659" spans="6:7" x14ac:dyDescent="0.2">
      <c r="F8659" s="591">
        <v>8650</v>
      </c>
      <c r="G8659" s="420">
        <f t="shared" ca="1" si="143"/>
        <v>6.2751544717833382E-2</v>
      </c>
    </row>
    <row r="8660" spans="6:7" x14ac:dyDescent="0.2">
      <c r="F8660" s="591">
        <v>8651</v>
      </c>
      <c r="G8660" s="420">
        <f t="shared" ca="1" si="143"/>
        <v>2.0772601378162642E-2</v>
      </c>
    </row>
    <row r="8661" spans="6:7" x14ac:dyDescent="0.2">
      <c r="F8661" s="591">
        <v>8652</v>
      </c>
      <c r="G8661" s="420">
        <f t="shared" ca="1" si="143"/>
        <v>-0.15222510671712214</v>
      </c>
    </row>
    <row r="8662" spans="6:7" x14ac:dyDescent="0.2">
      <c r="F8662" s="591">
        <v>8653</v>
      </c>
      <c r="G8662" s="420">
        <f t="shared" ca="1" si="143"/>
        <v>3.5791306138970413E-2</v>
      </c>
    </row>
    <row r="8663" spans="6:7" x14ac:dyDescent="0.2">
      <c r="F8663" s="591">
        <v>8654</v>
      </c>
      <c r="G8663" s="420">
        <f t="shared" ca="1" si="143"/>
        <v>4.1190740515371381E-2</v>
      </c>
    </row>
    <row r="8664" spans="6:7" x14ac:dyDescent="0.2">
      <c r="F8664" s="591">
        <v>8655</v>
      </c>
      <c r="G8664" s="420">
        <f t="shared" ca="1" si="143"/>
        <v>-1.8724195964987388E-2</v>
      </c>
    </row>
    <row r="8665" spans="6:7" x14ac:dyDescent="0.2">
      <c r="F8665" s="591">
        <v>8656</v>
      </c>
      <c r="G8665" s="420">
        <f t="shared" ca="1" si="143"/>
        <v>1.905612959217937E-3</v>
      </c>
    </row>
    <row r="8666" spans="6:7" x14ac:dyDescent="0.2">
      <c r="F8666" s="591">
        <v>8657</v>
      </c>
      <c r="G8666" s="420">
        <f t="shared" ca="1" si="143"/>
        <v>-2.5335344597706293E-2</v>
      </c>
    </row>
    <row r="8667" spans="6:7" x14ac:dyDescent="0.2">
      <c r="F8667" s="591">
        <v>8658</v>
      </c>
      <c r="G8667" s="420">
        <f t="shared" ca="1" si="143"/>
        <v>0.12654377138670136</v>
      </c>
    </row>
    <row r="8668" spans="6:7" x14ac:dyDescent="0.2">
      <c r="F8668" s="591">
        <v>8659</v>
      </c>
      <c r="G8668" s="420">
        <f t="shared" ca="1" si="143"/>
        <v>2.696861124202625E-2</v>
      </c>
    </row>
    <row r="8669" spans="6:7" x14ac:dyDescent="0.2">
      <c r="F8669" s="591">
        <v>8660</v>
      </c>
      <c r="G8669" s="420">
        <f t="shared" ca="1" si="143"/>
        <v>0.18311198983904814</v>
      </c>
    </row>
    <row r="8670" spans="6:7" x14ac:dyDescent="0.2">
      <c r="F8670" s="591">
        <v>8661</v>
      </c>
      <c r="G8670" s="420">
        <f t="shared" ca="1" si="143"/>
        <v>0.16637856125349562</v>
      </c>
    </row>
    <row r="8671" spans="6:7" x14ac:dyDescent="0.2">
      <c r="F8671" s="591">
        <v>8662</v>
      </c>
      <c r="G8671" s="420">
        <f t="shared" ca="1" si="143"/>
        <v>6.174970315249291E-2</v>
      </c>
    </row>
    <row r="8672" spans="6:7" x14ac:dyDescent="0.2">
      <c r="F8672" s="591">
        <v>8663</v>
      </c>
      <c r="G8672" s="420">
        <f t="shared" ca="1" si="143"/>
        <v>5.5742289772845052E-2</v>
      </c>
    </row>
    <row r="8673" spans="6:7" x14ac:dyDescent="0.2">
      <c r="F8673" s="591">
        <v>8664</v>
      </c>
      <c r="G8673" s="420">
        <f t="shared" ca="1" si="143"/>
        <v>4.9442153724787538E-2</v>
      </c>
    </row>
    <row r="8674" spans="6:7" x14ac:dyDescent="0.2">
      <c r="F8674" s="591">
        <v>8665</v>
      </c>
      <c r="G8674" s="420">
        <f t="shared" ca="1" si="143"/>
        <v>-5.5080402506015105E-3</v>
      </c>
    </row>
    <row r="8675" spans="6:7" x14ac:dyDescent="0.2">
      <c r="F8675" s="591">
        <v>8666</v>
      </c>
      <c r="G8675" s="420">
        <f t="shared" ca="1" si="143"/>
        <v>-9.7338296509791852E-2</v>
      </c>
    </row>
    <row r="8676" spans="6:7" x14ac:dyDescent="0.2">
      <c r="F8676" s="591">
        <v>8667</v>
      </c>
      <c r="G8676" s="420">
        <f t="shared" ca="1" si="143"/>
        <v>-6.9722864535258194E-2</v>
      </c>
    </row>
    <row r="8677" spans="6:7" x14ac:dyDescent="0.2">
      <c r="F8677" s="591">
        <v>8668</v>
      </c>
      <c r="G8677" s="420">
        <f t="shared" ca="1" si="143"/>
        <v>4.9659170612773626E-2</v>
      </c>
    </row>
    <row r="8678" spans="6:7" x14ac:dyDescent="0.2">
      <c r="F8678" s="591">
        <v>8669</v>
      </c>
      <c r="G8678" s="420">
        <f t="shared" ca="1" si="143"/>
        <v>1.7594407506261851E-2</v>
      </c>
    </row>
    <row r="8679" spans="6:7" x14ac:dyDescent="0.2">
      <c r="F8679" s="591">
        <v>8670</v>
      </c>
      <c r="G8679" s="420">
        <f t="shared" ca="1" si="143"/>
        <v>-5.2631394848979912E-2</v>
      </c>
    </row>
    <row r="8680" spans="6:7" x14ac:dyDescent="0.2">
      <c r="F8680" s="591">
        <v>8671</v>
      </c>
      <c r="G8680" s="420">
        <f t="shared" ca="1" si="143"/>
        <v>0.12234072412877464</v>
      </c>
    </row>
    <row r="8681" spans="6:7" x14ac:dyDescent="0.2">
      <c r="F8681" s="591">
        <v>8672</v>
      </c>
      <c r="G8681" s="420">
        <f t="shared" ca="1" si="143"/>
        <v>2.7689657312582824E-2</v>
      </c>
    </row>
    <row r="8682" spans="6:7" x14ac:dyDescent="0.2">
      <c r="F8682" s="591">
        <v>8673</v>
      </c>
      <c r="G8682" s="420">
        <f t="shared" ca="1" si="143"/>
        <v>4.8299345837938296E-2</v>
      </c>
    </row>
    <row r="8683" spans="6:7" x14ac:dyDescent="0.2">
      <c r="F8683" s="591">
        <v>8674</v>
      </c>
      <c r="G8683" s="420">
        <f t="shared" ca="1" si="143"/>
        <v>-1.18303354646833E-2</v>
      </c>
    </row>
    <row r="8684" spans="6:7" x14ac:dyDescent="0.2">
      <c r="F8684" s="591">
        <v>8675</v>
      </c>
      <c r="G8684" s="420">
        <f t="shared" ca="1" si="143"/>
        <v>7.8712305172080041E-2</v>
      </c>
    </row>
    <row r="8685" spans="6:7" x14ac:dyDescent="0.2">
      <c r="F8685" s="591">
        <v>8676</v>
      </c>
      <c r="G8685" s="420">
        <f t="shared" ca="1" si="143"/>
        <v>1.2403861801817342E-2</v>
      </c>
    </row>
    <row r="8686" spans="6:7" x14ac:dyDescent="0.2">
      <c r="F8686" s="591">
        <v>8677</v>
      </c>
      <c r="G8686" s="420">
        <f t="shared" ca="1" si="143"/>
        <v>1.2750308071301937E-2</v>
      </c>
    </row>
    <row r="8687" spans="6:7" x14ac:dyDescent="0.2">
      <c r="F8687" s="591">
        <v>8678</v>
      </c>
      <c r="G8687" s="420">
        <f t="shared" ca="1" si="143"/>
        <v>-4.0202293621671645E-2</v>
      </c>
    </row>
    <row r="8688" spans="6:7" x14ac:dyDescent="0.2">
      <c r="F8688" s="591">
        <v>8679</v>
      </c>
      <c r="G8688" s="420">
        <f t="shared" ca="1" si="143"/>
        <v>-3.9076423316601674E-2</v>
      </c>
    </row>
    <row r="8689" spans="6:7" x14ac:dyDescent="0.2">
      <c r="F8689" s="591">
        <v>8680</v>
      </c>
      <c r="G8689" s="420">
        <f t="shared" ca="1" si="143"/>
        <v>4.1458126046005656E-2</v>
      </c>
    </row>
    <row r="8690" spans="6:7" x14ac:dyDescent="0.2">
      <c r="F8690" s="591">
        <v>8681</v>
      </c>
      <c r="G8690" s="420">
        <f t="shared" ca="1" si="143"/>
        <v>7.6621594709717841E-2</v>
      </c>
    </row>
    <row r="8691" spans="6:7" x14ac:dyDescent="0.2">
      <c r="F8691" s="591">
        <v>8682</v>
      </c>
      <c r="G8691" s="420">
        <f t="shared" ca="1" si="143"/>
        <v>3.9356456013717655E-3</v>
      </c>
    </row>
    <row r="8692" spans="6:7" x14ac:dyDescent="0.2">
      <c r="F8692" s="591">
        <v>8683</v>
      </c>
      <c r="G8692" s="420">
        <f t="shared" ca="1" si="143"/>
        <v>7.1040655445587547E-2</v>
      </c>
    </row>
    <row r="8693" spans="6:7" x14ac:dyDescent="0.2">
      <c r="F8693" s="591">
        <v>8684</v>
      </c>
      <c r="G8693" s="420">
        <f t="shared" ca="1" si="143"/>
        <v>-0.16808581462921529</v>
      </c>
    </row>
    <row r="8694" spans="6:7" x14ac:dyDescent="0.2">
      <c r="F8694" s="591">
        <v>8685</v>
      </c>
      <c r="G8694" s="420">
        <f t="shared" ca="1" si="143"/>
        <v>4.4389796804569989E-2</v>
      </c>
    </row>
    <row r="8695" spans="6:7" x14ac:dyDescent="0.2">
      <c r="F8695" s="591">
        <v>8686</v>
      </c>
      <c r="G8695" s="420">
        <f t="shared" ca="1" si="143"/>
        <v>-1.8372998915650099E-2</v>
      </c>
    </row>
    <row r="8696" spans="6:7" x14ac:dyDescent="0.2">
      <c r="F8696" s="591">
        <v>8687</v>
      </c>
      <c r="G8696" s="420">
        <f t="shared" ca="1" si="143"/>
        <v>-0.11677919312733846</v>
      </c>
    </row>
    <row r="8697" spans="6:7" x14ac:dyDescent="0.2">
      <c r="F8697" s="591">
        <v>8688</v>
      </c>
      <c r="G8697" s="420">
        <f t="shared" ca="1" si="143"/>
        <v>1.7184698358271661E-2</v>
      </c>
    </row>
    <row r="8698" spans="6:7" x14ac:dyDescent="0.2">
      <c r="F8698" s="591">
        <v>8689</v>
      </c>
      <c r="G8698" s="420">
        <f t="shared" ca="1" si="143"/>
        <v>-6.4293625962353759E-2</v>
      </c>
    </row>
    <row r="8699" spans="6:7" x14ac:dyDescent="0.2">
      <c r="F8699" s="591">
        <v>8690</v>
      </c>
      <c r="G8699" s="420">
        <f t="shared" ca="1" si="143"/>
        <v>2.6195772907556852E-2</v>
      </c>
    </row>
    <row r="8700" spans="6:7" x14ac:dyDescent="0.2">
      <c r="F8700" s="591">
        <v>8691</v>
      </c>
      <c r="G8700" s="420">
        <f t="shared" ca="1" si="143"/>
        <v>2.3882529709188149E-2</v>
      </c>
    </row>
    <row r="8701" spans="6:7" x14ac:dyDescent="0.2">
      <c r="F8701" s="591">
        <v>8692</v>
      </c>
      <c r="G8701" s="420">
        <f t="shared" ca="1" si="143"/>
        <v>0.1454512582361587</v>
      </c>
    </row>
    <row r="8702" spans="6:7" x14ac:dyDescent="0.2">
      <c r="F8702" s="591">
        <v>8693</v>
      </c>
      <c r="G8702" s="420">
        <f t="shared" ca="1" si="143"/>
        <v>5.3513401775533834E-2</v>
      </c>
    </row>
    <row r="8703" spans="6:7" x14ac:dyDescent="0.2">
      <c r="F8703" s="591">
        <v>8694</v>
      </c>
      <c r="G8703" s="420">
        <f t="shared" ca="1" si="143"/>
        <v>-2.0175562466222378E-2</v>
      </c>
    </row>
    <row r="8704" spans="6:7" x14ac:dyDescent="0.2">
      <c r="F8704" s="591">
        <v>8695</v>
      </c>
      <c r="G8704" s="420">
        <f t="shared" ca="1" si="143"/>
        <v>-1.0729635581219102E-2</v>
      </c>
    </row>
    <row r="8705" spans="6:7" x14ac:dyDescent="0.2">
      <c r="F8705" s="591">
        <v>8696</v>
      </c>
      <c r="G8705" s="420">
        <f t="shared" ca="1" si="143"/>
        <v>0.10286326289005614</v>
      </c>
    </row>
    <row r="8706" spans="6:7" x14ac:dyDescent="0.2">
      <c r="F8706" s="591">
        <v>8697</v>
      </c>
      <c r="G8706" s="420">
        <f t="shared" ca="1" si="143"/>
        <v>-0.12276157262633537</v>
      </c>
    </row>
    <row r="8707" spans="6:7" x14ac:dyDescent="0.2">
      <c r="F8707" s="591">
        <v>8698</v>
      </c>
      <c r="G8707" s="420">
        <f t="shared" ca="1" si="143"/>
        <v>-0.13892915042392359</v>
      </c>
    </row>
    <row r="8708" spans="6:7" x14ac:dyDescent="0.2">
      <c r="F8708" s="591">
        <v>8699</v>
      </c>
      <c r="G8708" s="420">
        <f t="shared" ca="1" si="143"/>
        <v>4.8560912177435193E-3</v>
      </c>
    </row>
    <row r="8709" spans="6:7" x14ac:dyDescent="0.2">
      <c r="F8709" s="591">
        <v>8700</v>
      </c>
      <c r="G8709" s="420">
        <f t="shared" ca="1" si="143"/>
        <v>5.4782747476713037E-2</v>
      </c>
    </row>
    <row r="8710" spans="6:7" x14ac:dyDescent="0.2">
      <c r="F8710" s="591">
        <v>8701</v>
      </c>
      <c r="G8710" s="420">
        <f t="shared" ca="1" si="143"/>
        <v>-2.8199252563584336E-2</v>
      </c>
    </row>
    <row r="8711" spans="6:7" x14ac:dyDescent="0.2">
      <c r="F8711" s="591">
        <v>8702</v>
      </c>
      <c r="G8711" s="420">
        <f t="shared" ca="1" si="143"/>
        <v>-5.0772017511495834E-2</v>
      </c>
    </row>
    <row r="8712" spans="6:7" x14ac:dyDescent="0.2">
      <c r="F8712" s="591">
        <v>8703</v>
      </c>
      <c r="G8712" s="420">
        <f t="shared" ca="1" si="143"/>
        <v>-2.3748279675941397E-3</v>
      </c>
    </row>
    <row r="8713" spans="6:7" x14ac:dyDescent="0.2">
      <c r="F8713" s="591">
        <v>8704</v>
      </c>
      <c r="G8713" s="420">
        <f t="shared" ca="1" si="143"/>
        <v>5.2574999637440528E-2</v>
      </c>
    </row>
    <row r="8714" spans="6:7" x14ac:dyDescent="0.2">
      <c r="F8714" s="591">
        <v>8705</v>
      </c>
      <c r="G8714" s="420">
        <f t="shared" ca="1" si="143"/>
        <v>1.2742633981539882E-2</v>
      </c>
    </row>
    <row r="8715" spans="6:7" x14ac:dyDescent="0.2">
      <c r="F8715" s="591">
        <v>8706</v>
      </c>
      <c r="G8715" s="420">
        <f t="shared" ref="G8715:G8778" ca="1" si="144">_xlfn.NORM.INV(RAND(), $M$11,$M$12)</f>
        <v>1.2271793136553149E-2</v>
      </c>
    </row>
    <row r="8716" spans="6:7" x14ac:dyDescent="0.2">
      <c r="F8716" s="591">
        <v>8707</v>
      </c>
      <c r="G8716" s="420">
        <f t="shared" ca="1" si="144"/>
        <v>7.5032560573440182E-2</v>
      </c>
    </row>
    <row r="8717" spans="6:7" x14ac:dyDescent="0.2">
      <c r="F8717" s="591">
        <v>8708</v>
      </c>
      <c r="G8717" s="420">
        <f t="shared" ca="1" si="144"/>
        <v>1.9559849792452715E-2</v>
      </c>
    </row>
    <row r="8718" spans="6:7" x14ac:dyDescent="0.2">
      <c r="F8718" s="591">
        <v>8709</v>
      </c>
      <c r="G8718" s="420">
        <f t="shared" ca="1" si="144"/>
        <v>0.10474534283477897</v>
      </c>
    </row>
    <row r="8719" spans="6:7" x14ac:dyDescent="0.2">
      <c r="F8719" s="591">
        <v>8710</v>
      </c>
      <c r="G8719" s="420">
        <f t="shared" ca="1" si="144"/>
        <v>-7.3022036233581056E-2</v>
      </c>
    </row>
    <row r="8720" spans="6:7" x14ac:dyDescent="0.2">
      <c r="F8720" s="591">
        <v>8711</v>
      </c>
      <c r="G8720" s="420">
        <f t="shared" ca="1" si="144"/>
        <v>-5.8341571529879344E-2</v>
      </c>
    </row>
    <row r="8721" spans="6:7" x14ac:dyDescent="0.2">
      <c r="F8721" s="591">
        <v>8712</v>
      </c>
      <c r="G8721" s="420">
        <f t="shared" ca="1" si="144"/>
        <v>2.5202169895634577E-2</v>
      </c>
    </row>
    <row r="8722" spans="6:7" x14ac:dyDescent="0.2">
      <c r="F8722" s="591">
        <v>8713</v>
      </c>
      <c r="G8722" s="420">
        <f t="shared" ca="1" si="144"/>
        <v>8.8295529155230826E-2</v>
      </c>
    </row>
    <row r="8723" spans="6:7" x14ac:dyDescent="0.2">
      <c r="F8723" s="591">
        <v>8714</v>
      </c>
      <c r="G8723" s="420">
        <f t="shared" ca="1" si="144"/>
        <v>-5.7691605795587853E-2</v>
      </c>
    </row>
    <row r="8724" spans="6:7" x14ac:dyDescent="0.2">
      <c r="F8724" s="591">
        <v>8715</v>
      </c>
      <c r="G8724" s="420">
        <f t="shared" ca="1" si="144"/>
        <v>4.460243874047148E-3</v>
      </c>
    </row>
    <row r="8725" spans="6:7" x14ac:dyDescent="0.2">
      <c r="F8725" s="591">
        <v>8716</v>
      </c>
      <c r="G8725" s="420">
        <f t="shared" ca="1" si="144"/>
        <v>-9.7769128288460225E-2</v>
      </c>
    </row>
    <row r="8726" spans="6:7" x14ac:dyDescent="0.2">
      <c r="F8726" s="591">
        <v>8717</v>
      </c>
      <c r="G8726" s="420">
        <f t="shared" ca="1" si="144"/>
        <v>-3.1989104648985876E-3</v>
      </c>
    </row>
    <row r="8727" spans="6:7" x14ac:dyDescent="0.2">
      <c r="F8727" s="591">
        <v>8718</v>
      </c>
      <c r="G8727" s="420">
        <f t="shared" ca="1" si="144"/>
        <v>1.9372715169332699E-2</v>
      </c>
    </row>
    <row r="8728" spans="6:7" x14ac:dyDescent="0.2">
      <c r="F8728" s="591">
        <v>8719</v>
      </c>
      <c r="G8728" s="420">
        <f t="shared" ca="1" si="144"/>
        <v>-0.10668119605143765</v>
      </c>
    </row>
    <row r="8729" spans="6:7" x14ac:dyDescent="0.2">
      <c r="F8729" s="591">
        <v>8720</v>
      </c>
      <c r="G8729" s="420">
        <f t="shared" ca="1" si="144"/>
        <v>-0.12831924226419195</v>
      </c>
    </row>
    <row r="8730" spans="6:7" x14ac:dyDescent="0.2">
      <c r="F8730" s="591">
        <v>8721</v>
      </c>
      <c r="G8730" s="420">
        <f t="shared" ca="1" si="144"/>
        <v>2.3461406923839911E-2</v>
      </c>
    </row>
    <row r="8731" spans="6:7" x14ac:dyDescent="0.2">
      <c r="F8731" s="591">
        <v>8722</v>
      </c>
      <c r="G8731" s="420">
        <f t="shared" ca="1" si="144"/>
        <v>-2.5237735522384667E-4</v>
      </c>
    </row>
    <row r="8732" spans="6:7" x14ac:dyDescent="0.2">
      <c r="F8732" s="591">
        <v>8723</v>
      </c>
      <c r="G8732" s="420">
        <f t="shared" ca="1" si="144"/>
        <v>-1.2048012960863226E-2</v>
      </c>
    </row>
    <row r="8733" spans="6:7" x14ac:dyDescent="0.2">
      <c r="F8733" s="591">
        <v>8724</v>
      </c>
      <c r="G8733" s="420">
        <f t="shared" ca="1" si="144"/>
        <v>-3.4139782388605114E-2</v>
      </c>
    </row>
    <row r="8734" spans="6:7" x14ac:dyDescent="0.2">
      <c r="F8734" s="591">
        <v>8725</v>
      </c>
      <c r="G8734" s="420">
        <f t="shared" ca="1" si="144"/>
        <v>-6.5253147672994338E-2</v>
      </c>
    </row>
    <row r="8735" spans="6:7" x14ac:dyDescent="0.2">
      <c r="F8735" s="591">
        <v>8726</v>
      </c>
      <c r="G8735" s="420">
        <f t="shared" ca="1" si="144"/>
        <v>-9.0051830767728658E-2</v>
      </c>
    </row>
    <row r="8736" spans="6:7" x14ac:dyDescent="0.2">
      <c r="F8736" s="591">
        <v>8727</v>
      </c>
      <c r="G8736" s="420">
        <f t="shared" ca="1" si="144"/>
        <v>0.12539727311270066</v>
      </c>
    </row>
    <row r="8737" spans="6:7" x14ac:dyDescent="0.2">
      <c r="F8737" s="591">
        <v>8728</v>
      </c>
      <c r="G8737" s="420">
        <f t="shared" ca="1" si="144"/>
        <v>-8.4211534940165811E-2</v>
      </c>
    </row>
    <row r="8738" spans="6:7" x14ac:dyDescent="0.2">
      <c r="F8738" s="591">
        <v>8729</v>
      </c>
      <c r="G8738" s="420">
        <f t="shared" ca="1" si="144"/>
        <v>9.3883379137727041E-2</v>
      </c>
    </row>
    <row r="8739" spans="6:7" x14ac:dyDescent="0.2">
      <c r="F8739" s="591">
        <v>8730</v>
      </c>
      <c r="G8739" s="420">
        <f t="shared" ca="1" si="144"/>
        <v>-5.5362102229542659E-2</v>
      </c>
    </row>
    <row r="8740" spans="6:7" x14ac:dyDescent="0.2">
      <c r="F8740" s="591">
        <v>8731</v>
      </c>
      <c r="G8740" s="420">
        <f t="shared" ca="1" si="144"/>
        <v>-0.11225513948048403</v>
      </c>
    </row>
    <row r="8741" spans="6:7" x14ac:dyDescent="0.2">
      <c r="F8741" s="591">
        <v>8732</v>
      </c>
      <c r="G8741" s="420">
        <f t="shared" ca="1" si="144"/>
        <v>-2.7453497460602081E-2</v>
      </c>
    </row>
    <row r="8742" spans="6:7" x14ac:dyDescent="0.2">
      <c r="F8742" s="591">
        <v>8733</v>
      </c>
      <c r="G8742" s="420">
        <f t="shared" ca="1" si="144"/>
        <v>-7.104863422898576E-2</v>
      </c>
    </row>
    <row r="8743" spans="6:7" x14ac:dyDescent="0.2">
      <c r="F8743" s="591">
        <v>8734</v>
      </c>
      <c r="G8743" s="420">
        <f t="shared" ca="1" si="144"/>
        <v>9.0587317279373081E-2</v>
      </c>
    </row>
    <row r="8744" spans="6:7" x14ac:dyDescent="0.2">
      <c r="F8744" s="591">
        <v>8735</v>
      </c>
      <c r="G8744" s="420">
        <f t="shared" ca="1" si="144"/>
        <v>4.89809614168394E-2</v>
      </c>
    </row>
    <row r="8745" spans="6:7" x14ac:dyDescent="0.2">
      <c r="F8745" s="591">
        <v>8736</v>
      </c>
      <c r="G8745" s="420">
        <f t="shared" ca="1" si="144"/>
        <v>-2.4863351319475532E-2</v>
      </c>
    </row>
    <row r="8746" spans="6:7" x14ac:dyDescent="0.2">
      <c r="F8746" s="591">
        <v>8737</v>
      </c>
      <c r="G8746" s="420">
        <f t="shared" ca="1" si="144"/>
        <v>-9.9567753081116608E-2</v>
      </c>
    </row>
    <row r="8747" spans="6:7" x14ac:dyDescent="0.2">
      <c r="F8747" s="591">
        <v>8738</v>
      </c>
      <c r="G8747" s="420">
        <f t="shared" ca="1" si="144"/>
        <v>-3.8151387188679248E-2</v>
      </c>
    </row>
    <row r="8748" spans="6:7" x14ac:dyDescent="0.2">
      <c r="F8748" s="591">
        <v>8739</v>
      </c>
      <c r="G8748" s="420">
        <f t="shared" ca="1" si="144"/>
        <v>6.1807209351533998E-2</v>
      </c>
    </row>
    <row r="8749" spans="6:7" x14ac:dyDescent="0.2">
      <c r="F8749" s="591">
        <v>8740</v>
      </c>
      <c r="G8749" s="420">
        <f t="shared" ca="1" si="144"/>
        <v>-4.7896386955374459E-3</v>
      </c>
    </row>
    <row r="8750" spans="6:7" x14ac:dyDescent="0.2">
      <c r="F8750" s="591">
        <v>8741</v>
      </c>
      <c r="G8750" s="420">
        <f t="shared" ca="1" si="144"/>
        <v>6.3923833476445591E-2</v>
      </c>
    </row>
    <row r="8751" spans="6:7" x14ac:dyDescent="0.2">
      <c r="F8751" s="591">
        <v>8742</v>
      </c>
      <c r="G8751" s="420">
        <f t="shared" ca="1" si="144"/>
        <v>-0.10477049638067654</v>
      </c>
    </row>
    <row r="8752" spans="6:7" x14ac:dyDescent="0.2">
      <c r="F8752" s="591">
        <v>8743</v>
      </c>
      <c r="G8752" s="420">
        <f t="shared" ca="1" si="144"/>
        <v>7.9634146021753491E-2</v>
      </c>
    </row>
    <row r="8753" spans="6:7" x14ac:dyDescent="0.2">
      <c r="F8753" s="591">
        <v>8744</v>
      </c>
      <c r="G8753" s="420">
        <f t="shared" ca="1" si="144"/>
        <v>9.2835551267851979E-2</v>
      </c>
    </row>
    <row r="8754" spans="6:7" x14ac:dyDescent="0.2">
      <c r="F8754" s="591">
        <v>8745</v>
      </c>
      <c r="G8754" s="420">
        <f t="shared" ca="1" si="144"/>
        <v>-3.6377231307304247E-2</v>
      </c>
    </row>
    <row r="8755" spans="6:7" x14ac:dyDescent="0.2">
      <c r="F8755" s="591">
        <v>8746</v>
      </c>
      <c r="G8755" s="420">
        <f t="shared" ca="1" si="144"/>
        <v>-2.4483632339740633E-2</v>
      </c>
    </row>
    <row r="8756" spans="6:7" x14ac:dyDescent="0.2">
      <c r="F8756" s="591">
        <v>8747</v>
      </c>
      <c r="G8756" s="420">
        <f t="shared" ca="1" si="144"/>
        <v>2.1047086941195545E-2</v>
      </c>
    </row>
    <row r="8757" spans="6:7" x14ac:dyDescent="0.2">
      <c r="F8757" s="591">
        <v>8748</v>
      </c>
      <c r="G8757" s="420">
        <f t="shared" ca="1" si="144"/>
        <v>5.6116990238922748E-2</v>
      </c>
    </row>
    <row r="8758" spans="6:7" x14ac:dyDescent="0.2">
      <c r="F8758" s="591">
        <v>8749</v>
      </c>
      <c r="G8758" s="420">
        <f t="shared" ca="1" si="144"/>
        <v>0.11209286176714346</v>
      </c>
    </row>
    <row r="8759" spans="6:7" x14ac:dyDescent="0.2">
      <c r="F8759" s="591">
        <v>8750</v>
      </c>
      <c r="G8759" s="420">
        <f t="shared" ca="1" si="144"/>
        <v>-5.5047582196566733E-2</v>
      </c>
    </row>
    <row r="8760" spans="6:7" x14ac:dyDescent="0.2">
      <c r="F8760" s="591">
        <v>8751</v>
      </c>
      <c r="G8760" s="420">
        <f t="shared" ca="1" si="144"/>
        <v>0.11563257224296548</v>
      </c>
    </row>
    <row r="8761" spans="6:7" x14ac:dyDescent="0.2">
      <c r="F8761" s="591">
        <v>8752</v>
      </c>
      <c r="G8761" s="420">
        <f t="shared" ca="1" si="144"/>
        <v>0.16107452890371229</v>
      </c>
    </row>
    <row r="8762" spans="6:7" x14ac:dyDescent="0.2">
      <c r="F8762" s="591">
        <v>8753</v>
      </c>
      <c r="G8762" s="420">
        <f t="shared" ca="1" si="144"/>
        <v>5.3460655742990165E-2</v>
      </c>
    </row>
    <row r="8763" spans="6:7" x14ac:dyDescent="0.2">
      <c r="F8763" s="591">
        <v>8754</v>
      </c>
      <c r="G8763" s="420">
        <f t="shared" ca="1" si="144"/>
        <v>3.8459372270817485E-2</v>
      </c>
    </row>
    <row r="8764" spans="6:7" x14ac:dyDescent="0.2">
      <c r="F8764" s="591">
        <v>8755</v>
      </c>
      <c r="G8764" s="420">
        <f t="shared" ca="1" si="144"/>
        <v>7.4394786406775076E-2</v>
      </c>
    </row>
    <row r="8765" spans="6:7" x14ac:dyDescent="0.2">
      <c r="F8765" s="591">
        <v>8756</v>
      </c>
      <c r="G8765" s="420">
        <f t="shared" ca="1" si="144"/>
        <v>-2.6566866540291556E-3</v>
      </c>
    </row>
    <row r="8766" spans="6:7" x14ac:dyDescent="0.2">
      <c r="F8766" s="591">
        <v>8757</v>
      </c>
      <c r="G8766" s="420">
        <f t="shared" ca="1" si="144"/>
        <v>7.0028891844028801E-2</v>
      </c>
    </row>
    <row r="8767" spans="6:7" x14ac:dyDescent="0.2">
      <c r="F8767" s="591">
        <v>8758</v>
      </c>
      <c r="G8767" s="420">
        <f t="shared" ca="1" si="144"/>
        <v>6.3897114782986444E-2</v>
      </c>
    </row>
    <row r="8768" spans="6:7" x14ac:dyDescent="0.2">
      <c r="F8768" s="591">
        <v>8759</v>
      </c>
      <c r="G8768" s="420">
        <f t="shared" ca="1" si="144"/>
        <v>0.13567649639691465</v>
      </c>
    </row>
    <row r="8769" spans="6:7" x14ac:dyDescent="0.2">
      <c r="F8769" s="591">
        <v>8760</v>
      </c>
      <c r="G8769" s="420">
        <f t="shared" ca="1" si="144"/>
        <v>8.7763452016893159E-2</v>
      </c>
    </row>
    <row r="8770" spans="6:7" x14ac:dyDescent="0.2">
      <c r="F8770" s="591">
        <v>8761</v>
      </c>
      <c r="G8770" s="420">
        <f t="shared" ca="1" si="144"/>
        <v>3.8417996332031711E-2</v>
      </c>
    </row>
    <row r="8771" spans="6:7" x14ac:dyDescent="0.2">
      <c r="F8771" s="591">
        <v>8762</v>
      </c>
      <c r="G8771" s="420">
        <f t="shared" ca="1" si="144"/>
        <v>-2.9028191084006217E-2</v>
      </c>
    </row>
    <row r="8772" spans="6:7" x14ac:dyDescent="0.2">
      <c r="F8772" s="591">
        <v>8763</v>
      </c>
      <c r="G8772" s="420">
        <f t="shared" ca="1" si="144"/>
        <v>8.4739673519711942E-2</v>
      </c>
    </row>
    <row r="8773" spans="6:7" x14ac:dyDescent="0.2">
      <c r="F8773" s="591">
        <v>8764</v>
      </c>
      <c r="G8773" s="420">
        <f t="shared" ca="1" si="144"/>
        <v>5.5930083181259124E-2</v>
      </c>
    </row>
    <row r="8774" spans="6:7" x14ac:dyDescent="0.2">
      <c r="F8774" s="591">
        <v>8765</v>
      </c>
      <c r="G8774" s="420">
        <f t="shared" ca="1" si="144"/>
        <v>-5.6198738466816861E-2</v>
      </c>
    </row>
    <row r="8775" spans="6:7" x14ac:dyDescent="0.2">
      <c r="F8775" s="591">
        <v>8766</v>
      </c>
      <c r="G8775" s="420">
        <f t="shared" ca="1" si="144"/>
        <v>-3.0308479304423697E-2</v>
      </c>
    </row>
    <row r="8776" spans="6:7" x14ac:dyDescent="0.2">
      <c r="F8776" s="591">
        <v>8767</v>
      </c>
      <c r="G8776" s="420">
        <f t="shared" ca="1" si="144"/>
        <v>-1.6295787625558146E-2</v>
      </c>
    </row>
    <row r="8777" spans="6:7" x14ac:dyDescent="0.2">
      <c r="F8777" s="591">
        <v>8768</v>
      </c>
      <c r="G8777" s="420">
        <f t="shared" ca="1" si="144"/>
        <v>-4.8855220438065547E-2</v>
      </c>
    </row>
    <row r="8778" spans="6:7" x14ac:dyDescent="0.2">
      <c r="F8778" s="591">
        <v>8769</v>
      </c>
      <c r="G8778" s="420">
        <f t="shared" ca="1" si="144"/>
        <v>7.8411747434250448E-3</v>
      </c>
    </row>
    <row r="8779" spans="6:7" x14ac:dyDescent="0.2">
      <c r="F8779" s="591">
        <v>8770</v>
      </c>
      <c r="G8779" s="420">
        <f t="shared" ref="G8779:G8842" ca="1" si="145">_xlfn.NORM.INV(RAND(), $M$11,$M$12)</f>
        <v>-5.8069808962161823E-2</v>
      </c>
    </row>
    <row r="8780" spans="6:7" x14ac:dyDescent="0.2">
      <c r="F8780" s="591">
        <v>8771</v>
      </c>
      <c r="G8780" s="420">
        <f t="shared" ca="1" si="145"/>
        <v>-0.13768156514880114</v>
      </c>
    </row>
    <row r="8781" spans="6:7" x14ac:dyDescent="0.2">
      <c r="F8781" s="591">
        <v>8772</v>
      </c>
      <c r="G8781" s="420">
        <f t="shared" ca="1" si="145"/>
        <v>8.9952010310649103E-2</v>
      </c>
    </row>
    <row r="8782" spans="6:7" x14ac:dyDescent="0.2">
      <c r="F8782" s="591">
        <v>8773</v>
      </c>
      <c r="G8782" s="420">
        <f t="shared" ca="1" si="145"/>
        <v>-6.1843536726368595E-2</v>
      </c>
    </row>
    <row r="8783" spans="6:7" x14ac:dyDescent="0.2">
      <c r="F8783" s="591">
        <v>8774</v>
      </c>
      <c r="G8783" s="420">
        <f t="shared" ca="1" si="145"/>
        <v>-2.8285361115995163E-2</v>
      </c>
    </row>
    <row r="8784" spans="6:7" x14ac:dyDescent="0.2">
      <c r="F8784" s="591">
        <v>8775</v>
      </c>
      <c r="G8784" s="420">
        <f t="shared" ca="1" si="145"/>
        <v>-0.10007867275175493</v>
      </c>
    </row>
    <row r="8785" spans="6:7" x14ac:dyDescent="0.2">
      <c r="F8785" s="591">
        <v>8776</v>
      </c>
      <c r="G8785" s="420">
        <f t="shared" ca="1" si="145"/>
        <v>3.7211610385766036E-2</v>
      </c>
    </row>
    <row r="8786" spans="6:7" x14ac:dyDescent="0.2">
      <c r="F8786" s="591">
        <v>8777</v>
      </c>
      <c r="G8786" s="420">
        <f t="shared" ca="1" si="145"/>
        <v>3.5010565908129947E-2</v>
      </c>
    </row>
    <row r="8787" spans="6:7" x14ac:dyDescent="0.2">
      <c r="F8787" s="591">
        <v>8778</v>
      </c>
      <c r="G8787" s="420">
        <f t="shared" ca="1" si="145"/>
        <v>0.16467471573068176</v>
      </c>
    </row>
    <row r="8788" spans="6:7" x14ac:dyDescent="0.2">
      <c r="F8788" s="591">
        <v>8779</v>
      </c>
      <c r="G8788" s="420">
        <f t="shared" ca="1" si="145"/>
        <v>-0.11930097021001267</v>
      </c>
    </row>
    <row r="8789" spans="6:7" x14ac:dyDescent="0.2">
      <c r="F8789" s="591">
        <v>8780</v>
      </c>
      <c r="G8789" s="420">
        <f t="shared" ca="1" si="145"/>
        <v>-3.469853346751535E-2</v>
      </c>
    </row>
    <row r="8790" spans="6:7" x14ac:dyDescent="0.2">
      <c r="F8790" s="591">
        <v>8781</v>
      </c>
      <c r="G8790" s="420">
        <f t="shared" ca="1" si="145"/>
        <v>7.4642021469575215E-2</v>
      </c>
    </row>
    <row r="8791" spans="6:7" x14ac:dyDescent="0.2">
      <c r="F8791" s="591">
        <v>8782</v>
      </c>
      <c r="G8791" s="420">
        <f t="shared" ca="1" si="145"/>
        <v>2.5531458432668692E-2</v>
      </c>
    </row>
    <row r="8792" spans="6:7" x14ac:dyDescent="0.2">
      <c r="F8792" s="591">
        <v>8783</v>
      </c>
      <c r="G8792" s="420">
        <f t="shared" ca="1" si="145"/>
        <v>-1.4676190195058152E-3</v>
      </c>
    </row>
    <row r="8793" spans="6:7" x14ac:dyDescent="0.2">
      <c r="F8793" s="591">
        <v>8784</v>
      </c>
      <c r="G8793" s="420">
        <f t="shared" ca="1" si="145"/>
        <v>-3.5798554122915729E-2</v>
      </c>
    </row>
    <row r="8794" spans="6:7" x14ac:dyDescent="0.2">
      <c r="F8794" s="591">
        <v>8785</v>
      </c>
      <c r="G8794" s="420">
        <f t="shared" ca="1" si="145"/>
        <v>-3.3681245571411833E-2</v>
      </c>
    </row>
    <row r="8795" spans="6:7" x14ac:dyDescent="0.2">
      <c r="F8795" s="591">
        <v>8786</v>
      </c>
      <c r="G8795" s="420">
        <f t="shared" ca="1" si="145"/>
        <v>8.0739026610786468E-2</v>
      </c>
    </row>
    <row r="8796" spans="6:7" x14ac:dyDescent="0.2">
      <c r="F8796" s="591">
        <v>8787</v>
      </c>
      <c r="G8796" s="420">
        <f t="shared" ca="1" si="145"/>
        <v>-4.5268238946866476E-2</v>
      </c>
    </row>
    <row r="8797" spans="6:7" x14ac:dyDescent="0.2">
      <c r="F8797" s="591">
        <v>8788</v>
      </c>
      <c r="G8797" s="420">
        <f t="shared" ca="1" si="145"/>
        <v>-9.7182672575156261E-3</v>
      </c>
    </row>
    <row r="8798" spans="6:7" x14ac:dyDescent="0.2">
      <c r="F8798" s="591">
        <v>8789</v>
      </c>
      <c r="G8798" s="420">
        <f t="shared" ca="1" si="145"/>
        <v>-0.15181378062516868</v>
      </c>
    </row>
    <row r="8799" spans="6:7" x14ac:dyDescent="0.2">
      <c r="F8799" s="591">
        <v>8790</v>
      </c>
      <c r="G8799" s="420">
        <f t="shared" ca="1" si="145"/>
        <v>-5.4825861738295886E-2</v>
      </c>
    </row>
    <row r="8800" spans="6:7" x14ac:dyDescent="0.2">
      <c r="F8800" s="591">
        <v>8791</v>
      </c>
      <c r="G8800" s="420">
        <f t="shared" ca="1" si="145"/>
        <v>0.12436609773820606</v>
      </c>
    </row>
    <row r="8801" spans="6:7" x14ac:dyDescent="0.2">
      <c r="F8801" s="591">
        <v>8792</v>
      </c>
      <c r="G8801" s="420">
        <f t="shared" ca="1" si="145"/>
        <v>-2.0041599496850224E-2</v>
      </c>
    </row>
    <row r="8802" spans="6:7" x14ac:dyDescent="0.2">
      <c r="F8802" s="591">
        <v>8793</v>
      </c>
      <c r="G8802" s="420">
        <f t="shared" ca="1" si="145"/>
        <v>-1.2661288304053175E-2</v>
      </c>
    </row>
    <row r="8803" spans="6:7" x14ac:dyDescent="0.2">
      <c r="F8803" s="591">
        <v>8794</v>
      </c>
      <c r="G8803" s="420">
        <f t="shared" ca="1" si="145"/>
        <v>4.9793581505863535E-2</v>
      </c>
    </row>
    <row r="8804" spans="6:7" x14ac:dyDescent="0.2">
      <c r="F8804" s="591">
        <v>8795</v>
      </c>
      <c r="G8804" s="420">
        <f t="shared" ca="1" si="145"/>
        <v>8.587622749928539E-2</v>
      </c>
    </row>
    <row r="8805" spans="6:7" x14ac:dyDescent="0.2">
      <c r="F8805" s="591">
        <v>8796</v>
      </c>
      <c r="G8805" s="420">
        <f t="shared" ca="1" si="145"/>
        <v>-0.12006996257651563</v>
      </c>
    </row>
    <row r="8806" spans="6:7" x14ac:dyDescent="0.2">
      <c r="F8806" s="591">
        <v>8797</v>
      </c>
      <c r="G8806" s="420">
        <f t="shared" ca="1" si="145"/>
        <v>-1.4958070243870324E-3</v>
      </c>
    </row>
    <row r="8807" spans="6:7" x14ac:dyDescent="0.2">
      <c r="F8807" s="591">
        <v>8798</v>
      </c>
      <c r="G8807" s="420">
        <f t="shared" ca="1" si="145"/>
        <v>-6.9663477014763435E-3</v>
      </c>
    </row>
    <row r="8808" spans="6:7" x14ac:dyDescent="0.2">
      <c r="F8808" s="591">
        <v>8799</v>
      </c>
      <c r="G8808" s="420">
        <f t="shared" ca="1" si="145"/>
        <v>5.7686114459353219E-2</v>
      </c>
    </row>
    <row r="8809" spans="6:7" x14ac:dyDescent="0.2">
      <c r="F8809" s="591">
        <v>8800</v>
      </c>
      <c r="G8809" s="420">
        <f t="shared" ca="1" si="145"/>
        <v>3.1909093991556774E-2</v>
      </c>
    </row>
    <row r="8810" spans="6:7" x14ac:dyDescent="0.2">
      <c r="F8810" s="591">
        <v>8801</v>
      </c>
      <c r="G8810" s="420">
        <f t="shared" ca="1" si="145"/>
        <v>7.1006229462798151E-2</v>
      </c>
    </row>
    <row r="8811" spans="6:7" x14ac:dyDescent="0.2">
      <c r="F8811" s="591">
        <v>8802</v>
      </c>
      <c r="G8811" s="420">
        <f t="shared" ca="1" si="145"/>
        <v>9.3072941201679346E-2</v>
      </c>
    </row>
    <row r="8812" spans="6:7" x14ac:dyDescent="0.2">
      <c r="F8812" s="591">
        <v>8803</v>
      </c>
      <c r="G8812" s="420">
        <f t="shared" ca="1" si="145"/>
        <v>-3.4383597964627644E-2</v>
      </c>
    </row>
    <row r="8813" spans="6:7" x14ac:dyDescent="0.2">
      <c r="F8813" s="591">
        <v>8804</v>
      </c>
      <c r="G8813" s="420">
        <f t="shared" ca="1" si="145"/>
        <v>2.0289104595160382E-5</v>
      </c>
    </row>
    <row r="8814" spans="6:7" x14ac:dyDescent="0.2">
      <c r="F8814" s="591">
        <v>8805</v>
      </c>
      <c r="G8814" s="420">
        <f t="shared" ca="1" si="145"/>
        <v>-5.9359147617979863E-2</v>
      </c>
    </row>
    <row r="8815" spans="6:7" x14ac:dyDescent="0.2">
      <c r="F8815" s="591">
        <v>8806</v>
      </c>
      <c r="G8815" s="420">
        <f t="shared" ca="1" si="145"/>
        <v>2.6684737643781972E-3</v>
      </c>
    </row>
    <row r="8816" spans="6:7" x14ac:dyDescent="0.2">
      <c r="F8816" s="591">
        <v>8807</v>
      </c>
      <c r="G8816" s="420">
        <f t="shared" ca="1" si="145"/>
        <v>0.11809230148148721</v>
      </c>
    </row>
    <row r="8817" spans="6:7" x14ac:dyDescent="0.2">
      <c r="F8817" s="591">
        <v>8808</v>
      </c>
      <c r="G8817" s="420">
        <f t="shared" ca="1" si="145"/>
        <v>-1.4772354723362951E-2</v>
      </c>
    </row>
    <row r="8818" spans="6:7" x14ac:dyDescent="0.2">
      <c r="F8818" s="591">
        <v>8809</v>
      </c>
      <c r="G8818" s="420">
        <f t="shared" ca="1" si="145"/>
        <v>4.4025028134784205E-2</v>
      </c>
    </row>
    <row r="8819" spans="6:7" x14ac:dyDescent="0.2">
      <c r="F8819" s="591">
        <v>8810</v>
      </c>
      <c r="G8819" s="420">
        <f t="shared" ca="1" si="145"/>
        <v>-4.5588773464261503E-2</v>
      </c>
    </row>
    <row r="8820" spans="6:7" x14ac:dyDescent="0.2">
      <c r="F8820" s="591">
        <v>8811</v>
      </c>
      <c r="G8820" s="420">
        <f t="shared" ca="1" si="145"/>
        <v>7.6521229641184019E-2</v>
      </c>
    </row>
    <row r="8821" spans="6:7" x14ac:dyDescent="0.2">
      <c r="F8821" s="591">
        <v>8812</v>
      </c>
      <c r="G8821" s="420">
        <f t="shared" ca="1" si="145"/>
        <v>6.2870361228985192E-2</v>
      </c>
    </row>
    <row r="8822" spans="6:7" x14ac:dyDescent="0.2">
      <c r="F8822" s="591">
        <v>8813</v>
      </c>
      <c r="G8822" s="420">
        <f t="shared" ca="1" si="145"/>
        <v>-8.9830031789672082E-2</v>
      </c>
    </row>
    <row r="8823" spans="6:7" x14ac:dyDescent="0.2">
      <c r="F8823" s="591">
        <v>8814</v>
      </c>
      <c r="G8823" s="420">
        <f t="shared" ca="1" si="145"/>
        <v>7.924338533712115E-2</v>
      </c>
    </row>
    <row r="8824" spans="6:7" x14ac:dyDescent="0.2">
      <c r="F8824" s="591">
        <v>8815</v>
      </c>
      <c r="G8824" s="420">
        <f t="shared" ca="1" si="145"/>
        <v>4.8742428770093216E-2</v>
      </c>
    </row>
    <row r="8825" spans="6:7" x14ac:dyDescent="0.2">
      <c r="F8825" s="591">
        <v>8816</v>
      </c>
      <c r="G8825" s="420">
        <f t="shared" ca="1" si="145"/>
        <v>-2.2210817760368821E-2</v>
      </c>
    </row>
    <row r="8826" spans="6:7" x14ac:dyDescent="0.2">
      <c r="F8826" s="591">
        <v>8817</v>
      </c>
      <c r="G8826" s="420">
        <f t="shared" ca="1" si="145"/>
        <v>3.2593332462230125E-2</v>
      </c>
    </row>
    <row r="8827" spans="6:7" x14ac:dyDescent="0.2">
      <c r="F8827" s="591">
        <v>8818</v>
      </c>
      <c r="G8827" s="420">
        <f t="shared" ca="1" si="145"/>
        <v>3.6298796476819301E-2</v>
      </c>
    </row>
    <row r="8828" spans="6:7" x14ac:dyDescent="0.2">
      <c r="F8828" s="591">
        <v>8819</v>
      </c>
      <c r="G8828" s="420">
        <f t="shared" ca="1" si="145"/>
        <v>4.8412385724344767E-2</v>
      </c>
    </row>
    <row r="8829" spans="6:7" x14ac:dyDescent="0.2">
      <c r="F8829" s="591">
        <v>8820</v>
      </c>
      <c r="G8829" s="420">
        <f t="shared" ca="1" si="145"/>
        <v>-6.2315136877831065E-2</v>
      </c>
    </row>
    <row r="8830" spans="6:7" x14ac:dyDescent="0.2">
      <c r="F8830" s="591">
        <v>8821</v>
      </c>
      <c r="G8830" s="420">
        <f t="shared" ca="1" si="145"/>
        <v>0.12231889635939189</v>
      </c>
    </row>
    <row r="8831" spans="6:7" x14ac:dyDescent="0.2">
      <c r="F8831" s="591">
        <v>8822</v>
      </c>
      <c r="G8831" s="420">
        <f t="shared" ca="1" si="145"/>
        <v>1.3029983579648394E-2</v>
      </c>
    </row>
    <row r="8832" spans="6:7" x14ac:dyDescent="0.2">
      <c r="F8832" s="591">
        <v>8823</v>
      </c>
      <c r="G8832" s="420">
        <f t="shared" ca="1" si="145"/>
        <v>-1.1515055134472298E-4</v>
      </c>
    </row>
    <row r="8833" spans="6:7" x14ac:dyDescent="0.2">
      <c r="F8833" s="591">
        <v>8824</v>
      </c>
      <c r="G8833" s="420">
        <f t="shared" ca="1" si="145"/>
        <v>-2.9576913578074151E-2</v>
      </c>
    </row>
    <row r="8834" spans="6:7" x14ac:dyDescent="0.2">
      <c r="F8834" s="591">
        <v>8825</v>
      </c>
      <c r="G8834" s="420">
        <f t="shared" ca="1" si="145"/>
        <v>-3.4524225013630477E-2</v>
      </c>
    </row>
    <row r="8835" spans="6:7" x14ac:dyDescent="0.2">
      <c r="F8835" s="591">
        <v>8826</v>
      </c>
      <c r="G8835" s="420">
        <f t="shared" ca="1" si="145"/>
        <v>-4.0179912367253365E-2</v>
      </c>
    </row>
    <row r="8836" spans="6:7" x14ac:dyDescent="0.2">
      <c r="F8836" s="591">
        <v>8827</v>
      </c>
      <c r="G8836" s="420">
        <f t="shared" ca="1" si="145"/>
        <v>-0.11715959660375712</v>
      </c>
    </row>
    <row r="8837" spans="6:7" x14ac:dyDescent="0.2">
      <c r="F8837" s="591">
        <v>8828</v>
      </c>
      <c r="G8837" s="420">
        <f t="shared" ca="1" si="145"/>
        <v>-1.9154533579096498E-2</v>
      </c>
    </row>
    <row r="8838" spans="6:7" x14ac:dyDescent="0.2">
      <c r="F8838" s="591">
        <v>8829</v>
      </c>
      <c r="G8838" s="420">
        <f t="shared" ca="1" si="145"/>
        <v>-7.3773938209492247E-3</v>
      </c>
    </row>
    <row r="8839" spans="6:7" x14ac:dyDescent="0.2">
      <c r="F8839" s="591">
        <v>8830</v>
      </c>
      <c r="G8839" s="420">
        <f t="shared" ca="1" si="145"/>
        <v>6.0383111346639123E-2</v>
      </c>
    </row>
    <row r="8840" spans="6:7" x14ac:dyDescent="0.2">
      <c r="F8840" s="591">
        <v>8831</v>
      </c>
      <c r="G8840" s="420">
        <f t="shared" ca="1" si="145"/>
        <v>0.11786868033576474</v>
      </c>
    </row>
    <row r="8841" spans="6:7" x14ac:dyDescent="0.2">
      <c r="F8841" s="591">
        <v>8832</v>
      </c>
      <c r="G8841" s="420">
        <f t="shared" ca="1" si="145"/>
        <v>2.9047851448798609E-2</v>
      </c>
    </row>
    <row r="8842" spans="6:7" x14ac:dyDescent="0.2">
      <c r="F8842" s="591">
        <v>8833</v>
      </c>
      <c r="G8842" s="420">
        <f t="shared" ca="1" si="145"/>
        <v>-5.758863004704616E-2</v>
      </c>
    </row>
    <row r="8843" spans="6:7" x14ac:dyDescent="0.2">
      <c r="F8843" s="591">
        <v>8834</v>
      </c>
      <c r="G8843" s="420">
        <f t="shared" ref="G8843:G8906" ca="1" si="146">_xlfn.NORM.INV(RAND(), $M$11,$M$12)</f>
        <v>4.2763385147328303E-2</v>
      </c>
    </row>
    <row r="8844" spans="6:7" x14ac:dyDescent="0.2">
      <c r="F8844" s="591">
        <v>8835</v>
      </c>
      <c r="G8844" s="420">
        <f t="shared" ca="1" si="146"/>
        <v>-4.6398138831018079E-2</v>
      </c>
    </row>
    <row r="8845" spans="6:7" x14ac:dyDescent="0.2">
      <c r="F8845" s="591">
        <v>8836</v>
      </c>
      <c r="G8845" s="420">
        <f t="shared" ca="1" si="146"/>
        <v>2.1385383433494512E-2</v>
      </c>
    </row>
    <row r="8846" spans="6:7" x14ac:dyDescent="0.2">
      <c r="F8846" s="591">
        <v>8837</v>
      </c>
      <c r="G8846" s="420">
        <f t="shared" ca="1" si="146"/>
        <v>2.2574996066476387E-2</v>
      </c>
    </row>
    <row r="8847" spans="6:7" x14ac:dyDescent="0.2">
      <c r="F8847" s="591">
        <v>8838</v>
      </c>
      <c r="G8847" s="420">
        <f t="shared" ca="1" si="146"/>
        <v>6.885698761434153E-2</v>
      </c>
    </row>
    <row r="8848" spans="6:7" x14ac:dyDescent="0.2">
      <c r="F8848" s="591">
        <v>8839</v>
      </c>
      <c r="G8848" s="420">
        <f t="shared" ca="1" si="146"/>
        <v>-5.2793987447195379E-2</v>
      </c>
    </row>
    <row r="8849" spans="6:7" x14ac:dyDescent="0.2">
      <c r="F8849" s="591">
        <v>8840</v>
      </c>
      <c r="G8849" s="420">
        <f t="shared" ca="1" si="146"/>
        <v>-0.11675311835623665</v>
      </c>
    </row>
    <row r="8850" spans="6:7" x14ac:dyDescent="0.2">
      <c r="F8850" s="591">
        <v>8841</v>
      </c>
      <c r="G8850" s="420">
        <f t="shared" ca="1" si="146"/>
        <v>-8.0720278141826987E-2</v>
      </c>
    </row>
    <row r="8851" spans="6:7" x14ac:dyDescent="0.2">
      <c r="F8851" s="591">
        <v>8842</v>
      </c>
      <c r="G8851" s="420">
        <f t="shared" ca="1" si="146"/>
        <v>5.0201244871547465E-2</v>
      </c>
    </row>
    <row r="8852" spans="6:7" x14ac:dyDescent="0.2">
      <c r="F8852" s="591">
        <v>8843</v>
      </c>
      <c r="G8852" s="420">
        <f t="shared" ca="1" si="146"/>
        <v>0.11683784786181955</v>
      </c>
    </row>
    <row r="8853" spans="6:7" x14ac:dyDescent="0.2">
      <c r="F8853" s="591">
        <v>8844</v>
      </c>
      <c r="G8853" s="420">
        <f t="shared" ca="1" si="146"/>
        <v>3.9711440717951671E-2</v>
      </c>
    </row>
    <row r="8854" spans="6:7" x14ac:dyDescent="0.2">
      <c r="F8854" s="591">
        <v>8845</v>
      </c>
      <c r="G8854" s="420">
        <f t="shared" ca="1" si="146"/>
        <v>1.3349434670615005E-3</v>
      </c>
    </row>
    <row r="8855" spans="6:7" x14ac:dyDescent="0.2">
      <c r="F8855" s="591">
        <v>8846</v>
      </c>
      <c r="G8855" s="420">
        <f t="shared" ca="1" si="146"/>
        <v>8.005023802008765E-2</v>
      </c>
    </row>
    <row r="8856" spans="6:7" x14ac:dyDescent="0.2">
      <c r="F8856" s="591">
        <v>8847</v>
      </c>
      <c r="G8856" s="420">
        <f t="shared" ca="1" si="146"/>
        <v>-1.5288789719569956E-2</v>
      </c>
    </row>
    <row r="8857" spans="6:7" x14ac:dyDescent="0.2">
      <c r="F8857" s="591">
        <v>8848</v>
      </c>
      <c r="G8857" s="420">
        <f t="shared" ca="1" si="146"/>
        <v>1.2809234561201772E-2</v>
      </c>
    </row>
    <row r="8858" spans="6:7" x14ac:dyDescent="0.2">
      <c r="F8858" s="591">
        <v>8849</v>
      </c>
      <c r="G8858" s="420">
        <f t="shared" ca="1" si="146"/>
        <v>-2.1616789891996325E-2</v>
      </c>
    </row>
    <row r="8859" spans="6:7" x14ac:dyDescent="0.2">
      <c r="F8859" s="591">
        <v>8850</v>
      </c>
      <c r="G8859" s="420">
        <f t="shared" ca="1" si="146"/>
        <v>-5.6638935359699244E-3</v>
      </c>
    </row>
    <row r="8860" spans="6:7" x14ac:dyDescent="0.2">
      <c r="F8860" s="591">
        <v>8851</v>
      </c>
      <c r="G8860" s="420">
        <f t="shared" ca="1" si="146"/>
        <v>-5.2419264089033621E-2</v>
      </c>
    </row>
    <row r="8861" spans="6:7" x14ac:dyDescent="0.2">
      <c r="F8861" s="591">
        <v>8852</v>
      </c>
      <c r="G8861" s="420">
        <f t="shared" ca="1" si="146"/>
        <v>7.4194223220435144E-3</v>
      </c>
    </row>
    <row r="8862" spans="6:7" x14ac:dyDescent="0.2">
      <c r="F8862" s="591">
        <v>8853</v>
      </c>
      <c r="G8862" s="420">
        <f t="shared" ca="1" si="146"/>
        <v>8.8859888753865024E-2</v>
      </c>
    </row>
    <row r="8863" spans="6:7" x14ac:dyDescent="0.2">
      <c r="F8863" s="591">
        <v>8854</v>
      </c>
      <c r="G8863" s="420">
        <f t="shared" ca="1" si="146"/>
        <v>0.10974982227049994</v>
      </c>
    </row>
    <row r="8864" spans="6:7" x14ac:dyDescent="0.2">
      <c r="F8864" s="591">
        <v>8855</v>
      </c>
      <c r="G8864" s="420">
        <f t="shared" ca="1" si="146"/>
        <v>0.14003239695737341</v>
      </c>
    </row>
    <row r="8865" spans="6:7" x14ac:dyDescent="0.2">
      <c r="F8865" s="591">
        <v>8856</v>
      </c>
      <c r="G8865" s="420">
        <f t="shared" ca="1" si="146"/>
        <v>1.3934345561271386E-2</v>
      </c>
    </row>
    <row r="8866" spans="6:7" x14ac:dyDescent="0.2">
      <c r="F8866" s="591">
        <v>8857</v>
      </c>
      <c r="G8866" s="420">
        <f t="shared" ca="1" si="146"/>
        <v>5.0691516531320355E-2</v>
      </c>
    </row>
    <row r="8867" spans="6:7" x14ac:dyDescent="0.2">
      <c r="F8867" s="591">
        <v>8858</v>
      </c>
      <c r="G8867" s="420">
        <f t="shared" ca="1" si="146"/>
        <v>7.2117481514975199E-2</v>
      </c>
    </row>
    <row r="8868" spans="6:7" x14ac:dyDescent="0.2">
      <c r="F8868" s="591">
        <v>8859</v>
      </c>
      <c r="G8868" s="420">
        <f t="shared" ca="1" si="146"/>
        <v>-1.4956988588821357E-2</v>
      </c>
    </row>
    <row r="8869" spans="6:7" x14ac:dyDescent="0.2">
      <c r="F8869" s="591">
        <v>8860</v>
      </c>
      <c r="G8869" s="420">
        <f t="shared" ca="1" si="146"/>
        <v>1.9674797430112502E-2</v>
      </c>
    </row>
    <row r="8870" spans="6:7" x14ac:dyDescent="0.2">
      <c r="F8870" s="591">
        <v>8861</v>
      </c>
      <c r="G8870" s="420">
        <f t="shared" ca="1" si="146"/>
        <v>2.7697513369456882E-2</v>
      </c>
    </row>
    <row r="8871" spans="6:7" x14ac:dyDescent="0.2">
      <c r="F8871" s="591">
        <v>8862</v>
      </c>
      <c r="G8871" s="420">
        <f t="shared" ca="1" si="146"/>
        <v>-0.13421627964859378</v>
      </c>
    </row>
    <row r="8872" spans="6:7" x14ac:dyDescent="0.2">
      <c r="F8872" s="591">
        <v>8863</v>
      </c>
      <c r="G8872" s="420">
        <f t="shared" ca="1" si="146"/>
        <v>8.3946500942730887E-2</v>
      </c>
    </row>
    <row r="8873" spans="6:7" x14ac:dyDescent="0.2">
      <c r="F8873" s="591">
        <v>8864</v>
      </c>
      <c r="G8873" s="420">
        <f t="shared" ca="1" si="146"/>
        <v>9.3470150114511347E-2</v>
      </c>
    </row>
    <row r="8874" spans="6:7" x14ac:dyDescent="0.2">
      <c r="F8874" s="591">
        <v>8865</v>
      </c>
      <c r="G8874" s="420">
        <f t="shared" ca="1" si="146"/>
        <v>-6.4802596416420125E-3</v>
      </c>
    </row>
    <row r="8875" spans="6:7" x14ac:dyDescent="0.2">
      <c r="F8875" s="591">
        <v>8866</v>
      </c>
      <c r="G8875" s="420">
        <f t="shared" ca="1" si="146"/>
        <v>-2.5802748342331653E-2</v>
      </c>
    </row>
    <row r="8876" spans="6:7" x14ac:dyDescent="0.2">
      <c r="F8876" s="591">
        <v>8867</v>
      </c>
      <c r="G8876" s="420">
        <f t="shared" ca="1" si="146"/>
        <v>7.4236341988737381E-2</v>
      </c>
    </row>
    <row r="8877" spans="6:7" x14ac:dyDescent="0.2">
      <c r="F8877" s="591">
        <v>8868</v>
      </c>
      <c r="G8877" s="420">
        <f t="shared" ca="1" si="146"/>
        <v>-2.7093032264081069E-2</v>
      </c>
    </row>
    <row r="8878" spans="6:7" x14ac:dyDescent="0.2">
      <c r="F8878" s="591">
        <v>8869</v>
      </c>
      <c r="G8878" s="420">
        <f t="shared" ca="1" si="146"/>
        <v>-4.5176203035559831E-2</v>
      </c>
    </row>
    <row r="8879" spans="6:7" x14ac:dyDescent="0.2">
      <c r="F8879" s="591">
        <v>8870</v>
      </c>
      <c r="G8879" s="420">
        <f t="shared" ca="1" si="146"/>
        <v>4.5486884713395501E-2</v>
      </c>
    </row>
    <row r="8880" spans="6:7" x14ac:dyDescent="0.2">
      <c r="F8880" s="591">
        <v>8871</v>
      </c>
      <c r="G8880" s="420">
        <f t="shared" ca="1" si="146"/>
        <v>-1.3971589948052556E-2</v>
      </c>
    </row>
    <row r="8881" spans="6:7" x14ac:dyDescent="0.2">
      <c r="F8881" s="591">
        <v>8872</v>
      </c>
      <c r="G8881" s="420">
        <f t="shared" ca="1" si="146"/>
        <v>-2.8921127593895365E-2</v>
      </c>
    </row>
    <row r="8882" spans="6:7" x14ac:dyDescent="0.2">
      <c r="F8882" s="591">
        <v>8873</v>
      </c>
      <c r="G8882" s="420">
        <f t="shared" ca="1" si="146"/>
        <v>-7.6324718575605438E-2</v>
      </c>
    </row>
    <row r="8883" spans="6:7" x14ac:dyDescent="0.2">
      <c r="F8883" s="591">
        <v>8874</v>
      </c>
      <c r="G8883" s="420">
        <f t="shared" ca="1" si="146"/>
        <v>4.1095865637439102E-3</v>
      </c>
    </row>
    <row r="8884" spans="6:7" x14ac:dyDescent="0.2">
      <c r="F8884" s="591">
        <v>8875</v>
      </c>
      <c r="G8884" s="420">
        <f t="shared" ca="1" si="146"/>
        <v>0.15070001516826873</v>
      </c>
    </row>
    <row r="8885" spans="6:7" x14ac:dyDescent="0.2">
      <c r="F8885" s="591">
        <v>8876</v>
      </c>
      <c r="G8885" s="420">
        <f t="shared" ca="1" si="146"/>
        <v>-1.4043303283526737E-2</v>
      </c>
    </row>
    <row r="8886" spans="6:7" x14ac:dyDescent="0.2">
      <c r="F8886" s="591">
        <v>8877</v>
      </c>
      <c r="G8886" s="420">
        <f t="shared" ca="1" si="146"/>
        <v>-4.0901261923263363E-2</v>
      </c>
    </row>
    <row r="8887" spans="6:7" x14ac:dyDescent="0.2">
      <c r="F8887" s="591">
        <v>8878</v>
      </c>
      <c r="G8887" s="420">
        <f t="shared" ca="1" si="146"/>
        <v>5.2964581750636411E-2</v>
      </c>
    </row>
    <row r="8888" spans="6:7" x14ac:dyDescent="0.2">
      <c r="F8888" s="591">
        <v>8879</v>
      </c>
      <c r="G8888" s="420">
        <f t="shared" ca="1" si="146"/>
        <v>4.9089235588615693E-2</v>
      </c>
    </row>
    <row r="8889" spans="6:7" x14ac:dyDescent="0.2">
      <c r="F8889" s="591">
        <v>8880</v>
      </c>
      <c r="G8889" s="420">
        <f t="shared" ca="1" si="146"/>
        <v>-6.2848605904410396E-2</v>
      </c>
    </row>
    <row r="8890" spans="6:7" x14ac:dyDescent="0.2">
      <c r="F8890" s="591">
        <v>8881</v>
      </c>
      <c r="G8890" s="420">
        <f t="shared" ca="1" si="146"/>
        <v>5.3486561951466047E-2</v>
      </c>
    </row>
    <row r="8891" spans="6:7" x14ac:dyDescent="0.2">
      <c r="F8891" s="591">
        <v>8882</v>
      </c>
      <c r="G8891" s="420">
        <f t="shared" ca="1" si="146"/>
        <v>9.6804799469613012E-2</v>
      </c>
    </row>
    <row r="8892" spans="6:7" x14ac:dyDescent="0.2">
      <c r="F8892" s="591">
        <v>8883</v>
      </c>
      <c r="G8892" s="420">
        <f t="shared" ca="1" si="146"/>
        <v>-6.963002313612314E-2</v>
      </c>
    </row>
    <row r="8893" spans="6:7" x14ac:dyDescent="0.2">
      <c r="F8893" s="591">
        <v>8884</v>
      </c>
      <c r="G8893" s="420">
        <f t="shared" ca="1" si="146"/>
        <v>6.6891960946617812E-2</v>
      </c>
    </row>
    <row r="8894" spans="6:7" x14ac:dyDescent="0.2">
      <c r="F8894" s="591">
        <v>8885</v>
      </c>
      <c r="G8894" s="420">
        <f t="shared" ca="1" si="146"/>
        <v>0.1550681072240655</v>
      </c>
    </row>
    <row r="8895" spans="6:7" x14ac:dyDescent="0.2">
      <c r="F8895" s="591">
        <v>8886</v>
      </c>
      <c r="G8895" s="420">
        <f t="shared" ca="1" si="146"/>
        <v>-5.9832202304854462E-2</v>
      </c>
    </row>
    <row r="8896" spans="6:7" x14ac:dyDescent="0.2">
      <c r="F8896" s="591">
        <v>8887</v>
      </c>
      <c r="G8896" s="420">
        <f t="shared" ca="1" si="146"/>
        <v>4.6805238320332745E-2</v>
      </c>
    </row>
    <row r="8897" spans="6:7" x14ac:dyDescent="0.2">
      <c r="F8897" s="591">
        <v>8888</v>
      </c>
      <c r="G8897" s="420">
        <f t="shared" ca="1" si="146"/>
        <v>5.6095726185896406E-3</v>
      </c>
    </row>
    <row r="8898" spans="6:7" x14ac:dyDescent="0.2">
      <c r="F8898" s="591">
        <v>8889</v>
      </c>
      <c r="G8898" s="420">
        <f t="shared" ca="1" si="146"/>
        <v>-3.4182315163427096E-2</v>
      </c>
    </row>
    <row r="8899" spans="6:7" x14ac:dyDescent="0.2">
      <c r="F8899" s="591">
        <v>8890</v>
      </c>
      <c r="G8899" s="420">
        <f t="shared" ca="1" si="146"/>
        <v>6.3896403853241898E-2</v>
      </c>
    </row>
    <row r="8900" spans="6:7" x14ac:dyDescent="0.2">
      <c r="F8900" s="591">
        <v>8891</v>
      </c>
      <c r="G8900" s="420">
        <f t="shared" ca="1" si="146"/>
        <v>-3.5754433710415437E-2</v>
      </c>
    </row>
    <row r="8901" spans="6:7" x14ac:dyDescent="0.2">
      <c r="F8901" s="591">
        <v>8892</v>
      </c>
      <c r="G8901" s="420">
        <f t="shared" ca="1" si="146"/>
        <v>-5.8316473458126086E-2</v>
      </c>
    </row>
    <row r="8902" spans="6:7" x14ac:dyDescent="0.2">
      <c r="F8902" s="591">
        <v>8893</v>
      </c>
      <c r="G8902" s="420">
        <f t="shared" ca="1" si="146"/>
        <v>5.9549096531637133E-2</v>
      </c>
    </row>
    <row r="8903" spans="6:7" x14ac:dyDescent="0.2">
      <c r="F8903" s="591">
        <v>8894</v>
      </c>
      <c r="G8903" s="420">
        <f t="shared" ca="1" si="146"/>
        <v>6.4293142213583468E-2</v>
      </c>
    </row>
    <row r="8904" spans="6:7" x14ac:dyDescent="0.2">
      <c r="F8904" s="591">
        <v>8895</v>
      </c>
      <c r="G8904" s="420">
        <f t="shared" ca="1" si="146"/>
        <v>-6.7106216754877004E-3</v>
      </c>
    </row>
    <row r="8905" spans="6:7" x14ac:dyDescent="0.2">
      <c r="F8905" s="591">
        <v>8896</v>
      </c>
      <c r="G8905" s="420">
        <f t="shared" ca="1" si="146"/>
        <v>-7.3487813865636423E-2</v>
      </c>
    </row>
    <row r="8906" spans="6:7" x14ac:dyDescent="0.2">
      <c r="F8906" s="591">
        <v>8897</v>
      </c>
      <c r="G8906" s="420">
        <f t="shared" ca="1" si="146"/>
        <v>-3.5915210326177491E-2</v>
      </c>
    </row>
    <row r="8907" spans="6:7" x14ac:dyDescent="0.2">
      <c r="F8907" s="591">
        <v>8898</v>
      </c>
      <c r="G8907" s="420">
        <f t="shared" ref="G8907:G8970" ca="1" si="147">_xlfn.NORM.INV(RAND(), $M$11,$M$12)</f>
        <v>5.3704086414542121E-2</v>
      </c>
    </row>
    <row r="8908" spans="6:7" x14ac:dyDescent="0.2">
      <c r="F8908" s="591">
        <v>8899</v>
      </c>
      <c r="G8908" s="420">
        <f t="shared" ca="1" si="147"/>
        <v>0.11609732416607363</v>
      </c>
    </row>
    <row r="8909" spans="6:7" x14ac:dyDescent="0.2">
      <c r="F8909" s="591">
        <v>8900</v>
      </c>
      <c r="G8909" s="420">
        <f t="shared" ca="1" si="147"/>
        <v>-4.26727664468559E-2</v>
      </c>
    </row>
    <row r="8910" spans="6:7" x14ac:dyDescent="0.2">
      <c r="F8910" s="591">
        <v>8901</v>
      </c>
      <c r="G8910" s="420">
        <f t="shared" ca="1" si="147"/>
        <v>-3.3053967106294074E-2</v>
      </c>
    </row>
    <row r="8911" spans="6:7" x14ac:dyDescent="0.2">
      <c r="F8911" s="591">
        <v>8902</v>
      </c>
      <c r="G8911" s="420">
        <f t="shared" ca="1" si="147"/>
        <v>5.671975886583154E-2</v>
      </c>
    </row>
    <row r="8912" spans="6:7" x14ac:dyDescent="0.2">
      <c r="F8912" s="591">
        <v>8903</v>
      </c>
      <c r="G8912" s="420">
        <f t="shared" ca="1" si="147"/>
        <v>0.10139413134658386</v>
      </c>
    </row>
    <row r="8913" spans="6:7" x14ac:dyDescent="0.2">
      <c r="F8913" s="591">
        <v>8904</v>
      </c>
      <c r="G8913" s="420">
        <f t="shared" ca="1" si="147"/>
        <v>-0.11528614759794149</v>
      </c>
    </row>
    <row r="8914" spans="6:7" x14ac:dyDescent="0.2">
      <c r="F8914" s="591">
        <v>8905</v>
      </c>
      <c r="G8914" s="420">
        <f t="shared" ca="1" si="147"/>
        <v>1.5003779004935019E-2</v>
      </c>
    </row>
    <row r="8915" spans="6:7" x14ac:dyDescent="0.2">
      <c r="F8915" s="591">
        <v>8906</v>
      </c>
      <c r="G8915" s="420">
        <f t="shared" ca="1" si="147"/>
        <v>2.1018652969576734E-2</v>
      </c>
    </row>
    <row r="8916" spans="6:7" x14ac:dyDescent="0.2">
      <c r="F8916" s="591">
        <v>8907</v>
      </c>
      <c r="G8916" s="420">
        <f t="shared" ca="1" si="147"/>
        <v>0.1082286653744421</v>
      </c>
    </row>
    <row r="8917" spans="6:7" x14ac:dyDescent="0.2">
      <c r="F8917" s="591">
        <v>8908</v>
      </c>
      <c r="G8917" s="420">
        <f t="shared" ca="1" si="147"/>
        <v>-4.4879931122596209E-2</v>
      </c>
    </row>
    <row r="8918" spans="6:7" x14ac:dyDescent="0.2">
      <c r="F8918" s="591">
        <v>8909</v>
      </c>
      <c r="G8918" s="420">
        <f t="shared" ca="1" si="147"/>
        <v>-2.7538312196744557E-2</v>
      </c>
    </row>
    <row r="8919" spans="6:7" x14ac:dyDescent="0.2">
      <c r="F8919" s="591">
        <v>8910</v>
      </c>
      <c r="G8919" s="420">
        <f t="shared" ca="1" si="147"/>
        <v>-4.4976995215535803E-2</v>
      </c>
    </row>
    <row r="8920" spans="6:7" x14ac:dyDescent="0.2">
      <c r="F8920" s="591">
        <v>8911</v>
      </c>
      <c r="G8920" s="420">
        <f t="shared" ca="1" si="147"/>
        <v>-0.12720582893194818</v>
      </c>
    </row>
    <row r="8921" spans="6:7" x14ac:dyDescent="0.2">
      <c r="F8921" s="591">
        <v>8912</v>
      </c>
      <c r="G8921" s="420">
        <f t="shared" ca="1" si="147"/>
        <v>1.2953719546755397E-2</v>
      </c>
    </row>
    <row r="8922" spans="6:7" x14ac:dyDescent="0.2">
      <c r="F8922" s="591">
        <v>8913</v>
      </c>
      <c r="G8922" s="420">
        <f t="shared" ca="1" si="147"/>
        <v>-2.1837551366715138E-2</v>
      </c>
    </row>
    <row r="8923" spans="6:7" x14ac:dyDescent="0.2">
      <c r="F8923" s="591">
        <v>8914</v>
      </c>
      <c r="G8923" s="420">
        <f t="shared" ca="1" si="147"/>
        <v>-8.6012319019137959E-2</v>
      </c>
    </row>
    <row r="8924" spans="6:7" x14ac:dyDescent="0.2">
      <c r="F8924" s="591">
        <v>8915</v>
      </c>
      <c r="G8924" s="420">
        <f t="shared" ca="1" si="147"/>
        <v>-5.2568012399997865E-2</v>
      </c>
    </row>
    <row r="8925" spans="6:7" x14ac:dyDescent="0.2">
      <c r="F8925" s="591">
        <v>8916</v>
      </c>
      <c r="G8925" s="420">
        <f t="shared" ca="1" si="147"/>
        <v>-1.0507189201094315E-2</v>
      </c>
    </row>
    <row r="8926" spans="6:7" x14ac:dyDescent="0.2">
      <c r="F8926" s="591">
        <v>8917</v>
      </c>
      <c r="G8926" s="420">
        <f t="shared" ca="1" si="147"/>
        <v>-2.3542993797234197E-2</v>
      </c>
    </row>
    <row r="8927" spans="6:7" x14ac:dyDescent="0.2">
      <c r="F8927" s="591">
        <v>8918</v>
      </c>
      <c r="G8927" s="420">
        <f t="shared" ca="1" si="147"/>
        <v>0.1543394312688508</v>
      </c>
    </row>
    <row r="8928" spans="6:7" x14ac:dyDescent="0.2">
      <c r="F8928" s="591">
        <v>8919</v>
      </c>
      <c r="G8928" s="420">
        <f t="shared" ca="1" si="147"/>
        <v>-6.5930644205957609E-2</v>
      </c>
    </row>
    <row r="8929" spans="6:7" x14ac:dyDescent="0.2">
      <c r="F8929" s="591">
        <v>8920</v>
      </c>
      <c r="G8929" s="420">
        <f t="shared" ca="1" si="147"/>
        <v>7.5135238353076603E-2</v>
      </c>
    </row>
    <row r="8930" spans="6:7" x14ac:dyDescent="0.2">
      <c r="F8930" s="591">
        <v>8921</v>
      </c>
      <c r="G8930" s="420">
        <f t="shared" ca="1" si="147"/>
        <v>3.2601965920229084E-2</v>
      </c>
    </row>
    <row r="8931" spans="6:7" x14ac:dyDescent="0.2">
      <c r="F8931" s="591">
        <v>8922</v>
      </c>
      <c r="G8931" s="420">
        <f t="shared" ca="1" si="147"/>
        <v>3.4216076456092731E-2</v>
      </c>
    </row>
    <row r="8932" spans="6:7" x14ac:dyDescent="0.2">
      <c r="F8932" s="591">
        <v>8923</v>
      </c>
      <c r="G8932" s="420">
        <f t="shared" ca="1" si="147"/>
        <v>0.10398116202242653</v>
      </c>
    </row>
    <row r="8933" spans="6:7" x14ac:dyDescent="0.2">
      <c r="F8933" s="591">
        <v>8924</v>
      </c>
      <c r="G8933" s="420">
        <f t="shared" ca="1" si="147"/>
        <v>0.14141236489450196</v>
      </c>
    </row>
    <row r="8934" spans="6:7" x14ac:dyDescent="0.2">
      <c r="F8934" s="591">
        <v>8925</v>
      </c>
      <c r="G8934" s="420">
        <f t="shared" ca="1" si="147"/>
        <v>3.2254911707703435E-2</v>
      </c>
    </row>
    <row r="8935" spans="6:7" x14ac:dyDescent="0.2">
      <c r="F8935" s="591">
        <v>8926</v>
      </c>
      <c r="G8935" s="420">
        <f t="shared" ca="1" si="147"/>
        <v>-7.0334854360408011E-2</v>
      </c>
    </row>
    <row r="8936" spans="6:7" x14ac:dyDescent="0.2">
      <c r="F8936" s="591">
        <v>8927</v>
      </c>
      <c r="G8936" s="420">
        <f t="shared" ca="1" si="147"/>
        <v>0.16651297326198289</v>
      </c>
    </row>
    <row r="8937" spans="6:7" x14ac:dyDescent="0.2">
      <c r="F8937" s="591">
        <v>8928</v>
      </c>
      <c r="G8937" s="420">
        <f t="shared" ca="1" si="147"/>
        <v>2.9550255594364187E-2</v>
      </c>
    </row>
    <row r="8938" spans="6:7" x14ac:dyDescent="0.2">
      <c r="F8938" s="591">
        <v>8929</v>
      </c>
      <c r="G8938" s="420">
        <f t="shared" ca="1" si="147"/>
        <v>6.8102330717646348E-2</v>
      </c>
    </row>
    <row r="8939" spans="6:7" x14ac:dyDescent="0.2">
      <c r="F8939" s="591">
        <v>8930</v>
      </c>
      <c r="G8939" s="420">
        <f t="shared" ca="1" si="147"/>
        <v>0.11537300469625061</v>
      </c>
    </row>
    <row r="8940" spans="6:7" x14ac:dyDescent="0.2">
      <c r="F8940" s="591">
        <v>8931</v>
      </c>
      <c r="G8940" s="420">
        <f t="shared" ca="1" si="147"/>
        <v>6.4331668452268342E-2</v>
      </c>
    </row>
    <row r="8941" spans="6:7" x14ac:dyDescent="0.2">
      <c r="F8941" s="591">
        <v>8932</v>
      </c>
      <c r="G8941" s="420">
        <f t="shared" ca="1" si="147"/>
        <v>2.290295410879984E-3</v>
      </c>
    </row>
    <row r="8942" spans="6:7" x14ac:dyDescent="0.2">
      <c r="F8942" s="591">
        <v>8933</v>
      </c>
      <c r="G8942" s="420">
        <f t="shared" ca="1" si="147"/>
        <v>9.1081459105310805E-2</v>
      </c>
    </row>
    <row r="8943" spans="6:7" x14ac:dyDescent="0.2">
      <c r="F8943" s="591">
        <v>8934</v>
      </c>
      <c r="G8943" s="420">
        <f t="shared" ca="1" si="147"/>
        <v>-1.8980408663658681E-2</v>
      </c>
    </row>
    <row r="8944" spans="6:7" x14ac:dyDescent="0.2">
      <c r="F8944" s="591">
        <v>8935</v>
      </c>
      <c r="G8944" s="420">
        <f t="shared" ca="1" si="147"/>
        <v>0.11712614344772057</v>
      </c>
    </row>
    <row r="8945" spans="6:7" x14ac:dyDescent="0.2">
      <c r="F8945" s="591">
        <v>8936</v>
      </c>
      <c r="G8945" s="420">
        <f t="shared" ca="1" si="147"/>
        <v>-0.16516585855327542</v>
      </c>
    </row>
    <row r="8946" spans="6:7" x14ac:dyDescent="0.2">
      <c r="F8946" s="591">
        <v>8937</v>
      </c>
      <c r="G8946" s="420">
        <f t="shared" ca="1" si="147"/>
        <v>2.3351446264583482E-2</v>
      </c>
    </row>
    <row r="8947" spans="6:7" x14ac:dyDescent="0.2">
      <c r="F8947" s="591">
        <v>8938</v>
      </c>
      <c r="G8947" s="420">
        <f t="shared" ca="1" si="147"/>
        <v>0.18245740185995171</v>
      </c>
    </row>
    <row r="8948" spans="6:7" x14ac:dyDescent="0.2">
      <c r="F8948" s="591">
        <v>8939</v>
      </c>
      <c r="G8948" s="420">
        <f t="shared" ca="1" si="147"/>
        <v>-9.6343446793435601E-3</v>
      </c>
    </row>
    <row r="8949" spans="6:7" x14ac:dyDescent="0.2">
      <c r="F8949" s="591">
        <v>8940</v>
      </c>
      <c r="G8949" s="420">
        <f t="shared" ca="1" si="147"/>
        <v>3.7633269140059503E-2</v>
      </c>
    </row>
    <row r="8950" spans="6:7" x14ac:dyDescent="0.2">
      <c r="F8950" s="591">
        <v>8941</v>
      </c>
      <c r="G8950" s="420">
        <f t="shared" ca="1" si="147"/>
        <v>1.5175113093473042E-2</v>
      </c>
    </row>
    <row r="8951" spans="6:7" x14ac:dyDescent="0.2">
      <c r="F8951" s="591">
        <v>8942</v>
      </c>
      <c r="G8951" s="420">
        <f t="shared" ca="1" si="147"/>
        <v>-5.6303429115947518E-2</v>
      </c>
    </row>
    <row r="8952" spans="6:7" x14ac:dyDescent="0.2">
      <c r="F8952" s="591">
        <v>8943</v>
      </c>
      <c r="G8952" s="420">
        <f t="shared" ca="1" si="147"/>
        <v>4.6984743883257629E-2</v>
      </c>
    </row>
    <row r="8953" spans="6:7" x14ac:dyDescent="0.2">
      <c r="F8953" s="591">
        <v>8944</v>
      </c>
      <c r="G8953" s="420">
        <f t="shared" ca="1" si="147"/>
        <v>-1.6587428275682558E-2</v>
      </c>
    </row>
    <row r="8954" spans="6:7" x14ac:dyDescent="0.2">
      <c r="F8954" s="591">
        <v>8945</v>
      </c>
      <c r="G8954" s="420">
        <f t="shared" ca="1" si="147"/>
        <v>3.7831796756003899E-2</v>
      </c>
    </row>
    <row r="8955" spans="6:7" x14ac:dyDescent="0.2">
      <c r="F8955" s="591">
        <v>8946</v>
      </c>
      <c r="G8955" s="420">
        <f t="shared" ca="1" si="147"/>
        <v>-2.9207814802146171E-2</v>
      </c>
    </row>
    <row r="8956" spans="6:7" x14ac:dyDescent="0.2">
      <c r="F8956" s="591">
        <v>8947</v>
      </c>
      <c r="G8956" s="420">
        <f t="shared" ca="1" si="147"/>
        <v>-6.2760187186662493E-3</v>
      </c>
    </row>
    <row r="8957" spans="6:7" x14ac:dyDescent="0.2">
      <c r="F8957" s="591">
        <v>8948</v>
      </c>
      <c r="G8957" s="420">
        <f t="shared" ca="1" si="147"/>
        <v>0.10238355501085213</v>
      </c>
    </row>
    <row r="8958" spans="6:7" x14ac:dyDescent="0.2">
      <c r="F8958" s="591">
        <v>8949</v>
      </c>
      <c r="G8958" s="420">
        <f t="shared" ca="1" si="147"/>
        <v>-2.7974058325029322E-2</v>
      </c>
    </row>
    <row r="8959" spans="6:7" x14ac:dyDescent="0.2">
      <c r="F8959" s="591">
        <v>8950</v>
      </c>
      <c r="G8959" s="420">
        <f t="shared" ca="1" si="147"/>
        <v>5.4982696039614833E-3</v>
      </c>
    </row>
    <row r="8960" spans="6:7" x14ac:dyDescent="0.2">
      <c r="F8960" s="591">
        <v>8951</v>
      </c>
      <c r="G8960" s="420">
        <f t="shared" ca="1" si="147"/>
        <v>1.2536566478238481E-2</v>
      </c>
    </row>
    <row r="8961" spans="6:7" x14ac:dyDescent="0.2">
      <c r="F8961" s="591">
        <v>8952</v>
      </c>
      <c r="G8961" s="420">
        <f t="shared" ca="1" si="147"/>
        <v>0.12840680453291792</v>
      </c>
    </row>
    <row r="8962" spans="6:7" x14ac:dyDescent="0.2">
      <c r="F8962" s="591">
        <v>8953</v>
      </c>
      <c r="G8962" s="420">
        <f t="shared" ca="1" si="147"/>
        <v>-5.810870282791436E-2</v>
      </c>
    </row>
    <row r="8963" spans="6:7" x14ac:dyDescent="0.2">
      <c r="F8963" s="591">
        <v>8954</v>
      </c>
      <c r="G8963" s="420">
        <f t="shared" ca="1" si="147"/>
        <v>3.5394312560654763E-2</v>
      </c>
    </row>
    <row r="8964" spans="6:7" x14ac:dyDescent="0.2">
      <c r="F8964" s="591">
        <v>8955</v>
      </c>
      <c r="G8964" s="420">
        <f t="shared" ca="1" si="147"/>
        <v>1.5735453967962644E-2</v>
      </c>
    </row>
    <row r="8965" spans="6:7" x14ac:dyDescent="0.2">
      <c r="F8965" s="591">
        <v>8956</v>
      </c>
      <c r="G8965" s="420">
        <f t="shared" ca="1" si="147"/>
        <v>-3.087290333039024E-2</v>
      </c>
    </row>
    <row r="8966" spans="6:7" x14ac:dyDescent="0.2">
      <c r="F8966" s="591">
        <v>8957</v>
      </c>
      <c r="G8966" s="420">
        <f t="shared" ca="1" si="147"/>
        <v>1.2621475654810446E-2</v>
      </c>
    </row>
    <row r="8967" spans="6:7" x14ac:dyDescent="0.2">
      <c r="F8967" s="591">
        <v>8958</v>
      </c>
      <c r="G8967" s="420">
        <f t="shared" ca="1" si="147"/>
        <v>0.15319044890059225</v>
      </c>
    </row>
    <row r="8968" spans="6:7" x14ac:dyDescent="0.2">
      <c r="F8968" s="591">
        <v>8959</v>
      </c>
      <c r="G8968" s="420">
        <f t="shared" ca="1" si="147"/>
        <v>1.0910393873708693E-2</v>
      </c>
    </row>
    <row r="8969" spans="6:7" x14ac:dyDescent="0.2">
      <c r="F8969" s="591">
        <v>8960</v>
      </c>
      <c r="G8969" s="420">
        <f t="shared" ca="1" si="147"/>
        <v>-4.0204894555138981E-2</v>
      </c>
    </row>
    <row r="8970" spans="6:7" x14ac:dyDescent="0.2">
      <c r="F8970" s="591">
        <v>8961</v>
      </c>
      <c r="G8970" s="420">
        <f t="shared" ca="1" si="147"/>
        <v>-4.9396940861264158E-2</v>
      </c>
    </row>
    <row r="8971" spans="6:7" x14ac:dyDescent="0.2">
      <c r="F8971" s="591">
        <v>8962</v>
      </c>
      <c r="G8971" s="420">
        <f t="shared" ref="G8971:G9034" ca="1" si="148">_xlfn.NORM.INV(RAND(), $M$11,$M$12)</f>
        <v>9.2311086895254815E-2</v>
      </c>
    </row>
    <row r="8972" spans="6:7" x14ac:dyDescent="0.2">
      <c r="F8972" s="591">
        <v>8963</v>
      </c>
      <c r="G8972" s="420">
        <f t="shared" ca="1" si="148"/>
        <v>3.8358206886657309E-2</v>
      </c>
    </row>
    <row r="8973" spans="6:7" x14ac:dyDescent="0.2">
      <c r="F8973" s="591">
        <v>8964</v>
      </c>
      <c r="G8973" s="420">
        <f t="shared" ca="1" si="148"/>
        <v>8.3854164732610009E-2</v>
      </c>
    </row>
    <row r="8974" spans="6:7" x14ac:dyDescent="0.2">
      <c r="F8974" s="591">
        <v>8965</v>
      </c>
      <c r="G8974" s="420">
        <f t="shared" ca="1" si="148"/>
        <v>-5.1524068554593294E-2</v>
      </c>
    </row>
    <row r="8975" spans="6:7" x14ac:dyDescent="0.2">
      <c r="F8975" s="591">
        <v>8966</v>
      </c>
      <c r="G8975" s="420">
        <f t="shared" ca="1" si="148"/>
        <v>5.7984885060211031E-2</v>
      </c>
    </row>
    <row r="8976" spans="6:7" x14ac:dyDescent="0.2">
      <c r="F8976" s="591">
        <v>8967</v>
      </c>
      <c r="G8976" s="420">
        <f t="shared" ca="1" si="148"/>
        <v>-3.2454324781056101E-2</v>
      </c>
    </row>
    <row r="8977" spans="6:7" x14ac:dyDescent="0.2">
      <c r="F8977" s="591">
        <v>8968</v>
      </c>
      <c r="G8977" s="420">
        <f t="shared" ca="1" si="148"/>
        <v>2.9677151962855149E-2</v>
      </c>
    </row>
    <row r="8978" spans="6:7" x14ac:dyDescent="0.2">
      <c r="F8978" s="591">
        <v>8969</v>
      </c>
      <c r="G8978" s="420">
        <f t="shared" ca="1" si="148"/>
        <v>-0.11462597519057054</v>
      </c>
    </row>
    <row r="8979" spans="6:7" x14ac:dyDescent="0.2">
      <c r="F8979" s="591">
        <v>8970</v>
      </c>
      <c r="G8979" s="420">
        <f t="shared" ca="1" si="148"/>
        <v>3.9592580737180475E-3</v>
      </c>
    </row>
    <row r="8980" spans="6:7" x14ac:dyDescent="0.2">
      <c r="F8980" s="591">
        <v>8971</v>
      </c>
      <c r="G8980" s="420">
        <f t="shared" ca="1" si="148"/>
        <v>-2.7422649061939763E-2</v>
      </c>
    </row>
    <row r="8981" spans="6:7" x14ac:dyDescent="0.2">
      <c r="F8981" s="591">
        <v>8972</v>
      </c>
      <c r="G8981" s="420">
        <f t="shared" ca="1" si="148"/>
        <v>7.1969586960860477E-2</v>
      </c>
    </row>
    <row r="8982" spans="6:7" x14ac:dyDescent="0.2">
      <c r="F8982" s="591">
        <v>8973</v>
      </c>
      <c r="G8982" s="420">
        <f t="shared" ca="1" si="148"/>
        <v>0.13456539828805142</v>
      </c>
    </row>
    <row r="8983" spans="6:7" x14ac:dyDescent="0.2">
      <c r="F8983" s="591">
        <v>8974</v>
      </c>
      <c r="G8983" s="420">
        <f t="shared" ca="1" si="148"/>
        <v>-1.3396162488572918E-2</v>
      </c>
    </row>
    <row r="8984" spans="6:7" x14ac:dyDescent="0.2">
      <c r="F8984" s="591">
        <v>8975</v>
      </c>
      <c r="G8984" s="420">
        <f t="shared" ca="1" si="148"/>
        <v>-0.13555087078456568</v>
      </c>
    </row>
    <row r="8985" spans="6:7" x14ac:dyDescent="0.2">
      <c r="F8985" s="591">
        <v>8976</v>
      </c>
      <c r="G8985" s="420">
        <f t="shared" ca="1" si="148"/>
        <v>4.4717551690338947E-2</v>
      </c>
    </row>
    <row r="8986" spans="6:7" x14ac:dyDescent="0.2">
      <c r="F8986" s="591">
        <v>8977</v>
      </c>
      <c r="G8986" s="420">
        <f t="shared" ca="1" si="148"/>
        <v>6.5504342629846557E-3</v>
      </c>
    </row>
    <row r="8987" spans="6:7" x14ac:dyDescent="0.2">
      <c r="F8987" s="591">
        <v>8978</v>
      </c>
      <c r="G8987" s="420">
        <f t="shared" ca="1" si="148"/>
        <v>-3.4904898244283625E-2</v>
      </c>
    </row>
    <row r="8988" spans="6:7" x14ac:dyDescent="0.2">
      <c r="F8988" s="591">
        <v>8979</v>
      </c>
      <c r="G8988" s="420">
        <f t="shared" ca="1" si="148"/>
        <v>7.8091396340679575E-2</v>
      </c>
    </row>
    <row r="8989" spans="6:7" x14ac:dyDescent="0.2">
      <c r="F8989" s="591">
        <v>8980</v>
      </c>
      <c r="G8989" s="420">
        <f t="shared" ca="1" si="148"/>
        <v>0.15456585832464551</v>
      </c>
    </row>
    <row r="8990" spans="6:7" x14ac:dyDescent="0.2">
      <c r="F8990" s="591">
        <v>8981</v>
      </c>
      <c r="G8990" s="420">
        <f t="shared" ca="1" si="148"/>
        <v>5.562963557628553E-2</v>
      </c>
    </row>
    <row r="8991" spans="6:7" x14ac:dyDescent="0.2">
      <c r="F8991" s="591">
        <v>8982</v>
      </c>
      <c r="G8991" s="420">
        <f t="shared" ca="1" si="148"/>
        <v>-4.9450404008826082E-2</v>
      </c>
    </row>
    <row r="8992" spans="6:7" x14ac:dyDescent="0.2">
      <c r="F8992" s="591">
        <v>8983</v>
      </c>
      <c r="G8992" s="420">
        <f t="shared" ca="1" si="148"/>
        <v>-1.5748916770085844E-2</v>
      </c>
    </row>
    <row r="8993" spans="6:7" x14ac:dyDescent="0.2">
      <c r="F8993" s="591">
        <v>8984</v>
      </c>
      <c r="G8993" s="420">
        <f t="shared" ca="1" si="148"/>
        <v>0.14940628575900941</v>
      </c>
    </row>
    <row r="8994" spans="6:7" x14ac:dyDescent="0.2">
      <c r="F8994" s="591">
        <v>8985</v>
      </c>
      <c r="G8994" s="420">
        <f t="shared" ca="1" si="148"/>
        <v>2.5970006609918949E-2</v>
      </c>
    </row>
    <row r="8995" spans="6:7" x14ac:dyDescent="0.2">
      <c r="F8995" s="591">
        <v>8986</v>
      </c>
      <c r="G8995" s="420">
        <f t="shared" ca="1" si="148"/>
        <v>-8.2549095133506722E-3</v>
      </c>
    </row>
    <row r="8996" spans="6:7" x14ac:dyDescent="0.2">
      <c r="F8996" s="591">
        <v>8987</v>
      </c>
      <c r="G8996" s="420">
        <f t="shared" ca="1" si="148"/>
        <v>-7.6775070153635536E-2</v>
      </c>
    </row>
    <row r="8997" spans="6:7" x14ac:dyDescent="0.2">
      <c r="F8997" s="591">
        <v>8988</v>
      </c>
      <c r="G8997" s="420">
        <f t="shared" ca="1" si="148"/>
        <v>-6.1244293632371605E-2</v>
      </c>
    </row>
    <row r="8998" spans="6:7" x14ac:dyDescent="0.2">
      <c r="F8998" s="591">
        <v>8989</v>
      </c>
      <c r="G8998" s="420">
        <f t="shared" ca="1" si="148"/>
        <v>6.5281307560746071E-2</v>
      </c>
    </row>
    <row r="8999" spans="6:7" x14ac:dyDescent="0.2">
      <c r="F8999" s="591">
        <v>8990</v>
      </c>
      <c r="G8999" s="420">
        <f t="shared" ca="1" si="148"/>
        <v>8.3684355702086197E-2</v>
      </c>
    </row>
    <row r="9000" spans="6:7" x14ac:dyDescent="0.2">
      <c r="F9000" s="591">
        <v>8991</v>
      </c>
      <c r="G9000" s="420">
        <f t="shared" ca="1" si="148"/>
        <v>0.11177473244259029</v>
      </c>
    </row>
    <row r="9001" spans="6:7" x14ac:dyDescent="0.2">
      <c r="F9001" s="591">
        <v>8992</v>
      </c>
      <c r="G9001" s="420">
        <f t="shared" ca="1" si="148"/>
        <v>-0.10619117285636631</v>
      </c>
    </row>
    <row r="9002" spans="6:7" x14ac:dyDescent="0.2">
      <c r="F9002" s="591">
        <v>8993</v>
      </c>
      <c r="G9002" s="420">
        <f t="shared" ca="1" si="148"/>
        <v>5.5285887448783648E-3</v>
      </c>
    </row>
    <row r="9003" spans="6:7" x14ac:dyDescent="0.2">
      <c r="F9003" s="591">
        <v>8994</v>
      </c>
      <c r="G9003" s="420">
        <f t="shared" ca="1" si="148"/>
        <v>-0.20130965852578242</v>
      </c>
    </row>
    <row r="9004" spans="6:7" x14ac:dyDescent="0.2">
      <c r="F9004" s="591">
        <v>8995</v>
      </c>
      <c r="G9004" s="420">
        <f t="shared" ca="1" si="148"/>
        <v>7.5481924219463772E-2</v>
      </c>
    </row>
    <row r="9005" spans="6:7" x14ac:dyDescent="0.2">
      <c r="F9005" s="591">
        <v>8996</v>
      </c>
      <c r="G9005" s="420">
        <f t="shared" ca="1" si="148"/>
        <v>7.1775384168220976E-2</v>
      </c>
    </row>
    <row r="9006" spans="6:7" x14ac:dyDescent="0.2">
      <c r="F9006" s="591">
        <v>8997</v>
      </c>
      <c r="G9006" s="420">
        <f t="shared" ca="1" si="148"/>
        <v>2.6952889766422919E-2</v>
      </c>
    </row>
    <row r="9007" spans="6:7" x14ac:dyDescent="0.2">
      <c r="F9007" s="591">
        <v>8998</v>
      </c>
      <c r="G9007" s="420">
        <f t="shared" ca="1" si="148"/>
        <v>-6.3944357403566132E-2</v>
      </c>
    </row>
    <row r="9008" spans="6:7" x14ac:dyDescent="0.2">
      <c r="F9008" s="591">
        <v>8999</v>
      </c>
      <c r="G9008" s="420">
        <f t="shared" ca="1" si="148"/>
        <v>-2.5902897293396492E-2</v>
      </c>
    </row>
    <row r="9009" spans="6:7" x14ac:dyDescent="0.2">
      <c r="F9009" s="591">
        <v>9000</v>
      </c>
      <c r="G9009" s="420">
        <f t="shared" ca="1" si="148"/>
        <v>8.9091874230772319E-4</v>
      </c>
    </row>
    <row r="9010" spans="6:7" x14ac:dyDescent="0.2">
      <c r="F9010" s="591">
        <v>9001</v>
      </c>
      <c r="G9010" s="420">
        <f t="shared" ca="1" si="148"/>
        <v>-5.5367432116411291E-2</v>
      </c>
    </row>
    <row r="9011" spans="6:7" x14ac:dyDescent="0.2">
      <c r="F9011" s="591">
        <v>9002</v>
      </c>
      <c r="G9011" s="420">
        <f t="shared" ca="1" si="148"/>
        <v>-2.8403259764665473E-2</v>
      </c>
    </row>
    <row r="9012" spans="6:7" x14ac:dyDescent="0.2">
      <c r="F9012" s="591">
        <v>9003</v>
      </c>
      <c r="G9012" s="420">
        <f t="shared" ca="1" si="148"/>
        <v>3.4712605248255632E-2</v>
      </c>
    </row>
    <row r="9013" spans="6:7" x14ac:dyDescent="0.2">
      <c r="F9013" s="591">
        <v>9004</v>
      </c>
      <c r="G9013" s="420">
        <f t="shared" ca="1" si="148"/>
        <v>-0.11542164958531036</v>
      </c>
    </row>
    <row r="9014" spans="6:7" x14ac:dyDescent="0.2">
      <c r="F9014" s="591">
        <v>9005</v>
      </c>
      <c r="G9014" s="420">
        <f t="shared" ca="1" si="148"/>
        <v>9.3026206088335228E-2</v>
      </c>
    </row>
    <row r="9015" spans="6:7" x14ac:dyDescent="0.2">
      <c r="F9015" s="591">
        <v>9006</v>
      </c>
      <c r="G9015" s="420">
        <f t="shared" ca="1" si="148"/>
        <v>3.0248052078257055E-2</v>
      </c>
    </row>
    <row r="9016" spans="6:7" x14ac:dyDescent="0.2">
      <c r="F9016" s="591">
        <v>9007</v>
      </c>
      <c r="G9016" s="420">
        <f t="shared" ca="1" si="148"/>
        <v>6.4201534422584319E-2</v>
      </c>
    </row>
    <row r="9017" spans="6:7" x14ac:dyDescent="0.2">
      <c r="F9017" s="591">
        <v>9008</v>
      </c>
      <c r="G9017" s="420">
        <f t="shared" ca="1" si="148"/>
        <v>9.3242081893155568E-3</v>
      </c>
    </row>
    <row r="9018" spans="6:7" x14ac:dyDescent="0.2">
      <c r="F9018" s="591">
        <v>9009</v>
      </c>
      <c r="G9018" s="420">
        <f t="shared" ca="1" si="148"/>
        <v>1.0830710625290299E-2</v>
      </c>
    </row>
    <row r="9019" spans="6:7" x14ac:dyDescent="0.2">
      <c r="F9019" s="591">
        <v>9010</v>
      </c>
      <c r="G9019" s="420">
        <f t="shared" ca="1" si="148"/>
        <v>4.9247362203618094E-3</v>
      </c>
    </row>
    <row r="9020" spans="6:7" x14ac:dyDescent="0.2">
      <c r="F9020" s="591">
        <v>9011</v>
      </c>
      <c r="G9020" s="420">
        <f t="shared" ca="1" si="148"/>
        <v>-2.2157752908976005E-2</v>
      </c>
    </row>
    <row r="9021" spans="6:7" x14ac:dyDescent="0.2">
      <c r="F9021" s="591">
        <v>9012</v>
      </c>
      <c r="G9021" s="420">
        <f t="shared" ca="1" si="148"/>
        <v>1.7128583112763957E-2</v>
      </c>
    </row>
    <row r="9022" spans="6:7" x14ac:dyDescent="0.2">
      <c r="F9022" s="591">
        <v>9013</v>
      </c>
      <c r="G9022" s="420">
        <f t="shared" ca="1" si="148"/>
        <v>6.3798813766434731E-2</v>
      </c>
    </row>
    <row r="9023" spans="6:7" x14ac:dyDescent="0.2">
      <c r="F9023" s="591">
        <v>9014</v>
      </c>
      <c r="G9023" s="420">
        <f t="shared" ca="1" si="148"/>
        <v>2.9641849401203277E-2</v>
      </c>
    </row>
    <row r="9024" spans="6:7" x14ac:dyDescent="0.2">
      <c r="F9024" s="591">
        <v>9015</v>
      </c>
      <c r="G9024" s="420">
        <f t="shared" ca="1" si="148"/>
        <v>-0.10289787840757404</v>
      </c>
    </row>
    <row r="9025" spans="6:7" x14ac:dyDescent="0.2">
      <c r="F9025" s="591">
        <v>9016</v>
      </c>
      <c r="G9025" s="420">
        <f t="shared" ca="1" si="148"/>
        <v>-1.2137956194392622E-2</v>
      </c>
    </row>
    <row r="9026" spans="6:7" x14ac:dyDescent="0.2">
      <c r="F9026" s="591">
        <v>9017</v>
      </c>
      <c r="G9026" s="420">
        <f t="shared" ca="1" si="148"/>
        <v>3.4830878524424985E-2</v>
      </c>
    </row>
    <row r="9027" spans="6:7" x14ac:dyDescent="0.2">
      <c r="F9027" s="591">
        <v>9018</v>
      </c>
      <c r="G9027" s="420">
        <f t="shared" ca="1" si="148"/>
        <v>-4.9380573687511628E-2</v>
      </c>
    </row>
    <row r="9028" spans="6:7" x14ac:dyDescent="0.2">
      <c r="F9028" s="591">
        <v>9019</v>
      </c>
      <c r="G9028" s="420">
        <f t="shared" ca="1" si="148"/>
        <v>-5.3923720505255651E-2</v>
      </c>
    </row>
    <row r="9029" spans="6:7" x14ac:dyDescent="0.2">
      <c r="F9029" s="591">
        <v>9020</v>
      </c>
      <c r="G9029" s="420">
        <f t="shared" ca="1" si="148"/>
        <v>5.7967533617298547E-2</v>
      </c>
    </row>
    <row r="9030" spans="6:7" x14ac:dyDescent="0.2">
      <c r="F9030" s="591">
        <v>9021</v>
      </c>
      <c r="G9030" s="420">
        <f t="shared" ca="1" si="148"/>
        <v>-0.1561488672948827</v>
      </c>
    </row>
    <row r="9031" spans="6:7" x14ac:dyDescent="0.2">
      <c r="F9031" s="591">
        <v>9022</v>
      </c>
      <c r="G9031" s="420">
        <f t="shared" ca="1" si="148"/>
        <v>-6.3413047364932557E-2</v>
      </c>
    </row>
    <row r="9032" spans="6:7" x14ac:dyDescent="0.2">
      <c r="F9032" s="591">
        <v>9023</v>
      </c>
      <c r="G9032" s="420">
        <f t="shared" ca="1" si="148"/>
        <v>-2.3937222710963223E-2</v>
      </c>
    </row>
    <row r="9033" spans="6:7" x14ac:dyDescent="0.2">
      <c r="F9033" s="591">
        <v>9024</v>
      </c>
      <c r="G9033" s="420">
        <f t="shared" ca="1" si="148"/>
        <v>-4.552608853998788E-3</v>
      </c>
    </row>
    <row r="9034" spans="6:7" x14ac:dyDescent="0.2">
      <c r="F9034" s="591">
        <v>9025</v>
      </c>
      <c r="G9034" s="420">
        <f t="shared" ca="1" si="148"/>
        <v>-4.2789005080626899E-2</v>
      </c>
    </row>
    <row r="9035" spans="6:7" x14ac:dyDescent="0.2">
      <c r="F9035" s="591">
        <v>9026</v>
      </c>
      <c r="G9035" s="420">
        <f t="shared" ref="G9035:G9098" ca="1" si="149">_xlfn.NORM.INV(RAND(), $M$11,$M$12)</f>
        <v>-7.4811047323702529E-2</v>
      </c>
    </row>
    <row r="9036" spans="6:7" x14ac:dyDescent="0.2">
      <c r="F9036" s="591">
        <v>9027</v>
      </c>
      <c r="G9036" s="420">
        <f t="shared" ca="1" si="149"/>
        <v>7.1248167866890366E-2</v>
      </c>
    </row>
    <row r="9037" spans="6:7" x14ac:dyDescent="0.2">
      <c r="F9037" s="591">
        <v>9028</v>
      </c>
      <c r="G9037" s="420">
        <f t="shared" ca="1" si="149"/>
        <v>-2.3114527219161293E-2</v>
      </c>
    </row>
    <row r="9038" spans="6:7" x14ac:dyDescent="0.2">
      <c r="F9038" s="591">
        <v>9029</v>
      </c>
      <c r="G9038" s="420">
        <f t="shared" ca="1" si="149"/>
        <v>9.1030549280501027E-2</v>
      </c>
    </row>
    <row r="9039" spans="6:7" x14ac:dyDescent="0.2">
      <c r="F9039" s="591">
        <v>9030</v>
      </c>
      <c r="G9039" s="420">
        <f t="shared" ca="1" si="149"/>
        <v>-3.8859523495554216E-2</v>
      </c>
    </row>
    <row r="9040" spans="6:7" x14ac:dyDescent="0.2">
      <c r="F9040" s="591">
        <v>9031</v>
      </c>
      <c r="G9040" s="420">
        <f t="shared" ca="1" si="149"/>
        <v>-2.5197184612011907E-2</v>
      </c>
    </row>
    <row r="9041" spans="6:7" x14ac:dyDescent="0.2">
      <c r="F9041" s="591">
        <v>9032</v>
      </c>
      <c r="G9041" s="420">
        <f t="shared" ca="1" si="149"/>
        <v>-4.1906459385742084E-2</v>
      </c>
    </row>
    <row r="9042" spans="6:7" x14ac:dyDescent="0.2">
      <c r="F9042" s="591">
        <v>9033</v>
      </c>
      <c r="G9042" s="420">
        <f t="shared" ca="1" si="149"/>
        <v>1.7754296532209841E-2</v>
      </c>
    </row>
    <row r="9043" spans="6:7" x14ac:dyDescent="0.2">
      <c r="F9043" s="591">
        <v>9034</v>
      </c>
      <c r="G9043" s="420">
        <f t="shared" ca="1" si="149"/>
        <v>3.5936678088794222E-2</v>
      </c>
    </row>
    <row r="9044" spans="6:7" x14ac:dyDescent="0.2">
      <c r="F9044" s="591">
        <v>9035</v>
      </c>
      <c r="G9044" s="420">
        <f t="shared" ca="1" si="149"/>
        <v>5.6756832415547964E-2</v>
      </c>
    </row>
    <row r="9045" spans="6:7" x14ac:dyDescent="0.2">
      <c r="F9045" s="591">
        <v>9036</v>
      </c>
      <c r="G9045" s="420">
        <f t="shared" ca="1" si="149"/>
        <v>1.8034436268577411E-3</v>
      </c>
    </row>
    <row r="9046" spans="6:7" x14ac:dyDescent="0.2">
      <c r="F9046" s="591">
        <v>9037</v>
      </c>
      <c r="G9046" s="420">
        <f t="shared" ca="1" si="149"/>
        <v>7.8042891503656606E-2</v>
      </c>
    </row>
    <row r="9047" spans="6:7" x14ac:dyDescent="0.2">
      <c r="F9047" s="591">
        <v>9038</v>
      </c>
      <c r="G9047" s="420">
        <f t="shared" ca="1" si="149"/>
        <v>1.7424967169587947E-2</v>
      </c>
    </row>
    <row r="9048" spans="6:7" x14ac:dyDescent="0.2">
      <c r="F9048" s="591">
        <v>9039</v>
      </c>
      <c r="G9048" s="420">
        <f t="shared" ca="1" si="149"/>
        <v>6.6938893433437119E-2</v>
      </c>
    </row>
    <row r="9049" spans="6:7" x14ac:dyDescent="0.2">
      <c r="F9049" s="591">
        <v>9040</v>
      </c>
      <c r="G9049" s="420">
        <f t="shared" ca="1" si="149"/>
        <v>-0.10754307996008383</v>
      </c>
    </row>
    <row r="9050" spans="6:7" x14ac:dyDescent="0.2">
      <c r="F9050" s="591">
        <v>9041</v>
      </c>
      <c r="G9050" s="420">
        <f t="shared" ca="1" si="149"/>
        <v>-3.0849528129199829E-2</v>
      </c>
    </row>
    <row r="9051" spans="6:7" x14ac:dyDescent="0.2">
      <c r="F9051" s="591">
        <v>9042</v>
      </c>
      <c r="G9051" s="420">
        <f t="shared" ca="1" si="149"/>
        <v>1.238896978612518E-2</v>
      </c>
    </row>
    <row r="9052" spans="6:7" x14ac:dyDescent="0.2">
      <c r="F9052" s="591">
        <v>9043</v>
      </c>
      <c r="G9052" s="420">
        <f t="shared" ca="1" si="149"/>
        <v>8.1479603640176548E-2</v>
      </c>
    </row>
    <row r="9053" spans="6:7" x14ac:dyDescent="0.2">
      <c r="F9053" s="591">
        <v>9044</v>
      </c>
      <c r="G9053" s="420">
        <f t="shared" ca="1" si="149"/>
        <v>9.9090287726607523E-2</v>
      </c>
    </row>
    <row r="9054" spans="6:7" x14ac:dyDescent="0.2">
      <c r="F9054" s="591">
        <v>9045</v>
      </c>
      <c r="G9054" s="420">
        <f t="shared" ca="1" si="149"/>
        <v>-1.8930956691845656E-2</v>
      </c>
    </row>
    <row r="9055" spans="6:7" x14ac:dyDescent="0.2">
      <c r="F9055" s="591">
        <v>9046</v>
      </c>
      <c r="G9055" s="420">
        <f t="shared" ca="1" si="149"/>
        <v>-1.7243841209548617E-2</v>
      </c>
    </row>
    <row r="9056" spans="6:7" x14ac:dyDescent="0.2">
      <c r="F9056" s="591">
        <v>9047</v>
      </c>
      <c r="G9056" s="420">
        <f t="shared" ca="1" si="149"/>
        <v>-2.6184070269378936E-2</v>
      </c>
    </row>
    <row r="9057" spans="6:7" x14ac:dyDescent="0.2">
      <c r="F9057" s="591">
        <v>9048</v>
      </c>
      <c r="G9057" s="420">
        <f t="shared" ca="1" si="149"/>
        <v>0.1281764445590837</v>
      </c>
    </row>
    <row r="9058" spans="6:7" x14ac:dyDescent="0.2">
      <c r="F9058" s="591">
        <v>9049</v>
      </c>
      <c r="G9058" s="420">
        <f t="shared" ca="1" si="149"/>
        <v>-4.449493674767234E-2</v>
      </c>
    </row>
    <row r="9059" spans="6:7" x14ac:dyDescent="0.2">
      <c r="F9059" s="591">
        <v>9050</v>
      </c>
      <c r="G9059" s="420">
        <f t="shared" ca="1" si="149"/>
        <v>-2.8973271797282537E-2</v>
      </c>
    </row>
    <row r="9060" spans="6:7" x14ac:dyDescent="0.2">
      <c r="F9060" s="591">
        <v>9051</v>
      </c>
      <c r="G9060" s="420">
        <f t="shared" ca="1" si="149"/>
        <v>8.5900680602799831E-2</v>
      </c>
    </row>
    <row r="9061" spans="6:7" x14ac:dyDescent="0.2">
      <c r="F9061" s="591">
        <v>9052</v>
      </c>
      <c r="G9061" s="420">
        <f t="shared" ca="1" si="149"/>
        <v>-6.0700766939641333E-3</v>
      </c>
    </row>
    <row r="9062" spans="6:7" x14ac:dyDescent="0.2">
      <c r="F9062" s="591">
        <v>9053</v>
      </c>
      <c r="G9062" s="420">
        <f t="shared" ca="1" si="149"/>
        <v>-0.11975255630916219</v>
      </c>
    </row>
    <row r="9063" spans="6:7" x14ac:dyDescent="0.2">
      <c r="F9063" s="591">
        <v>9054</v>
      </c>
      <c r="G9063" s="420">
        <f t="shared" ca="1" si="149"/>
        <v>7.3669812037248511E-2</v>
      </c>
    </row>
    <row r="9064" spans="6:7" x14ac:dyDescent="0.2">
      <c r="F9064" s="591">
        <v>9055</v>
      </c>
      <c r="G9064" s="420">
        <f t="shared" ca="1" si="149"/>
        <v>2.3687098816922818E-3</v>
      </c>
    </row>
    <row r="9065" spans="6:7" x14ac:dyDescent="0.2">
      <c r="F9065" s="591">
        <v>9056</v>
      </c>
      <c r="G9065" s="420">
        <f t="shared" ca="1" si="149"/>
        <v>2.8290831024526484E-2</v>
      </c>
    </row>
    <row r="9066" spans="6:7" x14ac:dyDescent="0.2">
      <c r="F9066" s="591">
        <v>9057</v>
      </c>
      <c r="G9066" s="420">
        <f t="shared" ca="1" si="149"/>
        <v>-9.5474573295972046E-2</v>
      </c>
    </row>
    <row r="9067" spans="6:7" x14ac:dyDescent="0.2">
      <c r="F9067" s="591">
        <v>9058</v>
      </c>
      <c r="G9067" s="420">
        <f t="shared" ca="1" si="149"/>
        <v>2.799353263430359E-2</v>
      </c>
    </row>
    <row r="9068" spans="6:7" x14ac:dyDescent="0.2">
      <c r="F9068" s="591">
        <v>9059</v>
      </c>
      <c r="G9068" s="420">
        <f t="shared" ca="1" si="149"/>
        <v>-7.1028950369885213E-2</v>
      </c>
    </row>
    <row r="9069" spans="6:7" x14ac:dyDescent="0.2">
      <c r="F9069" s="591">
        <v>9060</v>
      </c>
      <c r="G9069" s="420">
        <f t="shared" ca="1" si="149"/>
        <v>4.7751824562020387E-2</v>
      </c>
    </row>
    <row r="9070" spans="6:7" x14ac:dyDescent="0.2">
      <c r="F9070" s="591">
        <v>9061</v>
      </c>
      <c r="G9070" s="420">
        <f t="shared" ca="1" si="149"/>
        <v>5.6230104191250477E-2</v>
      </c>
    </row>
    <row r="9071" spans="6:7" x14ac:dyDescent="0.2">
      <c r="F9071" s="591">
        <v>9062</v>
      </c>
      <c r="G9071" s="420">
        <f t="shared" ca="1" si="149"/>
        <v>-4.8812921399544851E-2</v>
      </c>
    </row>
    <row r="9072" spans="6:7" x14ac:dyDescent="0.2">
      <c r="F9072" s="591">
        <v>9063</v>
      </c>
      <c r="G9072" s="420">
        <f t="shared" ca="1" si="149"/>
        <v>-4.0743001029403536E-2</v>
      </c>
    </row>
    <row r="9073" spans="6:7" x14ac:dyDescent="0.2">
      <c r="F9073" s="591">
        <v>9064</v>
      </c>
      <c r="G9073" s="420">
        <f t="shared" ca="1" si="149"/>
        <v>-1.2216010960299079E-2</v>
      </c>
    </row>
    <row r="9074" spans="6:7" x14ac:dyDescent="0.2">
      <c r="F9074" s="591">
        <v>9065</v>
      </c>
      <c r="G9074" s="420">
        <f t="shared" ca="1" si="149"/>
        <v>-0.10425929778044686</v>
      </c>
    </row>
    <row r="9075" spans="6:7" x14ac:dyDescent="0.2">
      <c r="F9075" s="591">
        <v>9066</v>
      </c>
      <c r="G9075" s="420">
        <f t="shared" ca="1" si="149"/>
        <v>6.9089939398163686E-2</v>
      </c>
    </row>
    <row r="9076" spans="6:7" x14ac:dyDescent="0.2">
      <c r="F9076" s="591">
        <v>9067</v>
      </c>
      <c r="G9076" s="420">
        <f t="shared" ca="1" si="149"/>
        <v>-5.5545672841987609E-2</v>
      </c>
    </row>
    <row r="9077" spans="6:7" x14ac:dyDescent="0.2">
      <c r="F9077" s="591">
        <v>9068</v>
      </c>
      <c r="G9077" s="420">
        <f t="shared" ca="1" si="149"/>
        <v>1.0793796827003529E-2</v>
      </c>
    </row>
    <row r="9078" spans="6:7" x14ac:dyDescent="0.2">
      <c r="F9078" s="591">
        <v>9069</v>
      </c>
      <c r="G9078" s="420">
        <f t="shared" ca="1" si="149"/>
        <v>-5.8333805490888749E-2</v>
      </c>
    </row>
    <row r="9079" spans="6:7" x14ac:dyDescent="0.2">
      <c r="F9079" s="591">
        <v>9070</v>
      </c>
      <c r="G9079" s="420">
        <f t="shared" ca="1" si="149"/>
        <v>-1.3648227495602537E-2</v>
      </c>
    </row>
    <row r="9080" spans="6:7" x14ac:dyDescent="0.2">
      <c r="F9080" s="591">
        <v>9071</v>
      </c>
      <c r="G9080" s="420">
        <f t="shared" ca="1" si="149"/>
        <v>0.1102404761417289</v>
      </c>
    </row>
    <row r="9081" spans="6:7" x14ac:dyDescent="0.2">
      <c r="F9081" s="591">
        <v>9072</v>
      </c>
      <c r="G9081" s="420">
        <f t="shared" ca="1" si="149"/>
        <v>5.5748751339566249E-2</v>
      </c>
    </row>
    <row r="9082" spans="6:7" x14ac:dyDescent="0.2">
      <c r="F9082" s="591">
        <v>9073</v>
      </c>
      <c r="G9082" s="420">
        <f t="shared" ca="1" si="149"/>
        <v>-2.1807549309584211E-2</v>
      </c>
    </row>
    <row r="9083" spans="6:7" x14ac:dyDescent="0.2">
      <c r="F9083" s="591">
        <v>9074</v>
      </c>
      <c r="G9083" s="420">
        <f t="shared" ca="1" si="149"/>
        <v>1.9123909182111945E-4</v>
      </c>
    </row>
    <row r="9084" spans="6:7" x14ac:dyDescent="0.2">
      <c r="F9084" s="591">
        <v>9075</v>
      </c>
      <c r="G9084" s="420">
        <f t="shared" ca="1" si="149"/>
        <v>7.8307641321097396E-2</v>
      </c>
    </row>
    <row r="9085" spans="6:7" x14ac:dyDescent="0.2">
      <c r="F9085" s="591">
        <v>9076</v>
      </c>
      <c r="G9085" s="420">
        <f t="shared" ca="1" si="149"/>
        <v>-3.7017301974266698E-2</v>
      </c>
    </row>
    <row r="9086" spans="6:7" x14ac:dyDescent="0.2">
      <c r="F9086" s="591">
        <v>9077</v>
      </c>
      <c r="G9086" s="420">
        <f t="shared" ca="1" si="149"/>
        <v>9.2030347506088156E-2</v>
      </c>
    </row>
    <row r="9087" spans="6:7" x14ac:dyDescent="0.2">
      <c r="F9087" s="591">
        <v>9078</v>
      </c>
      <c r="G9087" s="420">
        <f t="shared" ca="1" si="149"/>
        <v>-0.15733031769085482</v>
      </c>
    </row>
    <row r="9088" spans="6:7" x14ac:dyDescent="0.2">
      <c r="F9088" s="591">
        <v>9079</v>
      </c>
      <c r="G9088" s="420">
        <f t="shared" ca="1" si="149"/>
        <v>0.12793677152965302</v>
      </c>
    </row>
    <row r="9089" spans="6:7" x14ac:dyDescent="0.2">
      <c r="F9089" s="591">
        <v>9080</v>
      </c>
      <c r="G9089" s="420">
        <f t="shared" ca="1" si="149"/>
        <v>-5.405927558106656E-2</v>
      </c>
    </row>
    <row r="9090" spans="6:7" x14ac:dyDescent="0.2">
      <c r="F9090" s="591">
        <v>9081</v>
      </c>
      <c r="G9090" s="420">
        <f t="shared" ca="1" si="149"/>
        <v>4.086367066944932E-2</v>
      </c>
    </row>
    <row r="9091" spans="6:7" x14ac:dyDescent="0.2">
      <c r="F9091" s="591">
        <v>9082</v>
      </c>
      <c r="G9091" s="420">
        <f t="shared" ca="1" si="149"/>
        <v>-5.7239715726270485E-2</v>
      </c>
    </row>
    <row r="9092" spans="6:7" x14ac:dyDescent="0.2">
      <c r="F9092" s="591">
        <v>9083</v>
      </c>
      <c r="G9092" s="420">
        <f t="shared" ca="1" si="149"/>
        <v>-5.9270890383594246E-2</v>
      </c>
    </row>
    <row r="9093" spans="6:7" x14ac:dyDescent="0.2">
      <c r="F9093" s="591">
        <v>9084</v>
      </c>
      <c r="G9093" s="420">
        <f t="shared" ca="1" si="149"/>
        <v>0.13714036546635844</v>
      </c>
    </row>
    <row r="9094" spans="6:7" x14ac:dyDescent="0.2">
      <c r="F9094" s="591">
        <v>9085</v>
      </c>
      <c r="G9094" s="420">
        <f t="shared" ca="1" si="149"/>
        <v>3.3864494279613883E-2</v>
      </c>
    </row>
    <row r="9095" spans="6:7" x14ac:dyDescent="0.2">
      <c r="F9095" s="591">
        <v>9086</v>
      </c>
      <c r="G9095" s="420">
        <f t="shared" ca="1" si="149"/>
        <v>-1.9534850619605311E-2</v>
      </c>
    </row>
    <row r="9096" spans="6:7" x14ac:dyDescent="0.2">
      <c r="F9096" s="591">
        <v>9087</v>
      </c>
      <c r="G9096" s="420">
        <f t="shared" ca="1" si="149"/>
        <v>-8.3838059076334986E-2</v>
      </c>
    </row>
    <row r="9097" spans="6:7" x14ac:dyDescent="0.2">
      <c r="F9097" s="591">
        <v>9088</v>
      </c>
      <c r="G9097" s="420">
        <f t="shared" ca="1" si="149"/>
        <v>-8.252559805728317E-3</v>
      </c>
    </row>
    <row r="9098" spans="6:7" x14ac:dyDescent="0.2">
      <c r="F9098" s="591">
        <v>9089</v>
      </c>
      <c r="G9098" s="420">
        <f t="shared" ca="1" si="149"/>
        <v>6.9348942343366818E-2</v>
      </c>
    </row>
    <row r="9099" spans="6:7" x14ac:dyDescent="0.2">
      <c r="F9099" s="591">
        <v>9090</v>
      </c>
      <c r="G9099" s="420">
        <f t="shared" ref="G9099:G9162" ca="1" si="150">_xlfn.NORM.INV(RAND(), $M$11,$M$12)</f>
        <v>0.24725112945037997</v>
      </c>
    </row>
    <row r="9100" spans="6:7" x14ac:dyDescent="0.2">
      <c r="F9100" s="591">
        <v>9091</v>
      </c>
      <c r="G9100" s="420">
        <f t="shared" ca="1" si="150"/>
        <v>3.2795743815031558E-2</v>
      </c>
    </row>
    <row r="9101" spans="6:7" x14ac:dyDescent="0.2">
      <c r="F9101" s="591">
        <v>9092</v>
      </c>
      <c r="G9101" s="420">
        <f t="shared" ca="1" si="150"/>
        <v>0.11945581222318651</v>
      </c>
    </row>
    <row r="9102" spans="6:7" x14ac:dyDescent="0.2">
      <c r="F9102" s="591">
        <v>9093</v>
      </c>
      <c r="G9102" s="420">
        <f t="shared" ca="1" si="150"/>
        <v>4.058149150962876E-2</v>
      </c>
    </row>
    <row r="9103" spans="6:7" x14ac:dyDescent="0.2">
      <c r="F9103" s="591">
        <v>9094</v>
      </c>
      <c r="G9103" s="420">
        <f t="shared" ca="1" si="150"/>
        <v>-4.4583314851182942E-2</v>
      </c>
    </row>
    <row r="9104" spans="6:7" x14ac:dyDescent="0.2">
      <c r="F9104" s="591">
        <v>9095</v>
      </c>
      <c r="G9104" s="420">
        <f t="shared" ca="1" si="150"/>
        <v>2.0767425159896442E-2</v>
      </c>
    </row>
    <row r="9105" spans="6:7" x14ac:dyDescent="0.2">
      <c r="F9105" s="591">
        <v>9096</v>
      </c>
      <c r="G9105" s="420">
        <f t="shared" ca="1" si="150"/>
        <v>-2.0107547698586897E-2</v>
      </c>
    </row>
    <row r="9106" spans="6:7" x14ac:dyDescent="0.2">
      <c r="F9106" s="591">
        <v>9097</v>
      </c>
      <c r="G9106" s="420">
        <f t="shared" ca="1" si="150"/>
        <v>3.7550843637874802E-2</v>
      </c>
    </row>
    <row r="9107" spans="6:7" x14ac:dyDescent="0.2">
      <c r="F9107" s="591">
        <v>9098</v>
      </c>
      <c r="G9107" s="420">
        <f t="shared" ca="1" si="150"/>
        <v>1.163654483046701E-2</v>
      </c>
    </row>
    <row r="9108" spans="6:7" x14ac:dyDescent="0.2">
      <c r="F9108" s="591">
        <v>9099</v>
      </c>
      <c r="G9108" s="420">
        <f t="shared" ca="1" si="150"/>
        <v>7.8169175206118907E-2</v>
      </c>
    </row>
    <row r="9109" spans="6:7" x14ac:dyDescent="0.2">
      <c r="F9109" s="591">
        <v>9100</v>
      </c>
      <c r="G9109" s="420">
        <f t="shared" ca="1" si="150"/>
        <v>7.0616918477774598E-2</v>
      </c>
    </row>
    <row r="9110" spans="6:7" x14ac:dyDescent="0.2">
      <c r="F9110" s="591">
        <v>9101</v>
      </c>
      <c r="G9110" s="420">
        <f t="shared" ca="1" si="150"/>
        <v>1.5853778788047404E-2</v>
      </c>
    </row>
    <row r="9111" spans="6:7" x14ac:dyDescent="0.2">
      <c r="F9111" s="591">
        <v>9102</v>
      </c>
      <c r="G9111" s="420">
        <f t="shared" ca="1" si="150"/>
        <v>-4.4483996347188998E-2</v>
      </c>
    </row>
    <row r="9112" spans="6:7" x14ac:dyDescent="0.2">
      <c r="F9112" s="591">
        <v>9103</v>
      </c>
      <c r="G9112" s="420">
        <f t="shared" ca="1" si="150"/>
        <v>4.6674916903701333E-2</v>
      </c>
    </row>
    <row r="9113" spans="6:7" x14ac:dyDescent="0.2">
      <c r="F9113" s="591">
        <v>9104</v>
      </c>
      <c r="G9113" s="420">
        <f t="shared" ca="1" si="150"/>
        <v>-8.3892482115628733E-2</v>
      </c>
    </row>
    <row r="9114" spans="6:7" x14ac:dyDescent="0.2">
      <c r="F9114" s="591">
        <v>9105</v>
      </c>
      <c r="G9114" s="420">
        <f t="shared" ca="1" si="150"/>
        <v>-7.5095909426767027E-2</v>
      </c>
    </row>
    <row r="9115" spans="6:7" x14ac:dyDescent="0.2">
      <c r="F9115" s="591">
        <v>9106</v>
      </c>
      <c r="G9115" s="420">
        <f t="shared" ca="1" si="150"/>
        <v>8.8802174852333576E-2</v>
      </c>
    </row>
    <row r="9116" spans="6:7" x14ac:dyDescent="0.2">
      <c r="F9116" s="591">
        <v>9107</v>
      </c>
      <c r="G9116" s="420">
        <f t="shared" ca="1" si="150"/>
        <v>-5.9552429361212258E-2</v>
      </c>
    </row>
    <row r="9117" spans="6:7" x14ac:dyDescent="0.2">
      <c r="F9117" s="591">
        <v>9108</v>
      </c>
      <c r="G9117" s="420">
        <f t="shared" ca="1" si="150"/>
        <v>5.9560841860203717E-2</v>
      </c>
    </row>
    <row r="9118" spans="6:7" x14ac:dyDescent="0.2">
      <c r="F9118" s="591">
        <v>9109</v>
      </c>
      <c r="G9118" s="420">
        <f t="shared" ca="1" si="150"/>
        <v>4.1293086743280721E-2</v>
      </c>
    </row>
    <row r="9119" spans="6:7" x14ac:dyDescent="0.2">
      <c r="F9119" s="591">
        <v>9110</v>
      </c>
      <c r="G9119" s="420">
        <f t="shared" ca="1" si="150"/>
        <v>-3.8087948134850995E-3</v>
      </c>
    </row>
    <row r="9120" spans="6:7" x14ac:dyDescent="0.2">
      <c r="F9120" s="591">
        <v>9111</v>
      </c>
      <c r="G9120" s="420">
        <f t="shared" ca="1" si="150"/>
        <v>4.3151628904561853E-2</v>
      </c>
    </row>
    <row r="9121" spans="6:7" x14ac:dyDescent="0.2">
      <c r="F9121" s="591">
        <v>9112</v>
      </c>
      <c r="G9121" s="420">
        <f t="shared" ca="1" si="150"/>
        <v>8.4874822129507449E-2</v>
      </c>
    </row>
    <row r="9122" spans="6:7" x14ac:dyDescent="0.2">
      <c r="F9122" s="591">
        <v>9113</v>
      </c>
      <c r="G9122" s="420">
        <f t="shared" ca="1" si="150"/>
        <v>3.0074415657891373E-2</v>
      </c>
    </row>
    <row r="9123" spans="6:7" x14ac:dyDescent="0.2">
      <c r="F9123" s="591">
        <v>9114</v>
      </c>
      <c r="G9123" s="420">
        <f t="shared" ca="1" si="150"/>
        <v>-8.5738822962694902E-2</v>
      </c>
    </row>
    <row r="9124" spans="6:7" x14ac:dyDescent="0.2">
      <c r="F9124" s="591">
        <v>9115</v>
      </c>
      <c r="G9124" s="420">
        <f t="shared" ca="1" si="150"/>
        <v>-0.1205700298958275</v>
      </c>
    </row>
    <row r="9125" spans="6:7" x14ac:dyDescent="0.2">
      <c r="F9125" s="591">
        <v>9116</v>
      </c>
      <c r="G9125" s="420">
        <f t="shared" ca="1" si="150"/>
        <v>7.0194444660225036E-2</v>
      </c>
    </row>
    <row r="9126" spans="6:7" x14ac:dyDescent="0.2">
      <c r="F9126" s="591">
        <v>9117</v>
      </c>
      <c r="G9126" s="420">
        <f t="shared" ca="1" si="150"/>
        <v>4.5656539489236592E-2</v>
      </c>
    </row>
    <row r="9127" spans="6:7" x14ac:dyDescent="0.2">
      <c r="F9127" s="591">
        <v>9118</v>
      </c>
      <c r="G9127" s="420">
        <f t="shared" ca="1" si="150"/>
        <v>-1.9145985406156998E-2</v>
      </c>
    </row>
    <row r="9128" spans="6:7" x14ac:dyDescent="0.2">
      <c r="F9128" s="591">
        <v>9119</v>
      </c>
      <c r="G9128" s="420">
        <f t="shared" ca="1" si="150"/>
        <v>-0.11280685421278602</v>
      </c>
    </row>
    <row r="9129" spans="6:7" x14ac:dyDescent="0.2">
      <c r="F9129" s="591">
        <v>9120</v>
      </c>
      <c r="G9129" s="420">
        <f t="shared" ca="1" si="150"/>
        <v>3.0473055860250658E-2</v>
      </c>
    </row>
    <row r="9130" spans="6:7" x14ac:dyDescent="0.2">
      <c r="F9130" s="591">
        <v>9121</v>
      </c>
      <c r="G9130" s="420">
        <f t="shared" ca="1" si="150"/>
        <v>-6.9477552646252119E-2</v>
      </c>
    </row>
    <row r="9131" spans="6:7" x14ac:dyDescent="0.2">
      <c r="F9131" s="591">
        <v>9122</v>
      </c>
      <c r="G9131" s="420">
        <f t="shared" ca="1" si="150"/>
        <v>2.0738851733349765E-2</v>
      </c>
    </row>
    <row r="9132" spans="6:7" x14ac:dyDescent="0.2">
      <c r="F9132" s="591">
        <v>9123</v>
      </c>
      <c r="G9132" s="420">
        <f t="shared" ca="1" si="150"/>
        <v>7.4056619562792456E-2</v>
      </c>
    </row>
    <row r="9133" spans="6:7" x14ac:dyDescent="0.2">
      <c r="F9133" s="591">
        <v>9124</v>
      </c>
      <c r="G9133" s="420">
        <f t="shared" ca="1" si="150"/>
        <v>0.14070747735925523</v>
      </c>
    </row>
    <row r="9134" spans="6:7" x14ac:dyDescent="0.2">
      <c r="F9134" s="591">
        <v>9125</v>
      </c>
      <c r="G9134" s="420">
        <f t="shared" ca="1" si="150"/>
        <v>7.8226893649334758E-2</v>
      </c>
    </row>
    <row r="9135" spans="6:7" x14ac:dyDescent="0.2">
      <c r="F9135" s="591">
        <v>9126</v>
      </c>
      <c r="G9135" s="420">
        <f t="shared" ca="1" si="150"/>
        <v>-3.243924051389166E-2</v>
      </c>
    </row>
    <row r="9136" spans="6:7" x14ac:dyDescent="0.2">
      <c r="F9136" s="591">
        <v>9127</v>
      </c>
      <c r="G9136" s="420">
        <f t="shared" ca="1" si="150"/>
        <v>6.9959720483959237E-2</v>
      </c>
    </row>
    <row r="9137" spans="6:7" x14ac:dyDescent="0.2">
      <c r="F9137" s="591">
        <v>9128</v>
      </c>
      <c r="G9137" s="420">
        <f t="shared" ca="1" si="150"/>
        <v>-2.2574954944059453E-2</v>
      </c>
    </row>
    <row r="9138" spans="6:7" x14ac:dyDescent="0.2">
      <c r="F9138" s="591">
        <v>9129</v>
      </c>
      <c r="G9138" s="420">
        <f t="shared" ca="1" si="150"/>
        <v>2.2341035488123329E-2</v>
      </c>
    </row>
    <row r="9139" spans="6:7" x14ac:dyDescent="0.2">
      <c r="F9139" s="591">
        <v>9130</v>
      </c>
      <c r="G9139" s="420">
        <f t="shared" ca="1" si="150"/>
        <v>8.1300401802828881E-2</v>
      </c>
    </row>
    <row r="9140" spans="6:7" x14ac:dyDescent="0.2">
      <c r="F9140" s="591">
        <v>9131</v>
      </c>
      <c r="G9140" s="420">
        <f t="shared" ca="1" si="150"/>
        <v>8.6926372588118583E-2</v>
      </c>
    </row>
    <row r="9141" spans="6:7" x14ac:dyDescent="0.2">
      <c r="F9141" s="591">
        <v>9132</v>
      </c>
      <c r="G9141" s="420">
        <f t="shared" ca="1" si="150"/>
        <v>6.7452287277431897E-2</v>
      </c>
    </row>
    <row r="9142" spans="6:7" x14ac:dyDescent="0.2">
      <c r="F9142" s="591">
        <v>9133</v>
      </c>
      <c r="G9142" s="420">
        <f t="shared" ca="1" si="150"/>
        <v>3.7654301383516144E-2</v>
      </c>
    </row>
    <row r="9143" spans="6:7" x14ac:dyDescent="0.2">
      <c r="F9143" s="591">
        <v>9134</v>
      </c>
      <c r="G9143" s="420">
        <f t="shared" ca="1" si="150"/>
        <v>8.1970492871399334E-2</v>
      </c>
    </row>
    <row r="9144" spans="6:7" x14ac:dyDescent="0.2">
      <c r="F9144" s="591">
        <v>9135</v>
      </c>
      <c r="G9144" s="420">
        <f t="shared" ca="1" si="150"/>
        <v>0.1108088801258557</v>
      </c>
    </row>
    <row r="9145" spans="6:7" x14ac:dyDescent="0.2">
      <c r="F9145" s="591">
        <v>9136</v>
      </c>
      <c r="G9145" s="420">
        <f t="shared" ca="1" si="150"/>
        <v>2.5182212305577441E-3</v>
      </c>
    </row>
    <row r="9146" spans="6:7" x14ac:dyDescent="0.2">
      <c r="F9146" s="591">
        <v>9137</v>
      </c>
      <c r="G9146" s="420">
        <f t="shared" ca="1" si="150"/>
        <v>3.5130771190349151E-2</v>
      </c>
    </row>
    <row r="9147" spans="6:7" x14ac:dyDescent="0.2">
      <c r="F9147" s="591">
        <v>9138</v>
      </c>
      <c r="G9147" s="420">
        <f t="shared" ca="1" si="150"/>
        <v>2.6321153247031551E-2</v>
      </c>
    </row>
    <row r="9148" spans="6:7" x14ac:dyDescent="0.2">
      <c r="F9148" s="591">
        <v>9139</v>
      </c>
      <c r="G9148" s="420">
        <f t="shared" ca="1" si="150"/>
        <v>9.6785335755612996E-3</v>
      </c>
    </row>
    <row r="9149" spans="6:7" x14ac:dyDescent="0.2">
      <c r="F9149" s="591">
        <v>9140</v>
      </c>
      <c r="G9149" s="420">
        <f t="shared" ca="1" si="150"/>
        <v>2.1058726716750228E-2</v>
      </c>
    </row>
    <row r="9150" spans="6:7" x14ac:dyDescent="0.2">
      <c r="F9150" s="591">
        <v>9141</v>
      </c>
      <c r="G9150" s="420">
        <f t="shared" ca="1" si="150"/>
        <v>6.6716746147268149E-2</v>
      </c>
    </row>
    <row r="9151" spans="6:7" x14ac:dyDescent="0.2">
      <c r="F9151" s="591">
        <v>9142</v>
      </c>
      <c r="G9151" s="420">
        <f t="shared" ca="1" si="150"/>
        <v>3.3910422288712085E-2</v>
      </c>
    </row>
    <row r="9152" spans="6:7" x14ac:dyDescent="0.2">
      <c r="F9152" s="591">
        <v>9143</v>
      </c>
      <c r="G9152" s="420">
        <f t="shared" ca="1" si="150"/>
        <v>5.033287549016055E-2</v>
      </c>
    </row>
    <row r="9153" spans="6:7" x14ac:dyDescent="0.2">
      <c r="F9153" s="591">
        <v>9144</v>
      </c>
      <c r="G9153" s="420">
        <f t="shared" ca="1" si="150"/>
        <v>2.7386592939906477E-2</v>
      </c>
    </row>
    <row r="9154" spans="6:7" x14ac:dyDescent="0.2">
      <c r="F9154" s="591">
        <v>9145</v>
      </c>
      <c r="G9154" s="420">
        <f t="shared" ca="1" si="150"/>
        <v>1.2207319771521971E-2</v>
      </c>
    </row>
    <row r="9155" spans="6:7" x14ac:dyDescent="0.2">
      <c r="F9155" s="591">
        <v>9146</v>
      </c>
      <c r="G9155" s="420">
        <f t="shared" ca="1" si="150"/>
        <v>6.6226174392956069E-2</v>
      </c>
    </row>
    <row r="9156" spans="6:7" x14ac:dyDescent="0.2">
      <c r="F9156" s="591">
        <v>9147</v>
      </c>
      <c r="G9156" s="420">
        <f t="shared" ca="1" si="150"/>
        <v>-0.12946011845928021</v>
      </c>
    </row>
    <row r="9157" spans="6:7" x14ac:dyDescent="0.2">
      <c r="F9157" s="591">
        <v>9148</v>
      </c>
      <c r="G9157" s="420">
        <f t="shared" ca="1" si="150"/>
        <v>4.7035247425637914E-3</v>
      </c>
    </row>
    <row r="9158" spans="6:7" x14ac:dyDescent="0.2">
      <c r="F9158" s="591">
        <v>9149</v>
      </c>
      <c r="G9158" s="420">
        <f t="shared" ca="1" si="150"/>
        <v>-0.11728231235328755</v>
      </c>
    </row>
    <row r="9159" spans="6:7" x14ac:dyDescent="0.2">
      <c r="F9159" s="591">
        <v>9150</v>
      </c>
      <c r="G9159" s="420">
        <f t="shared" ca="1" si="150"/>
        <v>-4.5025848464606597E-2</v>
      </c>
    </row>
    <row r="9160" spans="6:7" x14ac:dyDescent="0.2">
      <c r="F9160" s="591">
        <v>9151</v>
      </c>
      <c r="G9160" s="420">
        <f t="shared" ca="1" si="150"/>
        <v>7.2350298543409658E-2</v>
      </c>
    </row>
    <row r="9161" spans="6:7" x14ac:dyDescent="0.2">
      <c r="F9161" s="591">
        <v>9152</v>
      </c>
      <c r="G9161" s="420">
        <f t="shared" ca="1" si="150"/>
        <v>0.14262588362594589</v>
      </c>
    </row>
    <row r="9162" spans="6:7" x14ac:dyDescent="0.2">
      <c r="F9162" s="591">
        <v>9153</v>
      </c>
      <c r="G9162" s="420">
        <f t="shared" ca="1" si="150"/>
        <v>5.7789226129608406E-2</v>
      </c>
    </row>
    <row r="9163" spans="6:7" x14ac:dyDescent="0.2">
      <c r="F9163" s="591">
        <v>9154</v>
      </c>
      <c r="G9163" s="420">
        <f t="shared" ref="G9163:G9226" ca="1" si="151">_xlfn.NORM.INV(RAND(), $M$11,$M$12)</f>
        <v>-5.4146080291739715E-2</v>
      </c>
    </row>
    <row r="9164" spans="6:7" x14ac:dyDescent="0.2">
      <c r="F9164" s="591">
        <v>9155</v>
      </c>
      <c r="G9164" s="420">
        <f t="shared" ca="1" si="151"/>
        <v>3.6238179522349437E-2</v>
      </c>
    </row>
    <row r="9165" spans="6:7" x14ac:dyDescent="0.2">
      <c r="F9165" s="591">
        <v>9156</v>
      </c>
      <c r="G9165" s="420">
        <f t="shared" ca="1" si="151"/>
        <v>-7.3627823890728999E-2</v>
      </c>
    </row>
    <row r="9166" spans="6:7" x14ac:dyDescent="0.2">
      <c r="F9166" s="591">
        <v>9157</v>
      </c>
      <c r="G9166" s="420">
        <f t="shared" ca="1" si="151"/>
        <v>1.4343392008204326E-2</v>
      </c>
    </row>
    <row r="9167" spans="6:7" x14ac:dyDescent="0.2">
      <c r="F9167" s="591">
        <v>9158</v>
      </c>
      <c r="G9167" s="420">
        <f t="shared" ca="1" si="151"/>
        <v>-1.7773788188358938E-2</v>
      </c>
    </row>
    <row r="9168" spans="6:7" x14ac:dyDescent="0.2">
      <c r="F9168" s="591">
        <v>9159</v>
      </c>
      <c r="G9168" s="420">
        <f t="shared" ca="1" si="151"/>
        <v>0.10378696615278385</v>
      </c>
    </row>
    <row r="9169" spans="6:7" x14ac:dyDescent="0.2">
      <c r="F9169" s="591">
        <v>9160</v>
      </c>
      <c r="G9169" s="420">
        <f t="shared" ca="1" si="151"/>
        <v>7.4592471938695157E-2</v>
      </c>
    </row>
    <row r="9170" spans="6:7" x14ac:dyDescent="0.2">
      <c r="F9170" s="591">
        <v>9161</v>
      </c>
      <c r="G9170" s="420">
        <f t="shared" ca="1" si="151"/>
        <v>-0.10369953793789764</v>
      </c>
    </row>
    <row r="9171" spans="6:7" x14ac:dyDescent="0.2">
      <c r="F9171" s="591">
        <v>9162</v>
      </c>
      <c r="G9171" s="420">
        <f t="shared" ca="1" si="151"/>
        <v>0.15085049849434201</v>
      </c>
    </row>
    <row r="9172" spans="6:7" x14ac:dyDescent="0.2">
      <c r="F9172" s="591">
        <v>9163</v>
      </c>
      <c r="G9172" s="420">
        <f t="shared" ca="1" si="151"/>
        <v>2.9499913979494734E-2</v>
      </c>
    </row>
    <row r="9173" spans="6:7" x14ac:dyDescent="0.2">
      <c r="F9173" s="591">
        <v>9164</v>
      </c>
      <c r="G9173" s="420">
        <f t="shared" ca="1" si="151"/>
        <v>7.0186250373237891E-2</v>
      </c>
    </row>
    <row r="9174" spans="6:7" x14ac:dyDescent="0.2">
      <c r="F9174" s="591">
        <v>9165</v>
      </c>
      <c r="G9174" s="420">
        <f t="shared" ca="1" si="151"/>
        <v>3.9953477306412084E-2</v>
      </c>
    </row>
    <row r="9175" spans="6:7" x14ac:dyDescent="0.2">
      <c r="F9175" s="591">
        <v>9166</v>
      </c>
      <c r="G9175" s="420">
        <f t="shared" ca="1" si="151"/>
        <v>5.2599787632227613E-2</v>
      </c>
    </row>
    <row r="9176" spans="6:7" x14ac:dyDescent="0.2">
      <c r="F9176" s="591">
        <v>9167</v>
      </c>
      <c r="G9176" s="420">
        <f t="shared" ca="1" si="151"/>
        <v>-0.16800922326282147</v>
      </c>
    </row>
    <row r="9177" spans="6:7" x14ac:dyDescent="0.2">
      <c r="F9177" s="591">
        <v>9168</v>
      </c>
      <c r="G9177" s="420">
        <f t="shared" ca="1" si="151"/>
        <v>-7.0507878058067783E-2</v>
      </c>
    </row>
    <row r="9178" spans="6:7" x14ac:dyDescent="0.2">
      <c r="F9178" s="591">
        <v>9169</v>
      </c>
      <c r="G9178" s="420">
        <f t="shared" ca="1" si="151"/>
        <v>-4.0736684983593438E-2</v>
      </c>
    </row>
    <row r="9179" spans="6:7" x14ac:dyDescent="0.2">
      <c r="F9179" s="591">
        <v>9170</v>
      </c>
      <c r="G9179" s="420">
        <f t="shared" ca="1" si="151"/>
        <v>-3.0407730970296049E-2</v>
      </c>
    </row>
    <row r="9180" spans="6:7" x14ac:dyDescent="0.2">
      <c r="F9180" s="591">
        <v>9171</v>
      </c>
      <c r="G9180" s="420">
        <f t="shared" ca="1" si="151"/>
        <v>-5.2467267391776262E-2</v>
      </c>
    </row>
    <row r="9181" spans="6:7" x14ac:dyDescent="0.2">
      <c r="F9181" s="591">
        <v>9172</v>
      </c>
      <c r="G9181" s="420">
        <f t="shared" ca="1" si="151"/>
        <v>2.2964032029135384E-2</v>
      </c>
    </row>
    <row r="9182" spans="6:7" x14ac:dyDescent="0.2">
      <c r="F9182" s="591">
        <v>9173</v>
      </c>
      <c r="G9182" s="420">
        <f t="shared" ca="1" si="151"/>
        <v>-9.9413096218673266E-2</v>
      </c>
    </row>
    <row r="9183" spans="6:7" x14ac:dyDescent="0.2">
      <c r="F9183" s="591">
        <v>9174</v>
      </c>
      <c r="G9183" s="420">
        <f t="shared" ca="1" si="151"/>
        <v>3.6933468888661766E-2</v>
      </c>
    </row>
    <row r="9184" spans="6:7" x14ac:dyDescent="0.2">
      <c r="F9184" s="591">
        <v>9175</v>
      </c>
      <c r="G9184" s="420">
        <f t="shared" ca="1" si="151"/>
        <v>8.5516406279562029E-2</v>
      </c>
    </row>
    <row r="9185" spans="6:7" x14ac:dyDescent="0.2">
      <c r="F9185" s="591">
        <v>9176</v>
      </c>
      <c r="G9185" s="420">
        <f t="shared" ca="1" si="151"/>
        <v>-8.4642487967087718E-2</v>
      </c>
    </row>
    <row r="9186" spans="6:7" x14ac:dyDescent="0.2">
      <c r="F9186" s="591">
        <v>9177</v>
      </c>
      <c r="G9186" s="420">
        <f t="shared" ca="1" si="151"/>
        <v>-0.11350614240890394</v>
      </c>
    </row>
    <row r="9187" spans="6:7" x14ac:dyDescent="0.2">
      <c r="F9187" s="591">
        <v>9178</v>
      </c>
      <c r="G9187" s="420">
        <f t="shared" ca="1" si="151"/>
        <v>9.4007982742171023E-2</v>
      </c>
    </row>
    <row r="9188" spans="6:7" x14ac:dyDescent="0.2">
      <c r="F9188" s="591">
        <v>9179</v>
      </c>
      <c r="G9188" s="420">
        <f t="shared" ca="1" si="151"/>
        <v>-6.2965856214204877E-2</v>
      </c>
    </row>
    <row r="9189" spans="6:7" x14ac:dyDescent="0.2">
      <c r="F9189" s="591">
        <v>9180</v>
      </c>
      <c r="G9189" s="420">
        <f t="shared" ca="1" si="151"/>
        <v>-5.8906072653670691E-2</v>
      </c>
    </row>
    <row r="9190" spans="6:7" x14ac:dyDescent="0.2">
      <c r="F9190" s="591">
        <v>9181</v>
      </c>
      <c r="G9190" s="420">
        <f t="shared" ca="1" si="151"/>
        <v>-5.5041793245915419E-2</v>
      </c>
    </row>
    <row r="9191" spans="6:7" x14ac:dyDescent="0.2">
      <c r="F9191" s="591">
        <v>9182</v>
      </c>
      <c r="G9191" s="420">
        <f t="shared" ca="1" si="151"/>
        <v>-6.2869336186706162E-2</v>
      </c>
    </row>
    <row r="9192" spans="6:7" x14ac:dyDescent="0.2">
      <c r="F9192" s="591">
        <v>9183</v>
      </c>
      <c r="G9192" s="420">
        <f t="shared" ca="1" si="151"/>
        <v>3.1279573519897394E-2</v>
      </c>
    </row>
    <row r="9193" spans="6:7" x14ac:dyDescent="0.2">
      <c r="F9193" s="591">
        <v>9184</v>
      </c>
      <c r="G9193" s="420">
        <f t="shared" ca="1" si="151"/>
        <v>4.9103650551120287E-2</v>
      </c>
    </row>
    <row r="9194" spans="6:7" x14ac:dyDescent="0.2">
      <c r="F9194" s="591">
        <v>9185</v>
      </c>
      <c r="G9194" s="420">
        <f t="shared" ca="1" si="151"/>
        <v>3.3448010649977211E-2</v>
      </c>
    </row>
    <row r="9195" spans="6:7" x14ac:dyDescent="0.2">
      <c r="F9195" s="591">
        <v>9186</v>
      </c>
      <c r="G9195" s="420">
        <f t="shared" ca="1" si="151"/>
        <v>5.0649557868201828E-2</v>
      </c>
    </row>
    <row r="9196" spans="6:7" x14ac:dyDescent="0.2">
      <c r="F9196" s="591">
        <v>9187</v>
      </c>
      <c r="G9196" s="420">
        <f t="shared" ca="1" si="151"/>
        <v>3.9989295193465738E-2</v>
      </c>
    </row>
    <row r="9197" spans="6:7" x14ac:dyDescent="0.2">
      <c r="F9197" s="591">
        <v>9188</v>
      </c>
      <c r="G9197" s="420">
        <f t="shared" ca="1" si="151"/>
        <v>0.13879267811495674</v>
      </c>
    </row>
    <row r="9198" spans="6:7" x14ac:dyDescent="0.2">
      <c r="F9198" s="591">
        <v>9189</v>
      </c>
      <c r="G9198" s="420">
        <f t="shared" ca="1" si="151"/>
        <v>9.9872747937165204E-3</v>
      </c>
    </row>
    <row r="9199" spans="6:7" x14ac:dyDescent="0.2">
      <c r="F9199" s="591">
        <v>9190</v>
      </c>
      <c r="G9199" s="420">
        <f t="shared" ca="1" si="151"/>
        <v>4.1494618238819767E-2</v>
      </c>
    </row>
    <row r="9200" spans="6:7" x14ac:dyDescent="0.2">
      <c r="F9200" s="591">
        <v>9191</v>
      </c>
      <c r="G9200" s="420">
        <f t="shared" ca="1" si="151"/>
        <v>2.6603163219892992E-2</v>
      </c>
    </row>
    <row r="9201" spans="6:7" x14ac:dyDescent="0.2">
      <c r="F9201" s="591">
        <v>9192</v>
      </c>
      <c r="G9201" s="420">
        <f t="shared" ca="1" si="151"/>
        <v>-7.9836276174507503E-2</v>
      </c>
    </row>
    <row r="9202" spans="6:7" x14ac:dyDescent="0.2">
      <c r="F9202" s="591">
        <v>9193</v>
      </c>
      <c r="G9202" s="420">
        <f t="shared" ca="1" si="151"/>
        <v>3.2194474476483957E-2</v>
      </c>
    </row>
    <row r="9203" spans="6:7" x14ac:dyDescent="0.2">
      <c r="F9203" s="591">
        <v>9194</v>
      </c>
      <c r="G9203" s="420">
        <f t="shared" ca="1" si="151"/>
        <v>-3.4542594851041039E-2</v>
      </c>
    </row>
    <row r="9204" spans="6:7" x14ac:dyDescent="0.2">
      <c r="F9204" s="591">
        <v>9195</v>
      </c>
      <c r="G9204" s="420">
        <f t="shared" ca="1" si="151"/>
        <v>-3.1750249857395357E-2</v>
      </c>
    </row>
    <row r="9205" spans="6:7" x14ac:dyDescent="0.2">
      <c r="F9205" s="591">
        <v>9196</v>
      </c>
      <c r="G9205" s="420">
        <f t="shared" ca="1" si="151"/>
        <v>0.10987321230592446</v>
      </c>
    </row>
    <row r="9206" spans="6:7" x14ac:dyDescent="0.2">
      <c r="F9206" s="591">
        <v>9197</v>
      </c>
      <c r="G9206" s="420">
        <f t="shared" ca="1" si="151"/>
        <v>-1.0964802686225315E-2</v>
      </c>
    </row>
    <row r="9207" spans="6:7" x14ac:dyDescent="0.2">
      <c r="F9207" s="591">
        <v>9198</v>
      </c>
      <c r="G9207" s="420">
        <f t="shared" ca="1" si="151"/>
        <v>-9.2622067676060613E-2</v>
      </c>
    </row>
    <row r="9208" spans="6:7" x14ac:dyDescent="0.2">
      <c r="F9208" s="591">
        <v>9199</v>
      </c>
      <c r="G9208" s="420">
        <f t="shared" ca="1" si="151"/>
        <v>-1.3682512206005228E-2</v>
      </c>
    </row>
    <row r="9209" spans="6:7" x14ac:dyDescent="0.2">
      <c r="F9209" s="591">
        <v>9200</v>
      </c>
      <c r="G9209" s="420">
        <f t="shared" ca="1" si="151"/>
        <v>-4.1969388315886008E-3</v>
      </c>
    </row>
    <row r="9210" spans="6:7" x14ac:dyDescent="0.2">
      <c r="F9210" s="591">
        <v>9201</v>
      </c>
      <c r="G9210" s="420">
        <f t="shared" ca="1" si="151"/>
        <v>-8.1790434780851878E-2</v>
      </c>
    </row>
    <row r="9211" spans="6:7" x14ac:dyDescent="0.2">
      <c r="F9211" s="591">
        <v>9202</v>
      </c>
      <c r="G9211" s="420">
        <f t="shared" ca="1" si="151"/>
        <v>-9.4311606837940432E-3</v>
      </c>
    </row>
    <row r="9212" spans="6:7" x14ac:dyDescent="0.2">
      <c r="F9212" s="591">
        <v>9203</v>
      </c>
      <c r="G9212" s="420">
        <f t="shared" ca="1" si="151"/>
        <v>6.2040705612963112E-2</v>
      </c>
    </row>
    <row r="9213" spans="6:7" x14ac:dyDescent="0.2">
      <c r="F9213" s="591">
        <v>9204</v>
      </c>
      <c r="G9213" s="420">
        <f t="shared" ca="1" si="151"/>
        <v>4.7876567240724199E-2</v>
      </c>
    </row>
    <row r="9214" spans="6:7" x14ac:dyDescent="0.2">
      <c r="F9214" s="591">
        <v>9205</v>
      </c>
      <c r="G9214" s="420">
        <f t="shared" ca="1" si="151"/>
        <v>-1.1863226721751635E-2</v>
      </c>
    </row>
    <row r="9215" spans="6:7" x14ac:dyDescent="0.2">
      <c r="F9215" s="591">
        <v>9206</v>
      </c>
      <c r="G9215" s="420">
        <f t="shared" ca="1" si="151"/>
        <v>-6.5173453106756082E-2</v>
      </c>
    </row>
    <row r="9216" spans="6:7" x14ac:dyDescent="0.2">
      <c r="F9216" s="591">
        <v>9207</v>
      </c>
      <c r="G9216" s="420">
        <f t="shared" ca="1" si="151"/>
        <v>5.4271995298792147E-2</v>
      </c>
    </row>
    <row r="9217" spans="6:7" x14ac:dyDescent="0.2">
      <c r="F9217" s="591">
        <v>9208</v>
      </c>
      <c r="G9217" s="420">
        <f t="shared" ca="1" si="151"/>
        <v>-5.7207773088734246E-2</v>
      </c>
    </row>
    <row r="9218" spans="6:7" x14ac:dyDescent="0.2">
      <c r="F9218" s="591">
        <v>9209</v>
      </c>
      <c r="G9218" s="420">
        <f t="shared" ca="1" si="151"/>
        <v>4.7362660046495489E-2</v>
      </c>
    </row>
    <row r="9219" spans="6:7" x14ac:dyDescent="0.2">
      <c r="F9219" s="591">
        <v>9210</v>
      </c>
      <c r="G9219" s="420">
        <f t="shared" ca="1" si="151"/>
        <v>0.13155173041283011</v>
      </c>
    </row>
    <row r="9220" spans="6:7" x14ac:dyDescent="0.2">
      <c r="F9220" s="591">
        <v>9211</v>
      </c>
      <c r="G9220" s="420">
        <f t="shared" ca="1" si="151"/>
        <v>-2.3084265646583755E-2</v>
      </c>
    </row>
    <row r="9221" spans="6:7" x14ac:dyDescent="0.2">
      <c r="F9221" s="591">
        <v>9212</v>
      </c>
      <c r="G9221" s="420">
        <f t="shared" ca="1" si="151"/>
        <v>-4.8353860294885233E-3</v>
      </c>
    </row>
    <row r="9222" spans="6:7" x14ac:dyDescent="0.2">
      <c r="F9222" s="591">
        <v>9213</v>
      </c>
      <c r="G9222" s="420">
        <f t="shared" ca="1" si="151"/>
        <v>1.5092793015950224E-2</v>
      </c>
    </row>
    <row r="9223" spans="6:7" x14ac:dyDescent="0.2">
      <c r="F9223" s="591">
        <v>9214</v>
      </c>
      <c r="G9223" s="420">
        <f t="shared" ca="1" si="151"/>
        <v>0.12851914377452919</v>
      </c>
    </row>
    <row r="9224" spans="6:7" x14ac:dyDescent="0.2">
      <c r="F9224" s="591">
        <v>9215</v>
      </c>
      <c r="G9224" s="420">
        <f t="shared" ca="1" si="151"/>
        <v>6.4251851770896345E-2</v>
      </c>
    </row>
    <row r="9225" spans="6:7" x14ac:dyDescent="0.2">
      <c r="F9225" s="591">
        <v>9216</v>
      </c>
      <c r="G9225" s="420">
        <f t="shared" ca="1" si="151"/>
        <v>8.0522237862708998E-2</v>
      </c>
    </row>
    <row r="9226" spans="6:7" x14ac:dyDescent="0.2">
      <c r="F9226" s="591">
        <v>9217</v>
      </c>
      <c r="G9226" s="420">
        <f t="shared" ca="1" si="151"/>
        <v>-5.3853585645746049E-2</v>
      </c>
    </row>
    <row r="9227" spans="6:7" x14ac:dyDescent="0.2">
      <c r="F9227" s="591">
        <v>9218</v>
      </c>
      <c r="G9227" s="420">
        <f t="shared" ref="G9227:G9290" ca="1" si="152">_xlfn.NORM.INV(RAND(), $M$11,$M$12)</f>
        <v>-6.154292917213848E-2</v>
      </c>
    </row>
    <row r="9228" spans="6:7" x14ac:dyDescent="0.2">
      <c r="F9228" s="591">
        <v>9219</v>
      </c>
      <c r="G9228" s="420">
        <f t="shared" ca="1" si="152"/>
        <v>-8.5997991421778025E-2</v>
      </c>
    </row>
    <row r="9229" spans="6:7" x14ac:dyDescent="0.2">
      <c r="F9229" s="591">
        <v>9220</v>
      </c>
      <c r="G9229" s="420">
        <f t="shared" ca="1" si="152"/>
        <v>6.4368179634118464E-2</v>
      </c>
    </row>
    <row r="9230" spans="6:7" x14ac:dyDescent="0.2">
      <c r="F9230" s="591">
        <v>9221</v>
      </c>
      <c r="G9230" s="420">
        <f t="shared" ca="1" si="152"/>
        <v>7.8890920833823638E-2</v>
      </c>
    </row>
    <row r="9231" spans="6:7" x14ac:dyDescent="0.2">
      <c r="F9231" s="591">
        <v>9222</v>
      </c>
      <c r="G9231" s="420">
        <f t="shared" ca="1" si="152"/>
        <v>-1.7255556478496012E-2</v>
      </c>
    </row>
    <row r="9232" spans="6:7" x14ac:dyDescent="0.2">
      <c r="F9232" s="591">
        <v>9223</v>
      </c>
      <c r="G9232" s="420">
        <f t="shared" ca="1" si="152"/>
        <v>5.8003769069186153E-2</v>
      </c>
    </row>
    <row r="9233" spans="6:7" x14ac:dyDescent="0.2">
      <c r="F9233" s="591">
        <v>9224</v>
      </c>
      <c r="G9233" s="420">
        <f t="shared" ca="1" si="152"/>
        <v>0.13293294708495274</v>
      </c>
    </row>
    <row r="9234" spans="6:7" x14ac:dyDescent="0.2">
      <c r="F9234" s="591">
        <v>9225</v>
      </c>
      <c r="G9234" s="420">
        <f t="shared" ca="1" si="152"/>
        <v>-4.146862109747948E-3</v>
      </c>
    </row>
    <row r="9235" spans="6:7" x14ac:dyDescent="0.2">
      <c r="F9235" s="591">
        <v>9226</v>
      </c>
      <c r="G9235" s="420">
        <f t="shared" ca="1" si="152"/>
        <v>-3.9612975806574378E-3</v>
      </c>
    </row>
    <row r="9236" spans="6:7" x14ac:dyDescent="0.2">
      <c r="F9236" s="591">
        <v>9227</v>
      </c>
      <c r="G9236" s="420">
        <f t="shared" ca="1" si="152"/>
        <v>-2.9289149018172433E-2</v>
      </c>
    </row>
    <row r="9237" spans="6:7" x14ac:dyDescent="0.2">
      <c r="F9237" s="591">
        <v>9228</v>
      </c>
      <c r="G9237" s="420">
        <f t="shared" ca="1" si="152"/>
        <v>-3.1159595246669603E-2</v>
      </c>
    </row>
    <row r="9238" spans="6:7" x14ac:dyDescent="0.2">
      <c r="F9238" s="591">
        <v>9229</v>
      </c>
      <c r="G9238" s="420">
        <f t="shared" ca="1" si="152"/>
        <v>-5.5070916234339864E-2</v>
      </c>
    </row>
    <row r="9239" spans="6:7" x14ac:dyDescent="0.2">
      <c r="F9239" s="591">
        <v>9230</v>
      </c>
      <c r="G9239" s="420">
        <f t="shared" ca="1" si="152"/>
        <v>9.5906526850410304E-2</v>
      </c>
    </row>
    <row r="9240" spans="6:7" x14ac:dyDescent="0.2">
      <c r="F9240" s="591">
        <v>9231</v>
      </c>
      <c r="G9240" s="420">
        <f t="shared" ca="1" si="152"/>
        <v>-2.0014534499228995E-2</v>
      </c>
    </row>
    <row r="9241" spans="6:7" x14ac:dyDescent="0.2">
      <c r="F9241" s="591">
        <v>9232</v>
      </c>
      <c r="G9241" s="420">
        <f t="shared" ca="1" si="152"/>
        <v>3.5310378223058533E-2</v>
      </c>
    </row>
    <row r="9242" spans="6:7" x14ac:dyDescent="0.2">
      <c r="F9242" s="591">
        <v>9233</v>
      </c>
      <c r="G9242" s="420">
        <f t="shared" ca="1" si="152"/>
        <v>-6.3743677620497735E-2</v>
      </c>
    </row>
    <row r="9243" spans="6:7" x14ac:dyDescent="0.2">
      <c r="F9243" s="591">
        <v>9234</v>
      </c>
      <c r="G9243" s="420">
        <f t="shared" ca="1" si="152"/>
        <v>-6.1771305013760713E-2</v>
      </c>
    </row>
    <row r="9244" spans="6:7" x14ac:dyDescent="0.2">
      <c r="F9244" s="591">
        <v>9235</v>
      </c>
      <c r="G9244" s="420">
        <f t="shared" ca="1" si="152"/>
        <v>-1.2916351161398599E-2</v>
      </c>
    </row>
    <row r="9245" spans="6:7" x14ac:dyDescent="0.2">
      <c r="F9245" s="591">
        <v>9236</v>
      </c>
      <c r="G9245" s="420">
        <f t="shared" ca="1" si="152"/>
        <v>-3.4236925583187153E-2</v>
      </c>
    </row>
    <row r="9246" spans="6:7" x14ac:dyDescent="0.2">
      <c r="F9246" s="591">
        <v>9237</v>
      </c>
      <c r="G9246" s="420">
        <f t="shared" ca="1" si="152"/>
        <v>-7.28318745273379E-2</v>
      </c>
    </row>
    <row r="9247" spans="6:7" x14ac:dyDescent="0.2">
      <c r="F9247" s="591">
        <v>9238</v>
      </c>
      <c r="G9247" s="420">
        <f t="shared" ca="1" si="152"/>
        <v>7.0741429083442178E-2</v>
      </c>
    </row>
    <row r="9248" spans="6:7" x14ac:dyDescent="0.2">
      <c r="F9248" s="591">
        <v>9239</v>
      </c>
      <c r="G9248" s="420">
        <f t="shared" ca="1" si="152"/>
        <v>-0.12555796383978021</v>
      </c>
    </row>
    <row r="9249" spans="6:7" x14ac:dyDescent="0.2">
      <c r="F9249" s="591">
        <v>9240</v>
      </c>
      <c r="G9249" s="420">
        <f t="shared" ca="1" si="152"/>
        <v>5.866297231193654E-2</v>
      </c>
    </row>
    <row r="9250" spans="6:7" x14ac:dyDescent="0.2">
      <c r="F9250" s="591">
        <v>9241</v>
      </c>
      <c r="G9250" s="420">
        <f t="shared" ca="1" si="152"/>
        <v>-8.8493104225588121E-2</v>
      </c>
    </row>
    <row r="9251" spans="6:7" x14ac:dyDescent="0.2">
      <c r="F9251" s="591">
        <v>9242</v>
      </c>
      <c r="G9251" s="420">
        <f t="shared" ca="1" si="152"/>
        <v>-5.5412819785844322E-2</v>
      </c>
    </row>
    <row r="9252" spans="6:7" x14ac:dyDescent="0.2">
      <c r="F9252" s="591">
        <v>9243</v>
      </c>
      <c r="G9252" s="420">
        <f t="shared" ca="1" si="152"/>
        <v>2.4259720464548551E-2</v>
      </c>
    </row>
    <row r="9253" spans="6:7" x14ac:dyDescent="0.2">
      <c r="F9253" s="591">
        <v>9244</v>
      </c>
      <c r="G9253" s="420">
        <f t="shared" ca="1" si="152"/>
        <v>6.8491036323223384E-2</v>
      </c>
    </row>
    <row r="9254" spans="6:7" x14ac:dyDescent="0.2">
      <c r="F9254" s="591">
        <v>9245</v>
      </c>
      <c r="G9254" s="420">
        <f t="shared" ca="1" si="152"/>
        <v>-0.13472626139836016</v>
      </c>
    </row>
    <row r="9255" spans="6:7" x14ac:dyDescent="0.2">
      <c r="F9255" s="591">
        <v>9246</v>
      </c>
      <c r="G9255" s="420">
        <f t="shared" ca="1" si="152"/>
        <v>2.5188711843862573E-2</v>
      </c>
    </row>
    <row r="9256" spans="6:7" x14ac:dyDescent="0.2">
      <c r="F9256" s="591">
        <v>9247</v>
      </c>
      <c r="G9256" s="420">
        <f t="shared" ca="1" si="152"/>
        <v>5.3810516362484739E-2</v>
      </c>
    </row>
    <row r="9257" spans="6:7" x14ac:dyDescent="0.2">
      <c r="F9257" s="591">
        <v>9248</v>
      </c>
      <c r="G9257" s="420">
        <f t="shared" ca="1" si="152"/>
        <v>-4.6842243467221378E-2</v>
      </c>
    </row>
    <row r="9258" spans="6:7" x14ac:dyDescent="0.2">
      <c r="F9258" s="591">
        <v>9249</v>
      </c>
      <c r="G9258" s="420">
        <f t="shared" ca="1" si="152"/>
        <v>8.8496452233792697E-2</v>
      </c>
    </row>
    <row r="9259" spans="6:7" x14ac:dyDescent="0.2">
      <c r="F9259" s="591">
        <v>9250</v>
      </c>
      <c r="G9259" s="420">
        <f t="shared" ca="1" si="152"/>
        <v>-8.5157587307096577E-2</v>
      </c>
    </row>
    <row r="9260" spans="6:7" x14ac:dyDescent="0.2">
      <c r="F9260" s="591">
        <v>9251</v>
      </c>
      <c r="G9260" s="420">
        <f t="shared" ca="1" si="152"/>
        <v>6.0069400903398587E-2</v>
      </c>
    </row>
    <row r="9261" spans="6:7" x14ac:dyDescent="0.2">
      <c r="F9261" s="591">
        <v>9252</v>
      </c>
      <c r="G9261" s="420">
        <f t="shared" ca="1" si="152"/>
        <v>-7.3144974288178274E-2</v>
      </c>
    </row>
    <row r="9262" spans="6:7" x14ac:dyDescent="0.2">
      <c r="F9262" s="591">
        <v>9253</v>
      </c>
      <c r="G9262" s="420">
        <f t="shared" ca="1" si="152"/>
        <v>-2.5507579977017813E-2</v>
      </c>
    </row>
    <row r="9263" spans="6:7" x14ac:dyDescent="0.2">
      <c r="F9263" s="591">
        <v>9254</v>
      </c>
      <c r="G9263" s="420">
        <f t="shared" ca="1" si="152"/>
        <v>4.1911108803487626E-2</v>
      </c>
    </row>
    <row r="9264" spans="6:7" x14ac:dyDescent="0.2">
      <c r="F9264" s="591">
        <v>9255</v>
      </c>
      <c r="G9264" s="420">
        <f t="shared" ca="1" si="152"/>
        <v>3.2968438243286338E-2</v>
      </c>
    </row>
    <row r="9265" spans="6:7" x14ac:dyDescent="0.2">
      <c r="F9265" s="591">
        <v>9256</v>
      </c>
      <c r="G9265" s="420">
        <f t="shared" ca="1" si="152"/>
        <v>1.5327321562124321E-2</v>
      </c>
    </row>
    <row r="9266" spans="6:7" x14ac:dyDescent="0.2">
      <c r="F9266" s="591">
        <v>9257</v>
      </c>
      <c r="G9266" s="420">
        <f t="shared" ca="1" si="152"/>
        <v>-9.8213759498304798E-2</v>
      </c>
    </row>
    <row r="9267" spans="6:7" x14ac:dyDescent="0.2">
      <c r="F9267" s="591">
        <v>9258</v>
      </c>
      <c r="G9267" s="420">
        <f t="shared" ca="1" si="152"/>
        <v>4.5610512307838087E-4</v>
      </c>
    </row>
    <row r="9268" spans="6:7" x14ac:dyDescent="0.2">
      <c r="F9268" s="591">
        <v>9259</v>
      </c>
      <c r="G9268" s="420">
        <f t="shared" ca="1" si="152"/>
        <v>-0.10414919972693518</v>
      </c>
    </row>
    <row r="9269" spans="6:7" x14ac:dyDescent="0.2">
      <c r="F9269" s="591">
        <v>9260</v>
      </c>
      <c r="G9269" s="420">
        <f t="shared" ca="1" si="152"/>
        <v>2.9686858354524736E-2</v>
      </c>
    </row>
    <row r="9270" spans="6:7" x14ac:dyDescent="0.2">
      <c r="F9270" s="591">
        <v>9261</v>
      </c>
      <c r="G9270" s="420">
        <f t="shared" ca="1" si="152"/>
        <v>4.7017023119675663E-2</v>
      </c>
    </row>
    <row r="9271" spans="6:7" x14ac:dyDescent="0.2">
      <c r="F9271" s="591">
        <v>9262</v>
      </c>
      <c r="G9271" s="420">
        <f t="shared" ca="1" si="152"/>
        <v>5.0795734452616287E-2</v>
      </c>
    </row>
    <row r="9272" spans="6:7" x14ac:dyDescent="0.2">
      <c r="F9272" s="591">
        <v>9263</v>
      </c>
      <c r="G9272" s="420">
        <f t="shared" ca="1" si="152"/>
        <v>1.0671180320484534E-2</v>
      </c>
    </row>
    <row r="9273" spans="6:7" x14ac:dyDescent="0.2">
      <c r="F9273" s="591">
        <v>9264</v>
      </c>
      <c r="G9273" s="420">
        <f t="shared" ca="1" si="152"/>
        <v>9.6379916592599618E-2</v>
      </c>
    </row>
    <row r="9274" spans="6:7" x14ac:dyDescent="0.2">
      <c r="F9274" s="591">
        <v>9265</v>
      </c>
      <c r="G9274" s="420">
        <f t="shared" ca="1" si="152"/>
        <v>4.120468166830453E-2</v>
      </c>
    </row>
    <row r="9275" spans="6:7" x14ac:dyDescent="0.2">
      <c r="F9275" s="591">
        <v>9266</v>
      </c>
      <c r="G9275" s="420">
        <f t="shared" ca="1" si="152"/>
        <v>5.6863358896196037E-2</v>
      </c>
    </row>
    <row r="9276" spans="6:7" x14ac:dyDescent="0.2">
      <c r="F9276" s="591">
        <v>9267</v>
      </c>
      <c r="G9276" s="420">
        <f t="shared" ca="1" si="152"/>
        <v>-3.400757881280669E-3</v>
      </c>
    </row>
    <row r="9277" spans="6:7" x14ac:dyDescent="0.2">
      <c r="F9277" s="591">
        <v>9268</v>
      </c>
      <c r="G9277" s="420">
        <f t="shared" ca="1" si="152"/>
        <v>-0.12846087162067446</v>
      </c>
    </row>
    <row r="9278" spans="6:7" x14ac:dyDescent="0.2">
      <c r="F9278" s="591">
        <v>9269</v>
      </c>
      <c r="G9278" s="420">
        <f t="shared" ca="1" si="152"/>
        <v>8.2037495266110441E-2</v>
      </c>
    </row>
    <row r="9279" spans="6:7" x14ac:dyDescent="0.2">
      <c r="F9279" s="591">
        <v>9270</v>
      </c>
      <c r="G9279" s="420">
        <f t="shared" ca="1" si="152"/>
        <v>7.4511349301332575E-2</v>
      </c>
    </row>
    <row r="9280" spans="6:7" x14ac:dyDescent="0.2">
      <c r="F9280" s="591">
        <v>9271</v>
      </c>
      <c r="G9280" s="420">
        <f t="shared" ca="1" si="152"/>
        <v>-4.11399938942867E-2</v>
      </c>
    </row>
    <row r="9281" spans="6:7" x14ac:dyDescent="0.2">
      <c r="F9281" s="591">
        <v>9272</v>
      </c>
      <c r="G9281" s="420">
        <f t="shared" ca="1" si="152"/>
        <v>-3.5837601780288164E-2</v>
      </c>
    </row>
    <row r="9282" spans="6:7" x14ac:dyDescent="0.2">
      <c r="F9282" s="591">
        <v>9273</v>
      </c>
      <c r="G9282" s="420">
        <f t="shared" ca="1" si="152"/>
        <v>5.9321610071114028E-2</v>
      </c>
    </row>
    <row r="9283" spans="6:7" x14ac:dyDescent="0.2">
      <c r="F9283" s="591">
        <v>9274</v>
      </c>
      <c r="G9283" s="420">
        <f t="shared" ca="1" si="152"/>
        <v>2.2585945430597526E-2</v>
      </c>
    </row>
    <row r="9284" spans="6:7" x14ac:dyDescent="0.2">
      <c r="F9284" s="591">
        <v>9275</v>
      </c>
      <c r="G9284" s="420">
        <f t="shared" ca="1" si="152"/>
        <v>6.3174170480292738E-3</v>
      </c>
    </row>
    <row r="9285" spans="6:7" x14ac:dyDescent="0.2">
      <c r="F9285" s="591">
        <v>9276</v>
      </c>
      <c r="G9285" s="420">
        <f t="shared" ca="1" si="152"/>
        <v>0.18601140916636538</v>
      </c>
    </row>
    <row r="9286" spans="6:7" x14ac:dyDescent="0.2">
      <c r="F9286" s="591">
        <v>9277</v>
      </c>
      <c r="G9286" s="420">
        <f t="shared" ca="1" si="152"/>
        <v>-5.9870942376004849E-2</v>
      </c>
    </row>
    <row r="9287" spans="6:7" x14ac:dyDescent="0.2">
      <c r="F9287" s="591">
        <v>9278</v>
      </c>
      <c r="G9287" s="420">
        <f t="shared" ca="1" si="152"/>
        <v>-7.0000656947420303E-2</v>
      </c>
    </row>
    <row r="9288" spans="6:7" x14ac:dyDescent="0.2">
      <c r="F9288" s="591">
        <v>9279</v>
      </c>
      <c r="G9288" s="420">
        <f t="shared" ca="1" si="152"/>
        <v>5.4964843873653274E-2</v>
      </c>
    </row>
    <row r="9289" spans="6:7" x14ac:dyDescent="0.2">
      <c r="F9289" s="591">
        <v>9280</v>
      </c>
      <c r="G9289" s="420">
        <f t="shared" ca="1" si="152"/>
        <v>6.6622988180324916E-2</v>
      </c>
    </row>
    <row r="9290" spans="6:7" x14ac:dyDescent="0.2">
      <c r="F9290" s="591">
        <v>9281</v>
      </c>
      <c r="G9290" s="420">
        <f t="shared" ca="1" si="152"/>
        <v>-8.3228894927483046E-2</v>
      </c>
    </row>
    <row r="9291" spans="6:7" x14ac:dyDescent="0.2">
      <c r="F9291" s="591">
        <v>9282</v>
      </c>
      <c r="G9291" s="420">
        <f t="shared" ref="G9291:G9354" ca="1" si="153">_xlfn.NORM.INV(RAND(), $M$11,$M$12)</f>
        <v>-9.3552623681239733E-2</v>
      </c>
    </row>
    <row r="9292" spans="6:7" x14ac:dyDescent="0.2">
      <c r="F9292" s="591">
        <v>9283</v>
      </c>
      <c r="G9292" s="420">
        <f t="shared" ca="1" si="153"/>
        <v>-3.2005365470982997E-2</v>
      </c>
    </row>
    <row r="9293" spans="6:7" x14ac:dyDescent="0.2">
      <c r="F9293" s="591">
        <v>9284</v>
      </c>
      <c r="G9293" s="420">
        <f t="shared" ca="1" si="153"/>
        <v>6.4203615353778075E-3</v>
      </c>
    </row>
    <row r="9294" spans="6:7" x14ac:dyDescent="0.2">
      <c r="F9294" s="591">
        <v>9285</v>
      </c>
      <c r="G9294" s="420">
        <f t="shared" ca="1" si="153"/>
        <v>4.048143771627629E-2</v>
      </c>
    </row>
    <row r="9295" spans="6:7" x14ac:dyDescent="0.2">
      <c r="F9295" s="591">
        <v>9286</v>
      </c>
      <c r="G9295" s="420">
        <f t="shared" ca="1" si="153"/>
        <v>-0.14730641303497252</v>
      </c>
    </row>
    <row r="9296" spans="6:7" x14ac:dyDescent="0.2">
      <c r="F9296" s="591">
        <v>9287</v>
      </c>
      <c r="G9296" s="420">
        <f t="shared" ca="1" si="153"/>
        <v>6.6126644742161206E-2</v>
      </c>
    </row>
    <row r="9297" spans="6:7" x14ac:dyDescent="0.2">
      <c r="F9297" s="591">
        <v>9288</v>
      </c>
      <c r="G9297" s="420">
        <f t="shared" ca="1" si="153"/>
        <v>4.5049620092546122E-2</v>
      </c>
    </row>
    <row r="9298" spans="6:7" x14ac:dyDescent="0.2">
      <c r="F9298" s="591">
        <v>9289</v>
      </c>
      <c r="G9298" s="420">
        <f t="shared" ca="1" si="153"/>
        <v>2.2123809611974507E-2</v>
      </c>
    </row>
    <row r="9299" spans="6:7" x14ac:dyDescent="0.2">
      <c r="F9299" s="591">
        <v>9290</v>
      </c>
      <c r="G9299" s="420">
        <f t="shared" ca="1" si="153"/>
        <v>7.1184915989981501E-2</v>
      </c>
    </row>
    <row r="9300" spans="6:7" x14ac:dyDescent="0.2">
      <c r="F9300" s="591">
        <v>9291</v>
      </c>
      <c r="G9300" s="420">
        <f t="shared" ca="1" si="153"/>
        <v>-7.8043870705355026E-2</v>
      </c>
    </row>
    <row r="9301" spans="6:7" x14ac:dyDescent="0.2">
      <c r="F9301" s="591">
        <v>9292</v>
      </c>
      <c r="G9301" s="420">
        <f t="shared" ca="1" si="153"/>
        <v>0.11240375794245207</v>
      </c>
    </row>
    <row r="9302" spans="6:7" x14ac:dyDescent="0.2">
      <c r="F9302" s="591">
        <v>9293</v>
      </c>
      <c r="G9302" s="420">
        <f t="shared" ca="1" si="153"/>
        <v>4.6361799142888058E-2</v>
      </c>
    </row>
    <row r="9303" spans="6:7" x14ac:dyDescent="0.2">
      <c r="F9303" s="591">
        <v>9294</v>
      </c>
      <c r="G9303" s="420">
        <f t="shared" ca="1" si="153"/>
        <v>2.4043487433161471E-2</v>
      </c>
    </row>
    <row r="9304" spans="6:7" x14ac:dyDescent="0.2">
      <c r="F9304" s="591">
        <v>9295</v>
      </c>
      <c r="G9304" s="420">
        <f t="shared" ca="1" si="153"/>
        <v>1.2949522974806411E-2</v>
      </c>
    </row>
    <row r="9305" spans="6:7" x14ac:dyDescent="0.2">
      <c r="F9305" s="591">
        <v>9296</v>
      </c>
      <c r="G9305" s="420">
        <f t="shared" ca="1" si="153"/>
        <v>2.8294143551000857E-2</v>
      </c>
    </row>
    <row r="9306" spans="6:7" x14ac:dyDescent="0.2">
      <c r="F9306" s="591">
        <v>9297</v>
      </c>
      <c r="G9306" s="420">
        <f t="shared" ca="1" si="153"/>
        <v>4.4208608518484308E-2</v>
      </c>
    </row>
    <row r="9307" spans="6:7" x14ac:dyDescent="0.2">
      <c r="F9307" s="591">
        <v>9298</v>
      </c>
      <c r="G9307" s="420">
        <f t="shared" ca="1" si="153"/>
        <v>5.6074818585387681E-2</v>
      </c>
    </row>
    <row r="9308" spans="6:7" x14ac:dyDescent="0.2">
      <c r="F9308" s="591">
        <v>9299</v>
      </c>
      <c r="G9308" s="420">
        <f t="shared" ca="1" si="153"/>
        <v>-5.1695295034025993E-2</v>
      </c>
    </row>
    <row r="9309" spans="6:7" x14ac:dyDescent="0.2">
      <c r="F9309" s="591">
        <v>9300</v>
      </c>
      <c r="G9309" s="420">
        <f t="shared" ca="1" si="153"/>
        <v>1.2604510318338454E-2</v>
      </c>
    </row>
    <row r="9310" spans="6:7" x14ac:dyDescent="0.2">
      <c r="F9310" s="591">
        <v>9301</v>
      </c>
      <c r="G9310" s="420">
        <f t="shared" ca="1" si="153"/>
        <v>-7.6639355194214553E-2</v>
      </c>
    </row>
    <row r="9311" spans="6:7" x14ac:dyDescent="0.2">
      <c r="F9311" s="591">
        <v>9302</v>
      </c>
      <c r="G9311" s="420">
        <f t="shared" ca="1" si="153"/>
        <v>-3.6800451989314253E-2</v>
      </c>
    </row>
    <row r="9312" spans="6:7" x14ac:dyDescent="0.2">
      <c r="F9312" s="591">
        <v>9303</v>
      </c>
      <c r="G9312" s="420">
        <f t="shared" ca="1" si="153"/>
        <v>6.2910293776115581E-2</v>
      </c>
    </row>
    <row r="9313" spans="6:7" x14ac:dyDescent="0.2">
      <c r="F9313" s="591">
        <v>9304</v>
      </c>
      <c r="G9313" s="420">
        <f t="shared" ca="1" si="153"/>
        <v>-0.17301626522151856</v>
      </c>
    </row>
    <row r="9314" spans="6:7" x14ac:dyDescent="0.2">
      <c r="F9314" s="591">
        <v>9305</v>
      </c>
      <c r="G9314" s="420">
        <f t="shared" ca="1" si="153"/>
        <v>0.15659334833062488</v>
      </c>
    </row>
    <row r="9315" spans="6:7" x14ac:dyDescent="0.2">
      <c r="F9315" s="591">
        <v>9306</v>
      </c>
      <c r="G9315" s="420">
        <f t="shared" ca="1" si="153"/>
        <v>2.7285089312053229E-2</v>
      </c>
    </row>
    <row r="9316" spans="6:7" x14ac:dyDescent="0.2">
      <c r="F9316" s="591">
        <v>9307</v>
      </c>
      <c r="G9316" s="420">
        <f t="shared" ca="1" si="153"/>
        <v>2.8068190475361195E-2</v>
      </c>
    </row>
    <row r="9317" spans="6:7" x14ac:dyDescent="0.2">
      <c r="F9317" s="591">
        <v>9308</v>
      </c>
      <c r="G9317" s="420">
        <f t="shared" ca="1" si="153"/>
        <v>5.1258799750133185E-2</v>
      </c>
    </row>
    <row r="9318" spans="6:7" x14ac:dyDescent="0.2">
      <c r="F9318" s="591">
        <v>9309</v>
      </c>
      <c r="G9318" s="420">
        <f t="shared" ca="1" si="153"/>
        <v>4.8062925278080273E-2</v>
      </c>
    </row>
    <row r="9319" spans="6:7" x14ac:dyDescent="0.2">
      <c r="F9319" s="591">
        <v>9310</v>
      </c>
      <c r="G9319" s="420">
        <f t="shared" ca="1" si="153"/>
        <v>5.4661540654553933E-2</v>
      </c>
    </row>
    <row r="9320" spans="6:7" x14ac:dyDescent="0.2">
      <c r="F9320" s="591">
        <v>9311</v>
      </c>
      <c r="G9320" s="420">
        <f t="shared" ca="1" si="153"/>
        <v>-2.6073574699152304E-2</v>
      </c>
    </row>
    <row r="9321" spans="6:7" x14ac:dyDescent="0.2">
      <c r="F9321" s="591">
        <v>9312</v>
      </c>
      <c r="G9321" s="420">
        <f t="shared" ca="1" si="153"/>
        <v>8.1468521419350293E-2</v>
      </c>
    </row>
    <row r="9322" spans="6:7" x14ac:dyDescent="0.2">
      <c r="F9322" s="591">
        <v>9313</v>
      </c>
      <c r="G9322" s="420">
        <f t="shared" ca="1" si="153"/>
        <v>1.025932973284965E-2</v>
      </c>
    </row>
    <row r="9323" spans="6:7" x14ac:dyDescent="0.2">
      <c r="F9323" s="591">
        <v>9314</v>
      </c>
      <c r="G9323" s="420">
        <f t="shared" ca="1" si="153"/>
        <v>2.4711700934657369E-3</v>
      </c>
    </row>
    <row r="9324" spans="6:7" x14ac:dyDescent="0.2">
      <c r="F9324" s="591">
        <v>9315</v>
      </c>
      <c r="G9324" s="420">
        <f t="shared" ca="1" si="153"/>
        <v>-4.4593729923532124E-2</v>
      </c>
    </row>
    <row r="9325" spans="6:7" x14ac:dyDescent="0.2">
      <c r="F9325" s="591">
        <v>9316</v>
      </c>
      <c r="G9325" s="420">
        <f t="shared" ca="1" si="153"/>
        <v>-0.13566522806603379</v>
      </c>
    </row>
    <row r="9326" spans="6:7" x14ac:dyDescent="0.2">
      <c r="F9326" s="591">
        <v>9317</v>
      </c>
      <c r="G9326" s="420">
        <f t="shared" ca="1" si="153"/>
        <v>7.8673086068910148E-3</v>
      </c>
    </row>
    <row r="9327" spans="6:7" x14ac:dyDescent="0.2">
      <c r="F9327" s="591">
        <v>9318</v>
      </c>
      <c r="G9327" s="420">
        <f t="shared" ca="1" si="153"/>
        <v>-3.9628975724783411E-2</v>
      </c>
    </row>
    <row r="9328" spans="6:7" x14ac:dyDescent="0.2">
      <c r="F9328" s="591">
        <v>9319</v>
      </c>
      <c r="G9328" s="420">
        <f t="shared" ca="1" si="153"/>
        <v>5.1753756866021197E-2</v>
      </c>
    </row>
    <row r="9329" spans="6:7" x14ac:dyDescent="0.2">
      <c r="F9329" s="591">
        <v>9320</v>
      </c>
      <c r="G9329" s="420">
        <f t="shared" ca="1" si="153"/>
        <v>-8.3651082443495992E-3</v>
      </c>
    </row>
    <row r="9330" spans="6:7" x14ac:dyDescent="0.2">
      <c r="F9330" s="591">
        <v>9321</v>
      </c>
      <c r="G9330" s="420">
        <f t="shared" ca="1" si="153"/>
        <v>2.061635979258105E-2</v>
      </c>
    </row>
    <row r="9331" spans="6:7" x14ac:dyDescent="0.2">
      <c r="F9331" s="591">
        <v>9322</v>
      </c>
      <c r="G9331" s="420">
        <f t="shared" ca="1" si="153"/>
        <v>4.248163024107314E-2</v>
      </c>
    </row>
    <row r="9332" spans="6:7" x14ac:dyDescent="0.2">
      <c r="F9332" s="591">
        <v>9323</v>
      </c>
      <c r="G9332" s="420">
        <f t="shared" ca="1" si="153"/>
        <v>3.8373938774475702E-2</v>
      </c>
    </row>
    <row r="9333" spans="6:7" x14ac:dyDescent="0.2">
      <c r="F9333" s="591">
        <v>9324</v>
      </c>
      <c r="G9333" s="420">
        <f t="shared" ca="1" si="153"/>
        <v>-0.10249190490890372</v>
      </c>
    </row>
    <row r="9334" spans="6:7" x14ac:dyDescent="0.2">
      <c r="F9334" s="591">
        <v>9325</v>
      </c>
      <c r="G9334" s="420">
        <f t="shared" ca="1" si="153"/>
        <v>8.5669017918784882E-3</v>
      </c>
    </row>
    <row r="9335" spans="6:7" x14ac:dyDescent="0.2">
      <c r="F9335" s="591">
        <v>9326</v>
      </c>
      <c r="G9335" s="420">
        <f t="shared" ca="1" si="153"/>
        <v>4.2081102922575456E-2</v>
      </c>
    </row>
    <row r="9336" spans="6:7" x14ac:dyDescent="0.2">
      <c r="F9336" s="591">
        <v>9327</v>
      </c>
      <c r="G9336" s="420">
        <f t="shared" ca="1" si="153"/>
        <v>-3.1120176369878173E-2</v>
      </c>
    </row>
    <row r="9337" spans="6:7" x14ac:dyDescent="0.2">
      <c r="F9337" s="591">
        <v>9328</v>
      </c>
      <c r="G9337" s="420">
        <f t="shared" ca="1" si="153"/>
        <v>1.1398500858691147E-2</v>
      </c>
    </row>
    <row r="9338" spans="6:7" x14ac:dyDescent="0.2">
      <c r="F9338" s="591">
        <v>9329</v>
      </c>
      <c r="G9338" s="420">
        <f t="shared" ca="1" si="153"/>
        <v>-6.7853938186466164E-2</v>
      </c>
    </row>
    <row r="9339" spans="6:7" x14ac:dyDescent="0.2">
      <c r="F9339" s="591">
        <v>9330</v>
      </c>
      <c r="G9339" s="420">
        <f t="shared" ca="1" si="153"/>
        <v>-1.2746330821584041E-3</v>
      </c>
    </row>
    <row r="9340" spans="6:7" x14ac:dyDescent="0.2">
      <c r="F9340" s="591">
        <v>9331</v>
      </c>
      <c r="G9340" s="420">
        <f t="shared" ca="1" si="153"/>
        <v>-7.2709136364296004E-2</v>
      </c>
    </row>
    <row r="9341" spans="6:7" x14ac:dyDescent="0.2">
      <c r="F9341" s="591">
        <v>9332</v>
      </c>
      <c r="G9341" s="420">
        <f t="shared" ca="1" si="153"/>
        <v>7.5060625454852786E-2</v>
      </c>
    </row>
    <row r="9342" spans="6:7" x14ac:dyDescent="0.2">
      <c r="F9342" s="591">
        <v>9333</v>
      </c>
      <c r="G9342" s="420">
        <f t="shared" ca="1" si="153"/>
        <v>-6.9566607555853838E-2</v>
      </c>
    </row>
    <row r="9343" spans="6:7" x14ac:dyDescent="0.2">
      <c r="F9343" s="591">
        <v>9334</v>
      </c>
      <c r="G9343" s="420">
        <f t="shared" ca="1" si="153"/>
        <v>5.7867705994805438E-2</v>
      </c>
    </row>
    <row r="9344" spans="6:7" x14ac:dyDescent="0.2">
      <c r="F9344" s="591">
        <v>9335</v>
      </c>
      <c r="G9344" s="420">
        <f t="shared" ca="1" si="153"/>
        <v>5.5656578093020645E-2</v>
      </c>
    </row>
    <row r="9345" spans="6:7" x14ac:dyDescent="0.2">
      <c r="F9345" s="591">
        <v>9336</v>
      </c>
      <c r="G9345" s="420">
        <f t="shared" ca="1" si="153"/>
        <v>8.4695612429922969E-3</v>
      </c>
    </row>
    <row r="9346" spans="6:7" x14ac:dyDescent="0.2">
      <c r="F9346" s="591">
        <v>9337</v>
      </c>
      <c r="G9346" s="420">
        <f t="shared" ca="1" si="153"/>
        <v>1.9630072013376007E-2</v>
      </c>
    </row>
    <row r="9347" spans="6:7" x14ac:dyDescent="0.2">
      <c r="F9347" s="591">
        <v>9338</v>
      </c>
      <c r="G9347" s="420">
        <f t="shared" ca="1" si="153"/>
        <v>9.8206181712738788E-2</v>
      </c>
    </row>
    <row r="9348" spans="6:7" x14ac:dyDescent="0.2">
      <c r="F9348" s="591">
        <v>9339</v>
      </c>
      <c r="G9348" s="420">
        <f t="shared" ca="1" si="153"/>
        <v>9.1906420467747815E-2</v>
      </c>
    </row>
    <row r="9349" spans="6:7" x14ac:dyDescent="0.2">
      <c r="F9349" s="591">
        <v>9340</v>
      </c>
      <c r="G9349" s="420">
        <f t="shared" ca="1" si="153"/>
        <v>2.6832784891733075E-2</v>
      </c>
    </row>
    <row r="9350" spans="6:7" x14ac:dyDescent="0.2">
      <c r="F9350" s="591">
        <v>9341</v>
      </c>
      <c r="G9350" s="420">
        <f t="shared" ca="1" si="153"/>
        <v>5.1664382399674288E-2</v>
      </c>
    </row>
    <row r="9351" spans="6:7" x14ac:dyDescent="0.2">
      <c r="F9351" s="591">
        <v>9342</v>
      </c>
      <c r="G9351" s="420">
        <f t="shared" ca="1" si="153"/>
        <v>3.5912002743603691E-2</v>
      </c>
    </row>
    <row r="9352" spans="6:7" x14ac:dyDescent="0.2">
      <c r="F9352" s="591">
        <v>9343</v>
      </c>
      <c r="G9352" s="420">
        <f t="shared" ca="1" si="153"/>
        <v>-1.6493928170883475E-2</v>
      </c>
    </row>
    <row r="9353" spans="6:7" x14ac:dyDescent="0.2">
      <c r="F9353" s="591">
        <v>9344</v>
      </c>
      <c r="G9353" s="420">
        <f t="shared" ca="1" si="153"/>
        <v>0.10870098854652412</v>
      </c>
    </row>
    <row r="9354" spans="6:7" x14ac:dyDescent="0.2">
      <c r="F9354" s="591">
        <v>9345</v>
      </c>
      <c r="G9354" s="420">
        <f t="shared" ca="1" si="153"/>
        <v>-5.7004100512816347E-3</v>
      </c>
    </row>
    <row r="9355" spans="6:7" x14ac:dyDescent="0.2">
      <c r="F9355" s="591">
        <v>9346</v>
      </c>
      <c r="G9355" s="420">
        <f t="shared" ref="G9355:G9418" ca="1" si="154">_xlfn.NORM.INV(RAND(), $M$11,$M$12)</f>
        <v>9.058040762601996E-2</v>
      </c>
    </row>
    <row r="9356" spans="6:7" x14ac:dyDescent="0.2">
      <c r="F9356" s="591">
        <v>9347</v>
      </c>
      <c r="G9356" s="420">
        <f t="shared" ca="1" si="154"/>
        <v>-9.1547812421865875E-3</v>
      </c>
    </row>
    <row r="9357" spans="6:7" x14ac:dyDescent="0.2">
      <c r="F9357" s="591">
        <v>9348</v>
      </c>
      <c r="G9357" s="420">
        <f t="shared" ca="1" si="154"/>
        <v>4.5243458391170221E-2</v>
      </c>
    </row>
    <row r="9358" spans="6:7" x14ac:dyDescent="0.2">
      <c r="F9358" s="591">
        <v>9349</v>
      </c>
      <c r="G9358" s="420">
        <f t="shared" ca="1" si="154"/>
        <v>-2.6398232442439367E-2</v>
      </c>
    </row>
    <row r="9359" spans="6:7" x14ac:dyDescent="0.2">
      <c r="F9359" s="591">
        <v>9350</v>
      </c>
      <c r="G9359" s="420">
        <f t="shared" ca="1" si="154"/>
        <v>-2.9420173449939201E-2</v>
      </c>
    </row>
    <row r="9360" spans="6:7" x14ac:dyDescent="0.2">
      <c r="F9360" s="591">
        <v>9351</v>
      </c>
      <c r="G9360" s="420">
        <f t="shared" ca="1" si="154"/>
        <v>2.4627226235152518E-2</v>
      </c>
    </row>
    <row r="9361" spans="6:7" x14ac:dyDescent="0.2">
      <c r="F9361" s="591">
        <v>9352</v>
      </c>
      <c r="G9361" s="420">
        <f t="shared" ca="1" si="154"/>
        <v>8.9102276806117597E-2</v>
      </c>
    </row>
    <row r="9362" spans="6:7" x14ac:dyDescent="0.2">
      <c r="F9362" s="591">
        <v>9353</v>
      </c>
      <c r="G9362" s="420">
        <f t="shared" ca="1" si="154"/>
        <v>9.0092728076374529E-2</v>
      </c>
    </row>
    <row r="9363" spans="6:7" x14ac:dyDescent="0.2">
      <c r="F9363" s="591">
        <v>9354</v>
      </c>
      <c r="G9363" s="420">
        <f t="shared" ca="1" si="154"/>
        <v>2.6970061618997836E-3</v>
      </c>
    </row>
    <row r="9364" spans="6:7" x14ac:dyDescent="0.2">
      <c r="F9364" s="591">
        <v>9355</v>
      </c>
      <c r="G9364" s="420">
        <f t="shared" ca="1" si="154"/>
        <v>-6.8612164109730853E-3</v>
      </c>
    </row>
    <row r="9365" spans="6:7" x14ac:dyDescent="0.2">
      <c r="F9365" s="591">
        <v>9356</v>
      </c>
      <c r="G9365" s="420">
        <f t="shared" ca="1" si="154"/>
        <v>1.5007229392390752E-2</v>
      </c>
    </row>
    <row r="9366" spans="6:7" x14ac:dyDescent="0.2">
      <c r="F9366" s="591">
        <v>9357</v>
      </c>
      <c r="G9366" s="420">
        <f t="shared" ca="1" si="154"/>
        <v>2.0981517240787395E-2</v>
      </c>
    </row>
    <row r="9367" spans="6:7" x14ac:dyDescent="0.2">
      <c r="F9367" s="591">
        <v>9358</v>
      </c>
      <c r="G9367" s="420">
        <f t="shared" ca="1" si="154"/>
        <v>2.1179925772034456E-3</v>
      </c>
    </row>
    <row r="9368" spans="6:7" x14ac:dyDescent="0.2">
      <c r="F9368" s="591">
        <v>9359</v>
      </c>
      <c r="G9368" s="420">
        <f t="shared" ca="1" si="154"/>
        <v>-6.9570226177605887E-2</v>
      </c>
    </row>
    <row r="9369" spans="6:7" x14ac:dyDescent="0.2">
      <c r="F9369" s="591">
        <v>9360</v>
      </c>
      <c r="G9369" s="420">
        <f t="shared" ca="1" si="154"/>
        <v>4.704257681909578E-2</v>
      </c>
    </row>
    <row r="9370" spans="6:7" x14ac:dyDescent="0.2">
      <c r="F9370" s="591">
        <v>9361</v>
      </c>
      <c r="G9370" s="420">
        <f t="shared" ca="1" si="154"/>
        <v>0.10909630748598154</v>
      </c>
    </row>
    <row r="9371" spans="6:7" x14ac:dyDescent="0.2">
      <c r="F9371" s="591">
        <v>9362</v>
      </c>
      <c r="G9371" s="420">
        <f t="shared" ca="1" si="154"/>
        <v>-2.948827593049019E-2</v>
      </c>
    </row>
    <row r="9372" spans="6:7" x14ac:dyDescent="0.2">
      <c r="F9372" s="591">
        <v>9363</v>
      </c>
      <c r="G9372" s="420">
        <f t="shared" ca="1" si="154"/>
        <v>0.12149614535117105</v>
      </c>
    </row>
    <row r="9373" spans="6:7" x14ac:dyDescent="0.2">
      <c r="F9373" s="591">
        <v>9364</v>
      </c>
      <c r="G9373" s="420">
        <f t="shared" ca="1" si="154"/>
        <v>1.3824322619201562E-2</v>
      </c>
    </row>
    <row r="9374" spans="6:7" x14ac:dyDescent="0.2">
      <c r="F9374" s="591">
        <v>9365</v>
      </c>
      <c r="G9374" s="420">
        <f t="shared" ca="1" si="154"/>
        <v>0.15388138126388587</v>
      </c>
    </row>
    <row r="9375" spans="6:7" x14ac:dyDescent="0.2">
      <c r="F9375" s="591">
        <v>9366</v>
      </c>
      <c r="G9375" s="420">
        <f t="shared" ca="1" si="154"/>
        <v>2.8192049093271533E-2</v>
      </c>
    </row>
    <row r="9376" spans="6:7" x14ac:dyDescent="0.2">
      <c r="F9376" s="591">
        <v>9367</v>
      </c>
      <c r="G9376" s="420">
        <f t="shared" ca="1" si="154"/>
        <v>-8.5253595363844747E-3</v>
      </c>
    </row>
    <row r="9377" spans="6:7" x14ac:dyDescent="0.2">
      <c r="F9377" s="591">
        <v>9368</v>
      </c>
      <c r="G9377" s="420">
        <f t="shared" ca="1" si="154"/>
        <v>-3.8903329488775062E-2</v>
      </c>
    </row>
    <row r="9378" spans="6:7" x14ac:dyDescent="0.2">
      <c r="F9378" s="591">
        <v>9369</v>
      </c>
      <c r="G9378" s="420">
        <f t="shared" ca="1" si="154"/>
        <v>-0.10022785031620858</v>
      </c>
    </row>
    <row r="9379" spans="6:7" x14ac:dyDescent="0.2">
      <c r="F9379" s="591">
        <v>9370</v>
      </c>
      <c r="G9379" s="420">
        <f t="shared" ca="1" si="154"/>
        <v>-2.3115956995479598E-2</v>
      </c>
    </row>
    <row r="9380" spans="6:7" x14ac:dyDescent="0.2">
      <c r="F9380" s="591">
        <v>9371</v>
      </c>
      <c r="G9380" s="420">
        <f t="shared" ca="1" si="154"/>
        <v>-0.13663349407270839</v>
      </c>
    </row>
    <row r="9381" spans="6:7" x14ac:dyDescent="0.2">
      <c r="F9381" s="591">
        <v>9372</v>
      </c>
      <c r="G9381" s="420">
        <f t="shared" ca="1" si="154"/>
        <v>-0.14607607302836401</v>
      </c>
    </row>
    <row r="9382" spans="6:7" x14ac:dyDescent="0.2">
      <c r="F9382" s="591">
        <v>9373</v>
      </c>
      <c r="G9382" s="420">
        <f t="shared" ca="1" si="154"/>
        <v>3.2671800211842947E-2</v>
      </c>
    </row>
    <row r="9383" spans="6:7" x14ac:dyDescent="0.2">
      <c r="F9383" s="591">
        <v>9374</v>
      </c>
      <c r="G9383" s="420">
        <f t="shared" ca="1" si="154"/>
        <v>-5.0708664024855896E-2</v>
      </c>
    </row>
    <row r="9384" spans="6:7" x14ac:dyDescent="0.2">
      <c r="F9384" s="591">
        <v>9375</v>
      </c>
      <c r="G9384" s="420">
        <f t="shared" ca="1" si="154"/>
        <v>4.2946679295829959E-4</v>
      </c>
    </row>
    <row r="9385" spans="6:7" x14ac:dyDescent="0.2">
      <c r="F9385" s="591">
        <v>9376</v>
      </c>
      <c r="G9385" s="420">
        <f t="shared" ca="1" si="154"/>
        <v>6.960758913579819E-2</v>
      </c>
    </row>
    <row r="9386" spans="6:7" x14ac:dyDescent="0.2">
      <c r="F9386" s="591">
        <v>9377</v>
      </c>
      <c r="G9386" s="420">
        <f t="shared" ca="1" si="154"/>
        <v>-5.2845531411820648E-2</v>
      </c>
    </row>
    <row r="9387" spans="6:7" x14ac:dyDescent="0.2">
      <c r="F9387" s="591">
        <v>9378</v>
      </c>
      <c r="G9387" s="420">
        <f t="shared" ca="1" si="154"/>
        <v>-2.2414504665483743E-2</v>
      </c>
    </row>
    <row r="9388" spans="6:7" x14ac:dyDescent="0.2">
      <c r="F9388" s="591">
        <v>9379</v>
      </c>
      <c r="G9388" s="420">
        <f t="shared" ca="1" si="154"/>
        <v>6.4580267240168771E-2</v>
      </c>
    </row>
    <row r="9389" spans="6:7" x14ac:dyDescent="0.2">
      <c r="F9389" s="591">
        <v>9380</v>
      </c>
      <c r="G9389" s="420">
        <f t="shared" ca="1" si="154"/>
        <v>3.3280695777417574E-2</v>
      </c>
    </row>
    <row r="9390" spans="6:7" x14ac:dyDescent="0.2">
      <c r="F9390" s="591">
        <v>9381</v>
      </c>
      <c r="G9390" s="420">
        <f t="shared" ca="1" si="154"/>
        <v>6.8638200309619674E-2</v>
      </c>
    </row>
    <row r="9391" spans="6:7" x14ac:dyDescent="0.2">
      <c r="F9391" s="591">
        <v>9382</v>
      </c>
      <c r="G9391" s="420">
        <f t="shared" ca="1" si="154"/>
        <v>8.6374014100214419E-2</v>
      </c>
    </row>
    <row r="9392" spans="6:7" x14ac:dyDescent="0.2">
      <c r="F9392" s="591">
        <v>9383</v>
      </c>
      <c r="G9392" s="420">
        <f t="shared" ca="1" si="154"/>
        <v>1.9585999666821008E-2</v>
      </c>
    </row>
    <row r="9393" spans="6:7" x14ac:dyDescent="0.2">
      <c r="F9393" s="591">
        <v>9384</v>
      </c>
      <c r="G9393" s="420">
        <f t="shared" ca="1" si="154"/>
        <v>-5.5545089121453936E-3</v>
      </c>
    </row>
    <row r="9394" spans="6:7" x14ac:dyDescent="0.2">
      <c r="F9394" s="591">
        <v>9385</v>
      </c>
      <c r="G9394" s="420">
        <f t="shared" ca="1" si="154"/>
        <v>0.13559449492860082</v>
      </c>
    </row>
    <row r="9395" spans="6:7" x14ac:dyDescent="0.2">
      <c r="F9395" s="591">
        <v>9386</v>
      </c>
      <c r="G9395" s="420">
        <f t="shared" ca="1" si="154"/>
        <v>1.4094437177864627E-2</v>
      </c>
    </row>
    <row r="9396" spans="6:7" x14ac:dyDescent="0.2">
      <c r="F9396" s="591">
        <v>9387</v>
      </c>
      <c r="G9396" s="420">
        <f t="shared" ca="1" si="154"/>
        <v>6.7607404904187082E-2</v>
      </c>
    </row>
    <row r="9397" spans="6:7" x14ac:dyDescent="0.2">
      <c r="F9397" s="591">
        <v>9388</v>
      </c>
      <c r="G9397" s="420">
        <f t="shared" ca="1" si="154"/>
        <v>6.6749145737869983E-2</v>
      </c>
    </row>
    <row r="9398" spans="6:7" x14ac:dyDescent="0.2">
      <c r="F9398" s="591">
        <v>9389</v>
      </c>
      <c r="G9398" s="420">
        <f t="shared" ca="1" si="154"/>
        <v>-9.9220761694846546E-2</v>
      </c>
    </row>
    <row r="9399" spans="6:7" x14ac:dyDescent="0.2">
      <c r="F9399" s="591">
        <v>9390</v>
      </c>
      <c r="G9399" s="420">
        <f t="shared" ca="1" si="154"/>
        <v>0.17783239995699765</v>
      </c>
    </row>
    <row r="9400" spans="6:7" x14ac:dyDescent="0.2">
      <c r="F9400" s="591">
        <v>9391</v>
      </c>
      <c r="G9400" s="420">
        <f t="shared" ca="1" si="154"/>
        <v>-5.3503021536114512E-2</v>
      </c>
    </row>
    <row r="9401" spans="6:7" x14ac:dyDescent="0.2">
      <c r="F9401" s="591">
        <v>9392</v>
      </c>
      <c r="G9401" s="420">
        <f t="shared" ca="1" si="154"/>
        <v>6.9149293537211512E-2</v>
      </c>
    </row>
    <row r="9402" spans="6:7" x14ac:dyDescent="0.2">
      <c r="F9402" s="591">
        <v>9393</v>
      </c>
      <c r="G9402" s="420">
        <f t="shared" ca="1" si="154"/>
        <v>6.0039298354111065E-2</v>
      </c>
    </row>
    <row r="9403" spans="6:7" x14ac:dyDescent="0.2">
      <c r="F9403" s="591">
        <v>9394</v>
      </c>
      <c r="G9403" s="420">
        <f t="shared" ca="1" si="154"/>
        <v>1.1417832573964958E-2</v>
      </c>
    </row>
    <row r="9404" spans="6:7" x14ac:dyDescent="0.2">
      <c r="F9404" s="591">
        <v>9395</v>
      </c>
      <c r="G9404" s="420">
        <f t="shared" ca="1" si="154"/>
        <v>-6.6202785715790274E-3</v>
      </c>
    </row>
    <row r="9405" spans="6:7" x14ac:dyDescent="0.2">
      <c r="F9405" s="591">
        <v>9396</v>
      </c>
      <c r="G9405" s="420">
        <f t="shared" ca="1" si="154"/>
        <v>-7.8020093914346902E-2</v>
      </c>
    </row>
    <row r="9406" spans="6:7" x14ac:dyDescent="0.2">
      <c r="F9406" s="591">
        <v>9397</v>
      </c>
      <c r="G9406" s="420">
        <f t="shared" ca="1" si="154"/>
        <v>0.10617662661688405</v>
      </c>
    </row>
    <row r="9407" spans="6:7" x14ac:dyDescent="0.2">
      <c r="F9407" s="591">
        <v>9398</v>
      </c>
      <c r="G9407" s="420">
        <f t="shared" ca="1" si="154"/>
        <v>6.7821829589901669E-2</v>
      </c>
    </row>
    <row r="9408" spans="6:7" x14ac:dyDescent="0.2">
      <c r="F9408" s="591">
        <v>9399</v>
      </c>
      <c r="G9408" s="420">
        <f t="shared" ca="1" si="154"/>
        <v>8.2322216983963123E-2</v>
      </c>
    </row>
    <row r="9409" spans="6:7" x14ac:dyDescent="0.2">
      <c r="F9409" s="591">
        <v>9400</v>
      </c>
      <c r="G9409" s="420">
        <f t="shared" ca="1" si="154"/>
        <v>7.3561420630491856E-2</v>
      </c>
    </row>
    <row r="9410" spans="6:7" x14ac:dyDescent="0.2">
      <c r="F9410" s="591">
        <v>9401</v>
      </c>
      <c r="G9410" s="420">
        <f t="shared" ca="1" si="154"/>
        <v>0.13349396734852623</v>
      </c>
    </row>
    <row r="9411" spans="6:7" x14ac:dyDescent="0.2">
      <c r="F9411" s="591">
        <v>9402</v>
      </c>
      <c r="G9411" s="420">
        <f t="shared" ca="1" si="154"/>
        <v>-2.9325432667240064E-2</v>
      </c>
    </row>
    <row r="9412" spans="6:7" x14ac:dyDescent="0.2">
      <c r="F9412" s="591">
        <v>9403</v>
      </c>
      <c r="G9412" s="420">
        <f t="shared" ca="1" si="154"/>
        <v>-4.7292864336009502E-2</v>
      </c>
    </row>
    <row r="9413" spans="6:7" x14ac:dyDescent="0.2">
      <c r="F9413" s="591">
        <v>9404</v>
      </c>
      <c r="G9413" s="420">
        <f t="shared" ca="1" si="154"/>
        <v>-0.10639684190313931</v>
      </c>
    </row>
    <row r="9414" spans="6:7" x14ac:dyDescent="0.2">
      <c r="F9414" s="591">
        <v>9405</v>
      </c>
      <c r="G9414" s="420">
        <f t="shared" ca="1" si="154"/>
        <v>4.0406009607180521E-2</v>
      </c>
    </row>
    <row r="9415" spans="6:7" x14ac:dyDescent="0.2">
      <c r="F9415" s="591">
        <v>9406</v>
      </c>
      <c r="G9415" s="420">
        <f t="shared" ca="1" si="154"/>
        <v>-1.995276374854869E-2</v>
      </c>
    </row>
    <row r="9416" spans="6:7" x14ac:dyDescent="0.2">
      <c r="F9416" s="591">
        <v>9407</v>
      </c>
      <c r="G9416" s="420">
        <f t="shared" ca="1" si="154"/>
        <v>-0.14165243026041657</v>
      </c>
    </row>
    <row r="9417" spans="6:7" x14ac:dyDescent="0.2">
      <c r="F9417" s="591">
        <v>9408</v>
      </c>
      <c r="G9417" s="420">
        <f t="shared" ca="1" si="154"/>
        <v>0.11230580893853448</v>
      </c>
    </row>
    <row r="9418" spans="6:7" x14ac:dyDescent="0.2">
      <c r="F9418" s="591">
        <v>9409</v>
      </c>
      <c r="G9418" s="420">
        <f t="shared" ca="1" si="154"/>
        <v>-7.93487701376384E-2</v>
      </c>
    </row>
    <row r="9419" spans="6:7" x14ac:dyDescent="0.2">
      <c r="F9419" s="591">
        <v>9410</v>
      </c>
      <c r="G9419" s="420">
        <f t="shared" ref="G9419:G9482" ca="1" si="155">_xlfn.NORM.INV(RAND(), $M$11,$M$12)</f>
        <v>-3.9636955253344146E-3</v>
      </c>
    </row>
    <row r="9420" spans="6:7" x14ac:dyDescent="0.2">
      <c r="F9420" s="591">
        <v>9411</v>
      </c>
      <c r="G9420" s="420">
        <f t="shared" ca="1" si="155"/>
        <v>5.3817636919753109E-2</v>
      </c>
    </row>
    <row r="9421" spans="6:7" x14ac:dyDescent="0.2">
      <c r="F9421" s="591">
        <v>9412</v>
      </c>
      <c r="G9421" s="420">
        <f t="shared" ca="1" si="155"/>
        <v>9.7875015779266258E-2</v>
      </c>
    </row>
    <row r="9422" spans="6:7" x14ac:dyDescent="0.2">
      <c r="F9422" s="591">
        <v>9413</v>
      </c>
      <c r="G9422" s="420">
        <f t="shared" ca="1" si="155"/>
        <v>-1.7598798649267468E-2</v>
      </c>
    </row>
    <row r="9423" spans="6:7" x14ac:dyDescent="0.2">
      <c r="F9423" s="591">
        <v>9414</v>
      </c>
      <c r="G9423" s="420">
        <f t="shared" ca="1" si="155"/>
        <v>2.2541193340001306E-2</v>
      </c>
    </row>
    <row r="9424" spans="6:7" x14ac:dyDescent="0.2">
      <c r="F9424" s="591">
        <v>9415</v>
      </c>
      <c r="G9424" s="420">
        <f t="shared" ca="1" si="155"/>
        <v>1.0846700911075612E-2</v>
      </c>
    </row>
    <row r="9425" spans="6:7" x14ac:dyDescent="0.2">
      <c r="F9425" s="591">
        <v>9416</v>
      </c>
      <c r="G9425" s="420">
        <f t="shared" ca="1" si="155"/>
        <v>8.1605299475090931E-2</v>
      </c>
    </row>
    <row r="9426" spans="6:7" x14ac:dyDescent="0.2">
      <c r="F9426" s="591">
        <v>9417</v>
      </c>
      <c r="G9426" s="420">
        <f t="shared" ca="1" si="155"/>
        <v>5.5006744525114948E-2</v>
      </c>
    </row>
    <row r="9427" spans="6:7" x14ac:dyDescent="0.2">
      <c r="F9427" s="591">
        <v>9418</v>
      </c>
      <c r="G9427" s="420">
        <f t="shared" ca="1" si="155"/>
        <v>-1.210092325012985E-2</v>
      </c>
    </row>
    <row r="9428" spans="6:7" x14ac:dyDescent="0.2">
      <c r="F9428" s="591">
        <v>9419</v>
      </c>
      <c r="G9428" s="420">
        <f t="shared" ca="1" si="155"/>
        <v>4.5023374935944577E-2</v>
      </c>
    </row>
    <row r="9429" spans="6:7" x14ac:dyDescent="0.2">
      <c r="F9429" s="591">
        <v>9420</v>
      </c>
      <c r="G9429" s="420">
        <f t="shared" ca="1" si="155"/>
        <v>7.8808800973958745E-2</v>
      </c>
    </row>
    <row r="9430" spans="6:7" x14ac:dyDescent="0.2">
      <c r="F9430" s="591">
        <v>9421</v>
      </c>
      <c r="G9430" s="420">
        <f t="shared" ca="1" si="155"/>
        <v>4.9478573429458703E-2</v>
      </c>
    </row>
    <row r="9431" spans="6:7" x14ac:dyDescent="0.2">
      <c r="F9431" s="591">
        <v>9422</v>
      </c>
      <c r="G9431" s="420">
        <f t="shared" ca="1" si="155"/>
        <v>-0.12418373435066553</v>
      </c>
    </row>
    <row r="9432" spans="6:7" x14ac:dyDescent="0.2">
      <c r="F9432" s="591">
        <v>9423</v>
      </c>
      <c r="G9432" s="420">
        <f t="shared" ca="1" si="155"/>
        <v>5.452241963724333E-2</v>
      </c>
    </row>
    <row r="9433" spans="6:7" x14ac:dyDescent="0.2">
      <c r="F9433" s="591">
        <v>9424</v>
      </c>
      <c r="G9433" s="420">
        <f t="shared" ca="1" si="155"/>
        <v>-0.12483898311807738</v>
      </c>
    </row>
    <row r="9434" spans="6:7" x14ac:dyDescent="0.2">
      <c r="F9434" s="591">
        <v>9425</v>
      </c>
      <c r="G9434" s="420">
        <f t="shared" ca="1" si="155"/>
        <v>-2.7202919650855317E-2</v>
      </c>
    </row>
    <row r="9435" spans="6:7" x14ac:dyDescent="0.2">
      <c r="F9435" s="591">
        <v>9426</v>
      </c>
      <c r="G9435" s="420">
        <f t="shared" ca="1" si="155"/>
        <v>2.6866471387987999E-2</v>
      </c>
    </row>
    <row r="9436" spans="6:7" x14ac:dyDescent="0.2">
      <c r="F9436" s="591">
        <v>9427</v>
      </c>
      <c r="G9436" s="420">
        <f t="shared" ca="1" si="155"/>
        <v>3.1718099857393163E-2</v>
      </c>
    </row>
    <row r="9437" spans="6:7" x14ac:dyDescent="0.2">
      <c r="F9437" s="591">
        <v>9428</v>
      </c>
      <c r="G9437" s="420">
        <f t="shared" ca="1" si="155"/>
        <v>2.6728327747606452E-2</v>
      </c>
    </row>
    <row r="9438" spans="6:7" x14ac:dyDescent="0.2">
      <c r="F9438" s="591">
        <v>9429</v>
      </c>
      <c r="G9438" s="420">
        <f t="shared" ca="1" si="155"/>
        <v>2.0573270018452779E-2</v>
      </c>
    </row>
    <row r="9439" spans="6:7" x14ac:dyDescent="0.2">
      <c r="F9439" s="591">
        <v>9430</v>
      </c>
      <c r="G9439" s="420">
        <f t="shared" ca="1" si="155"/>
        <v>-9.7985445012033448E-2</v>
      </c>
    </row>
    <row r="9440" spans="6:7" x14ac:dyDescent="0.2">
      <c r="F9440" s="591">
        <v>9431</v>
      </c>
      <c r="G9440" s="420">
        <f t="shared" ca="1" si="155"/>
        <v>9.9772303068461937E-2</v>
      </c>
    </row>
    <row r="9441" spans="6:7" x14ac:dyDescent="0.2">
      <c r="F9441" s="591">
        <v>9432</v>
      </c>
      <c r="G9441" s="420">
        <f t="shared" ca="1" si="155"/>
        <v>8.4145852388682316E-2</v>
      </c>
    </row>
    <row r="9442" spans="6:7" x14ac:dyDescent="0.2">
      <c r="F9442" s="591">
        <v>9433</v>
      </c>
      <c r="G9442" s="420">
        <f t="shared" ca="1" si="155"/>
        <v>-4.647361507973985E-2</v>
      </c>
    </row>
    <row r="9443" spans="6:7" x14ac:dyDescent="0.2">
      <c r="F9443" s="591">
        <v>9434</v>
      </c>
      <c r="G9443" s="420">
        <f t="shared" ca="1" si="155"/>
        <v>-9.0657700138215738E-2</v>
      </c>
    </row>
    <row r="9444" spans="6:7" x14ac:dyDescent="0.2">
      <c r="F9444" s="591">
        <v>9435</v>
      </c>
      <c r="G9444" s="420">
        <f t="shared" ca="1" si="155"/>
        <v>-0.12365346985829527</v>
      </c>
    </row>
    <row r="9445" spans="6:7" x14ac:dyDescent="0.2">
      <c r="F9445" s="591">
        <v>9436</v>
      </c>
      <c r="G9445" s="420">
        <f t="shared" ca="1" si="155"/>
        <v>-8.7869649069736329E-3</v>
      </c>
    </row>
    <row r="9446" spans="6:7" x14ac:dyDescent="0.2">
      <c r="F9446" s="591">
        <v>9437</v>
      </c>
      <c r="G9446" s="420">
        <f t="shared" ca="1" si="155"/>
        <v>5.6064962805986454E-2</v>
      </c>
    </row>
    <row r="9447" spans="6:7" x14ac:dyDescent="0.2">
      <c r="F9447" s="591">
        <v>9438</v>
      </c>
      <c r="G9447" s="420">
        <f t="shared" ca="1" si="155"/>
        <v>8.391222688896896E-2</v>
      </c>
    </row>
    <row r="9448" spans="6:7" x14ac:dyDescent="0.2">
      <c r="F9448" s="591">
        <v>9439</v>
      </c>
      <c r="G9448" s="420">
        <f t="shared" ca="1" si="155"/>
        <v>-3.5250816067737639E-2</v>
      </c>
    </row>
    <row r="9449" spans="6:7" x14ac:dyDescent="0.2">
      <c r="F9449" s="591">
        <v>9440</v>
      </c>
      <c r="G9449" s="420">
        <f t="shared" ca="1" si="155"/>
        <v>-9.2734654095521757E-2</v>
      </c>
    </row>
    <row r="9450" spans="6:7" x14ac:dyDescent="0.2">
      <c r="F9450" s="591">
        <v>9441</v>
      </c>
      <c r="G9450" s="420">
        <f t="shared" ca="1" si="155"/>
        <v>-4.7004699457011065E-2</v>
      </c>
    </row>
    <row r="9451" spans="6:7" x14ac:dyDescent="0.2">
      <c r="F9451" s="591">
        <v>9442</v>
      </c>
      <c r="G9451" s="420">
        <f t="shared" ca="1" si="155"/>
        <v>0.12778744462349378</v>
      </c>
    </row>
    <row r="9452" spans="6:7" x14ac:dyDescent="0.2">
      <c r="F9452" s="591">
        <v>9443</v>
      </c>
      <c r="G9452" s="420">
        <f t="shared" ca="1" si="155"/>
        <v>4.910629908940789E-2</v>
      </c>
    </row>
    <row r="9453" spans="6:7" x14ac:dyDescent="0.2">
      <c r="F9453" s="591">
        <v>9444</v>
      </c>
      <c r="G9453" s="420">
        <f t="shared" ca="1" si="155"/>
        <v>-2.9471630984709844E-2</v>
      </c>
    </row>
    <row r="9454" spans="6:7" x14ac:dyDescent="0.2">
      <c r="F9454" s="591">
        <v>9445</v>
      </c>
      <c r="G9454" s="420">
        <f t="shared" ca="1" si="155"/>
        <v>0.17875909676926544</v>
      </c>
    </row>
    <row r="9455" spans="6:7" x14ac:dyDescent="0.2">
      <c r="F9455" s="591">
        <v>9446</v>
      </c>
      <c r="G9455" s="420">
        <f t="shared" ca="1" si="155"/>
        <v>3.2859640705194482E-2</v>
      </c>
    </row>
    <row r="9456" spans="6:7" x14ac:dyDescent="0.2">
      <c r="F9456" s="591">
        <v>9447</v>
      </c>
      <c r="G9456" s="420">
        <f t="shared" ca="1" si="155"/>
        <v>-6.0125513174204406E-2</v>
      </c>
    </row>
    <row r="9457" spans="6:7" x14ac:dyDescent="0.2">
      <c r="F9457" s="591">
        <v>9448</v>
      </c>
      <c r="G9457" s="420">
        <f t="shared" ca="1" si="155"/>
        <v>2.9341685578411859E-2</v>
      </c>
    </row>
    <row r="9458" spans="6:7" x14ac:dyDescent="0.2">
      <c r="F9458" s="591">
        <v>9449</v>
      </c>
      <c r="G9458" s="420">
        <f t="shared" ca="1" si="155"/>
        <v>-3.2870707112024042E-2</v>
      </c>
    </row>
    <row r="9459" spans="6:7" x14ac:dyDescent="0.2">
      <c r="F9459" s="591">
        <v>9450</v>
      </c>
      <c r="G9459" s="420">
        <f t="shared" ca="1" si="155"/>
        <v>-2.0221135740563913E-2</v>
      </c>
    </row>
    <row r="9460" spans="6:7" x14ac:dyDescent="0.2">
      <c r="F9460" s="591">
        <v>9451</v>
      </c>
      <c r="G9460" s="420">
        <f t="shared" ca="1" si="155"/>
        <v>2.6161759239536436E-2</v>
      </c>
    </row>
    <row r="9461" spans="6:7" x14ac:dyDescent="0.2">
      <c r="F9461" s="591">
        <v>9452</v>
      </c>
      <c r="G9461" s="420">
        <f t="shared" ca="1" si="155"/>
        <v>-1.0600713883573688E-2</v>
      </c>
    </row>
    <row r="9462" spans="6:7" x14ac:dyDescent="0.2">
      <c r="F9462" s="591">
        <v>9453</v>
      </c>
      <c r="G9462" s="420">
        <f t="shared" ca="1" si="155"/>
        <v>-1.9750105251690242E-2</v>
      </c>
    </row>
    <row r="9463" spans="6:7" x14ac:dyDescent="0.2">
      <c r="F9463" s="591">
        <v>9454</v>
      </c>
      <c r="G9463" s="420">
        <f t="shared" ca="1" si="155"/>
        <v>9.2691255625565058E-2</v>
      </c>
    </row>
    <row r="9464" spans="6:7" x14ac:dyDescent="0.2">
      <c r="F9464" s="591">
        <v>9455</v>
      </c>
      <c r="G9464" s="420">
        <f t="shared" ca="1" si="155"/>
        <v>5.731077840791711E-2</v>
      </c>
    </row>
    <row r="9465" spans="6:7" x14ac:dyDescent="0.2">
      <c r="F9465" s="591">
        <v>9456</v>
      </c>
      <c r="G9465" s="420">
        <f t="shared" ca="1" si="155"/>
        <v>3.5054976969096423E-2</v>
      </c>
    </row>
    <row r="9466" spans="6:7" x14ac:dyDescent="0.2">
      <c r="F9466" s="591">
        <v>9457</v>
      </c>
      <c r="G9466" s="420">
        <f t="shared" ca="1" si="155"/>
        <v>5.5265584537107629E-2</v>
      </c>
    </row>
    <row r="9467" spans="6:7" x14ac:dyDescent="0.2">
      <c r="F9467" s="591">
        <v>9458</v>
      </c>
      <c r="G9467" s="420">
        <f t="shared" ca="1" si="155"/>
        <v>6.1566361194290625E-2</v>
      </c>
    </row>
    <row r="9468" spans="6:7" x14ac:dyDescent="0.2">
      <c r="F9468" s="591">
        <v>9459</v>
      </c>
      <c r="G9468" s="420">
        <f t="shared" ca="1" si="155"/>
        <v>-3.525363699849042E-2</v>
      </c>
    </row>
    <row r="9469" spans="6:7" x14ac:dyDescent="0.2">
      <c r="F9469" s="591">
        <v>9460</v>
      </c>
      <c r="G9469" s="420">
        <f t="shared" ca="1" si="155"/>
        <v>3.9540230668928785E-3</v>
      </c>
    </row>
    <row r="9470" spans="6:7" x14ac:dyDescent="0.2">
      <c r="F9470" s="591">
        <v>9461</v>
      </c>
      <c r="G9470" s="420">
        <f t="shared" ca="1" si="155"/>
        <v>0.10050738942081157</v>
      </c>
    </row>
    <row r="9471" spans="6:7" x14ac:dyDescent="0.2">
      <c r="F9471" s="591">
        <v>9462</v>
      </c>
      <c r="G9471" s="420">
        <f t="shared" ca="1" si="155"/>
        <v>8.7968634745679078E-2</v>
      </c>
    </row>
    <row r="9472" spans="6:7" x14ac:dyDescent="0.2">
      <c r="F9472" s="591">
        <v>9463</v>
      </c>
      <c r="G9472" s="420">
        <f t="shared" ca="1" si="155"/>
        <v>-8.5459768176627135E-2</v>
      </c>
    </row>
    <row r="9473" spans="6:7" x14ac:dyDescent="0.2">
      <c r="F9473" s="591">
        <v>9464</v>
      </c>
      <c r="G9473" s="420">
        <f t="shared" ca="1" si="155"/>
        <v>-0.10730300780250424</v>
      </c>
    </row>
    <row r="9474" spans="6:7" x14ac:dyDescent="0.2">
      <c r="F9474" s="591">
        <v>9465</v>
      </c>
      <c r="G9474" s="420">
        <f t="shared" ca="1" si="155"/>
        <v>-2.9961146957291119E-2</v>
      </c>
    </row>
    <row r="9475" spans="6:7" x14ac:dyDescent="0.2">
      <c r="F9475" s="591">
        <v>9466</v>
      </c>
      <c r="G9475" s="420">
        <f t="shared" ca="1" si="155"/>
        <v>-3.193901298435034E-2</v>
      </c>
    </row>
    <row r="9476" spans="6:7" x14ac:dyDescent="0.2">
      <c r="F9476" s="591">
        <v>9467</v>
      </c>
      <c r="G9476" s="420">
        <f t="shared" ca="1" si="155"/>
        <v>5.1472170198601092E-3</v>
      </c>
    </row>
    <row r="9477" spans="6:7" x14ac:dyDescent="0.2">
      <c r="F9477" s="591">
        <v>9468</v>
      </c>
      <c r="G9477" s="420">
        <f t="shared" ca="1" si="155"/>
        <v>-3.7593190377697774E-2</v>
      </c>
    </row>
    <row r="9478" spans="6:7" x14ac:dyDescent="0.2">
      <c r="F9478" s="591">
        <v>9469</v>
      </c>
      <c r="G9478" s="420">
        <f t="shared" ca="1" si="155"/>
        <v>-5.7509386527754003E-2</v>
      </c>
    </row>
    <row r="9479" spans="6:7" x14ac:dyDescent="0.2">
      <c r="F9479" s="591">
        <v>9470</v>
      </c>
      <c r="G9479" s="420">
        <f t="shared" ca="1" si="155"/>
        <v>8.5699913319635973E-2</v>
      </c>
    </row>
    <row r="9480" spans="6:7" x14ac:dyDescent="0.2">
      <c r="F9480" s="591">
        <v>9471</v>
      </c>
      <c r="G9480" s="420">
        <f t="shared" ca="1" si="155"/>
        <v>9.0293405065170126E-2</v>
      </c>
    </row>
    <row r="9481" spans="6:7" x14ac:dyDescent="0.2">
      <c r="F9481" s="591">
        <v>9472</v>
      </c>
      <c r="G9481" s="420">
        <f t="shared" ca="1" si="155"/>
        <v>-8.4997054365236691E-2</v>
      </c>
    </row>
    <row r="9482" spans="6:7" x14ac:dyDescent="0.2">
      <c r="F9482" s="591">
        <v>9473</v>
      </c>
      <c r="G9482" s="420">
        <f t="shared" ca="1" si="155"/>
        <v>-3.0413633184264415E-2</v>
      </c>
    </row>
    <row r="9483" spans="6:7" x14ac:dyDescent="0.2">
      <c r="F9483" s="591">
        <v>9474</v>
      </c>
      <c r="G9483" s="420">
        <f t="shared" ref="G9483:G9546" ca="1" si="156">_xlfn.NORM.INV(RAND(), $M$11,$M$12)</f>
        <v>-1.2454629710695608E-3</v>
      </c>
    </row>
    <row r="9484" spans="6:7" x14ac:dyDescent="0.2">
      <c r="F9484" s="591">
        <v>9475</v>
      </c>
      <c r="G9484" s="420">
        <f t="shared" ca="1" si="156"/>
        <v>-7.4723071959141865E-2</v>
      </c>
    </row>
    <row r="9485" spans="6:7" x14ac:dyDescent="0.2">
      <c r="F9485" s="591">
        <v>9476</v>
      </c>
      <c r="G9485" s="420">
        <f t="shared" ca="1" si="156"/>
        <v>-6.1141609607578848E-2</v>
      </c>
    </row>
    <row r="9486" spans="6:7" x14ac:dyDescent="0.2">
      <c r="F9486" s="591">
        <v>9477</v>
      </c>
      <c r="G9486" s="420">
        <f t="shared" ca="1" si="156"/>
        <v>6.7643445982073544E-2</v>
      </c>
    </row>
    <row r="9487" spans="6:7" x14ac:dyDescent="0.2">
      <c r="F9487" s="591">
        <v>9478</v>
      </c>
      <c r="G9487" s="420">
        <f t="shared" ca="1" si="156"/>
        <v>5.9735951102218479E-2</v>
      </c>
    </row>
    <row r="9488" spans="6:7" x14ac:dyDescent="0.2">
      <c r="F9488" s="591">
        <v>9479</v>
      </c>
      <c r="G9488" s="420">
        <f t="shared" ca="1" si="156"/>
        <v>-6.3439047886126143E-2</v>
      </c>
    </row>
    <row r="9489" spans="6:7" x14ac:dyDescent="0.2">
      <c r="F9489" s="591">
        <v>9480</v>
      </c>
      <c r="G9489" s="420">
        <f t="shared" ca="1" si="156"/>
        <v>6.6361777512652154E-2</v>
      </c>
    </row>
    <row r="9490" spans="6:7" x14ac:dyDescent="0.2">
      <c r="F9490" s="591">
        <v>9481</v>
      </c>
      <c r="G9490" s="420">
        <f t="shared" ca="1" si="156"/>
        <v>-5.9113953346801376E-2</v>
      </c>
    </row>
    <row r="9491" spans="6:7" x14ac:dyDescent="0.2">
      <c r="F9491" s="591">
        <v>9482</v>
      </c>
      <c r="G9491" s="420">
        <f t="shared" ca="1" si="156"/>
        <v>-8.3525774385001264E-2</v>
      </c>
    </row>
    <row r="9492" spans="6:7" x14ac:dyDescent="0.2">
      <c r="F9492" s="591">
        <v>9483</v>
      </c>
      <c r="G9492" s="420">
        <f t="shared" ca="1" si="156"/>
        <v>4.8061924970566453E-2</v>
      </c>
    </row>
    <row r="9493" spans="6:7" x14ac:dyDescent="0.2">
      <c r="F9493" s="591">
        <v>9484</v>
      </c>
      <c r="G9493" s="420">
        <f t="shared" ca="1" si="156"/>
        <v>3.6235158128110484E-2</v>
      </c>
    </row>
    <row r="9494" spans="6:7" x14ac:dyDescent="0.2">
      <c r="F9494" s="591">
        <v>9485</v>
      </c>
      <c r="G9494" s="420">
        <f t="shared" ca="1" si="156"/>
        <v>2.0172176445121912E-2</v>
      </c>
    </row>
    <row r="9495" spans="6:7" x14ac:dyDescent="0.2">
      <c r="F9495" s="591">
        <v>9486</v>
      </c>
      <c r="G9495" s="420">
        <f t="shared" ca="1" si="156"/>
        <v>3.9309190873718244E-2</v>
      </c>
    </row>
    <row r="9496" spans="6:7" x14ac:dyDescent="0.2">
      <c r="F9496" s="591">
        <v>9487</v>
      </c>
      <c r="G9496" s="420">
        <f t="shared" ca="1" si="156"/>
        <v>7.0663780319927191E-3</v>
      </c>
    </row>
    <row r="9497" spans="6:7" x14ac:dyDescent="0.2">
      <c r="F9497" s="591">
        <v>9488</v>
      </c>
      <c r="G9497" s="420">
        <f t="shared" ca="1" si="156"/>
        <v>1.7511166486907204E-2</v>
      </c>
    </row>
    <row r="9498" spans="6:7" x14ac:dyDescent="0.2">
      <c r="F9498" s="591">
        <v>9489</v>
      </c>
      <c r="G9498" s="420">
        <f t="shared" ca="1" si="156"/>
        <v>-7.3516681458126884E-2</v>
      </c>
    </row>
    <row r="9499" spans="6:7" x14ac:dyDescent="0.2">
      <c r="F9499" s="591">
        <v>9490</v>
      </c>
      <c r="G9499" s="420">
        <f t="shared" ca="1" si="156"/>
        <v>-2.5406589935970149E-3</v>
      </c>
    </row>
    <row r="9500" spans="6:7" x14ac:dyDescent="0.2">
      <c r="F9500" s="591">
        <v>9491</v>
      </c>
      <c r="G9500" s="420">
        <f t="shared" ca="1" si="156"/>
        <v>-1.1879574548113669E-2</v>
      </c>
    </row>
    <row r="9501" spans="6:7" x14ac:dyDescent="0.2">
      <c r="F9501" s="591">
        <v>9492</v>
      </c>
      <c r="G9501" s="420">
        <f t="shared" ca="1" si="156"/>
        <v>4.348569263683312E-2</v>
      </c>
    </row>
    <row r="9502" spans="6:7" x14ac:dyDescent="0.2">
      <c r="F9502" s="591">
        <v>9493</v>
      </c>
      <c r="G9502" s="420">
        <f t="shared" ca="1" si="156"/>
        <v>7.4152070755565527E-2</v>
      </c>
    </row>
    <row r="9503" spans="6:7" x14ac:dyDescent="0.2">
      <c r="F9503" s="591">
        <v>9494</v>
      </c>
      <c r="G9503" s="420">
        <f t="shared" ca="1" si="156"/>
        <v>5.5968268960762971E-2</v>
      </c>
    </row>
    <row r="9504" spans="6:7" x14ac:dyDescent="0.2">
      <c r="F9504" s="591">
        <v>9495</v>
      </c>
      <c r="G9504" s="420">
        <f t="shared" ca="1" si="156"/>
        <v>-2.7683567559867495E-2</v>
      </c>
    </row>
    <row r="9505" spans="6:7" x14ac:dyDescent="0.2">
      <c r="F9505" s="591">
        <v>9496</v>
      </c>
      <c r="G9505" s="420">
        <f t="shared" ca="1" si="156"/>
        <v>7.8255491720381265E-2</v>
      </c>
    </row>
    <row r="9506" spans="6:7" x14ac:dyDescent="0.2">
      <c r="F9506" s="591">
        <v>9497</v>
      </c>
      <c r="G9506" s="420">
        <f t="shared" ca="1" si="156"/>
        <v>2.9912315248506939E-2</v>
      </c>
    </row>
    <row r="9507" spans="6:7" x14ac:dyDescent="0.2">
      <c r="F9507" s="591">
        <v>9498</v>
      </c>
      <c r="G9507" s="420">
        <f t="shared" ca="1" si="156"/>
        <v>8.8185138845722974E-2</v>
      </c>
    </row>
    <row r="9508" spans="6:7" x14ac:dyDescent="0.2">
      <c r="F9508" s="591">
        <v>9499</v>
      </c>
      <c r="G9508" s="420">
        <f t="shared" ca="1" si="156"/>
        <v>-1.6809145363576028E-3</v>
      </c>
    </row>
    <row r="9509" spans="6:7" x14ac:dyDescent="0.2">
      <c r="F9509" s="591">
        <v>9500</v>
      </c>
      <c r="G9509" s="420">
        <f t="shared" ca="1" si="156"/>
        <v>-3.2932688942665447E-2</v>
      </c>
    </row>
    <row r="9510" spans="6:7" x14ac:dyDescent="0.2">
      <c r="F9510" s="591">
        <v>9501</v>
      </c>
      <c r="G9510" s="420">
        <f t="shared" ca="1" si="156"/>
        <v>-2.5766473581125233E-2</v>
      </c>
    </row>
    <row r="9511" spans="6:7" x14ac:dyDescent="0.2">
      <c r="F9511" s="591">
        <v>9502</v>
      </c>
      <c r="G9511" s="420">
        <f t="shared" ca="1" si="156"/>
        <v>-1.7222119881094532E-2</v>
      </c>
    </row>
    <row r="9512" spans="6:7" x14ac:dyDescent="0.2">
      <c r="F9512" s="591">
        <v>9503</v>
      </c>
      <c r="G9512" s="420">
        <f t="shared" ca="1" si="156"/>
        <v>1.2032552059532587E-2</v>
      </c>
    </row>
    <row r="9513" spans="6:7" x14ac:dyDescent="0.2">
      <c r="F9513" s="591">
        <v>9504</v>
      </c>
      <c r="G9513" s="420">
        <f t="shared" ca="1" si="156"/>
        <v>9.4411723256200078E-2</v>
      </c>
    </row>
    <row r="9514" spans="6:7" x14ac:dyDescent="0.2">
      <c r="F9514" s="591">
        <v>9505</v>
      </c>
      <c r="G9514" s="420">
        <f t="shared" ca="1" si="156"/>
        <v>3.8959975196446804E-2</v>
      </c>
    </row>
    <row r="9515" spans="6:7" x14ac:dyDescent="0.2">
      <c r="F9515" s="591">
        <v>9506</v>
      </c>
      <c r="G9515" s="420">
        <f t="shared" ca="1" si="156"/>
        <v>-4.8276325398305842E-2</v>
      </c>
    </row>
    <row r="9516" spans="6:7" x14ac:dyDescent="0.2">
      <c r="F9516" s="591">
        <v>9507</v>
      </c>
      <c r="G9516" s="420">
        <f t="shared" ca="1" si="156"/>
        <v>-0.11585040742643708</v>
      </c>
    </row>
    <row r="9517" spans="6:7" x14ac:dyDescent="0.2">
      <c r="F9517" s="591">
        <v>9508</v>
      </c>
      <c r="G9517" s="420">
        <f t="shared" ca="1" si="156"/>
        <v>-2.8668658631187307E-2</v>
      </c>
    </row>
    <row r="9518" spans="6:7" x14ac:dyDescent="0.2">
      <c r="F9518" s="591">
        <v>9509</v>
      </c>
      <c r="G9518" s="420">
        <f t="shared" ca="1" si="156"/>
        <v>5.6725486409420177E-3</v>
      </c>
    </row>
    <row r="9519" spans="6:7" x14ac:dyDescent="0.2">
      <c r="F9519" s="591">
        <v>9510</v>
      </c>
      <c r="G9519" s="420">
        <f t="shared" ca="1" si="156"/>
        <v>0.11291035043363519</v>
      </c>
    </row>
    <row r="9520" spans="6:7" x14ac:dyDescent="0.2">
      <c r="F9520" s="591">
        <v>9511</v>
      </c>
      <c r="G9520" s="420">
        <f t="shared" ca="1" si="156"/>
        <v>7.7450555249585551E-2</v>
      </c>
    </row>
    <row r="9521" spans="6:7" x14ac:dyDescent="0.2">
      <c r="F9521" s="591">
        <v>9512</v>
      </c>
      <c r="G9521" s="420">
        <f t="shared" ca="1" si="156"/>
        <v>-5.0052587861562969E-2</v>
      </c>
    </row>
    <row r="9522" spans="6:7" x14ac:dyDescent="0.2">
      <c r="F9522" s="591">
        <v>9513</v>
      </c>
      <c r="G9522" s="420">
        <f t="shared" ca="1" si="156"/>
        <v>-0.13696054356934242</v>
      </c>
    </row>
    <row r="9523" spans="6:7" x14ac:dyDescent="0.2">
      <c r="F9523" s="591">
        <v>9514</v>
      </c>
      <c r="G9523" s="420">
        <f t="shared" ca="1" si="156"/>
        <v>-0.136925490580391</v>
      </c>
    </row>
    <row r="9524" spans="6:7" x14ac:dyDescent="0.2">
      <c r="F9524" s="591">
        <v>9515</v>
      </c>
      <c r="G9524" s="420">
        <f t="shared" ca="1" si="156"/>
        <v>1.8996423069598818E-2</v>
      </c>
    </row>
    <row r="9525" spans="6:7" x14ac:dyDescent="0.2">
      <c r="F9525" s="591">
        <v>9516</v>
      </c>
      <c r="G9525" s="420">
        <f t="shared" ca="1" si="156"/>
        <v>-5.9278311772147999E-2</v>
      </c>
    </row>
    <row r="9526" spans="6:7" x14ac:dyDescent="0.2">
      <c r="F9526" s="591">
        <v>9517</v>
      </c>
      <c r="G9526" s="420">
        <f t="shared" ca="1" si="156"/>
        <v>4.241524289814784E-2</v>
      </c>
    </row>
    <row r="9527" spans="6:7" x14ac:dyDescent="0.2">
      <c r="F9527" s="591">
        <v>9518</v>
      </c>
      <c r="G9527" s="420">
        <f t="shared" ca="1" si="156"/>
        <v>-6.8777907381482151E-2</v>
      </c>
    </row>
    <row r="9528" spans="6:7" x14ac:dyDescent="0.2">
      <c r="F9528" s="591">
        <v>9519</v>
      </c>
      <c r="G9528" s="420">
        <f t="shared" ca="1" si="156"/>
        <v>-4.1910375388354376E-2</v>
      </c>
    </row>
    <row r="9529" spans="6:7" x14ac:dyDescent="0.2">
      <c r="F9529" s="591">
        <v>9520</v>
      </c>
      <c r="G9529" s="420">
        <f t="shared" ca="1" si="156"/>
        <v>-4.0123919779991121E-2</v>
      </c>
    </row>
    <row r="9530" spans="6:7" x14ac:dyDescent="0.2">
      <c r="F9530" s="591">
        <v>9521</v>
      </c>
      <c r="G9530" s="420">
        <f t="shared" ca="1" si="156"/>
        <v>1.6827177411998882E-3</v>
      </c>
    </row>
    <row r="9531" spans="6:7" x14ac:dyDescent="0.2">
      <c r="F9531" s="591">
        <v>9522</v>
      </c>
      <c r="G9531" s="420">
        <f t="shared" ca="1" si="156"/>
        <v>3.7437115461896535E-2</v>
      </c>
    </row>
    <row r="9532" spans="6:7" x14ac:dyDescent="0.2">
      <c r="F9532" s="591">
        <v>9523</v>
      </c>
      <c r="G9532" s="420">
        <f t="shared" ca="1" si="156"/>
        <v>8.6550773768768227E-2</v>
      </c>
    </row>
    <row r="9533" spans="6:7" x14ac:dyDescent="0.2">
      <c r="F9533" s="591">
        <v>9524</v>
      </c>
      <c r="G9533" s="420">
        <f t="shared" ca="1" si="156"/>
        <v>-8.9251686688398543E-2</v>
      </c>
    </row>
    <row r="9534" spans="6:7" x14ac:dyDescent="0.2">
      <c r="F9534" s="591">
        <v>9525</v>
      </c>
      <c r="G9534" s="420">
        <f t="shared" ca="1" si="156"/>
        <v>9.6043667053167234E-2</v>
      </c>
    </row>
    <row r="9535" spans="6:7" x14ac:dyDescent="0.2">
      <c r="F9535" s="591">
        <v>9526</v>
      </c>
      <c r="G9535" s="420">
        <f t="shared" ca="1" si="156"/>
        <v>0.13414456712110806</v>
      </c>
    </row>
    <row r="9536" spans="6:7" x14ac:dyDescent="0.2">
      <c r="F9536" s="591">
        <v>9527</v>
      </c>
      <c r="G9536" s="420">
        <f t="shared" ca="1" si="156"/>
        <v>9.0500967427244866E-2</v>
      </c>
    </row>
    <row r="9537" spans="6:7" x14ac:dyDescent="0.2">
      <c r="F9537" s="591">
        <v>9528</v>
      </c>
      <c r="G9537" s="420">
        <f t="shared" ca="1" si="156"/>
        <v>-1.189853272253321E-2</v>
      </c>
    </row>
    <row r="9538" spans="6:7" x14ac:dyDescent="0.2">
      <c r="F9538" s="591">
        <v>9529</v>
      </c>
      <c r="G9538" s="420">
        <f t="shared" ca="1" si="156"/>
        <v>4.1281944128139833E-2</v>
      </c>
    </row>
    <row r="9539" spans="6:7" x14ac:dyDescent="0.2">
      <c r="F9539" s="591">
        <v>9530</v>
      </c>
      <c r="G9539" s="420">
        <f t="shared" ca="1" si="156"/>
        <v>-9.8207244313109843E-2</v>
      </c>
    </row>
    <row r="9540" spans="6:7" x14ac:dyDescent="0.2">
      <c r="F9540" s="591">
        <v>9531</v>
      </c>
      <c r="G9540" s="420">
        <f t="shared" ca="1" si="156"/>
        <v>0.15665186293258379</v>
      </c>
    </row>
    <row r="9541" spans="6:7" x14ac:dyDescent="0.2">
      <c r="F9541" s="591">
        <v>9532</v>
      </c>
      <c r="G9541" s="420">
        <f t="shared" ca="1" si="156"/>
        <v>-6.3212431422935242E-2</v>
      </c>
    </row>
    <row r="9542" spans="6:7" x14ac:dyDescent="0.2">
      <c r="F9542" s="591">
        <v>9533</v>
      </c>
      <c r="G9542" s="420">
        <f t="shared" ca="1" si="156"/>
        <v>-6.2085396701891712E-2</v>
      </c>
    </row>
    <row r="9543" spans="6:7" x14ac:dyDescent="0.2">
      <c r="F9543" s="591">
        <v>9534</v>
      </c>
      <c r="G9543" s="420">
        <f t="shared" ca="1" si="156"/>
        <v>-3.04409777511369E-2</v>
      </c>
    </row>
    <row r="9544" spans="6:7" x14ac:dyDescent="0.2">
      <c r="F9544" s="591">
        <v>9535</v>
      </c>
      <c r="G9544" s="420">
        <f t="shared" ca="1" si="156"/>
        <v>-3.3907413669905032E-2</v>
      </c>
    </row>
    <row r="9545" spans="6:7" x14ac:dyDescent="0.2">
      <c r="F9545" s="591">
        <v>9536</v>
      </c>
      <c r="G9545" s="420">
        <f t="shared" ca="1" si="156"/>
        <v>7.9779295806403402E-2</v>
      </c>
    </row>
    <row r="9546" spans="6:7" x14ac:dyDescent="0.2">
      <c r="F9546" s="591">
        <v>9537</v>
      </c>
      <c r="G9546" s="420">
        <f t="shared" ca="1" si="156"/>
        <v>1.1764941225486231E-2</v>
      </c>
    </row>
    <row r="9547" spans="6:7" x14ac:dyDescent="0.2">
      <c r="F9547" s="591">
        <v>9538</v>
      </c>
      <c r="G9547" s="420">
        <f t="shared" ref="G9547:G9610" ca="1" si="157">_xlfn.NORM.INV(RAND(), $M$11,$M$12)</f>
        <v>-6.4577988302759654E-2</v>
      </c>
    </row>
    <row r="9548" spans="6:7" x14ac:dyDescent="0.2">
      <c r="F9548" s="591">
        <v>9539</v>
      </c>
      <c r="G9548" s="420">
        <f t="shared" ca="1" si="157"/>
        <v>-7.4292379365667495E-3</v>
      </c>
    </row>
    <row r="9549" spans="6:7" x14ac:dyDescent="0.2">
      <c r="F9549" s="591">
        <v>9540</v>
      </c>
      <c r="G9549" s="420">
        <f t="shared" ca="1" si="157"/>
        <v>-6.9870465431639772E-2</v>
      </c>
    </row>
    <row r="9550" spans="6:7" x14ac:dyDescent="0.2">
      <c r="F9550" s="591">
        <v>9541</v>
      </c>
      <c r="G9550" s="420">
        <f t="shared" ca="1" si="157"/>
        <v>-3.8487130419120857E-2</v>
      </c>
    </row>
    <row r="9551" spans="6:7" x14ac:dyDescent="0.2">
      <c r="F9551" s="591">
        <v>9542</v>
      </c>
      <c r="G9551" s="420">
        <f t="shared" ca="1" si="157"/>
        <v>2.5474399391630341E-2</v>
      </c>
    </row>
    <row r="9552" spans="6:7" x14ac:dyDescent="0.2">
      <c r="F9552" s="591">
        <v>9543</v>
      </c>
      <c r="G9552" s="420">
        <f t="shared" ca="1" si="157"/>
        <v>9.0309199799994216E-2</v>
      </c>
    </row>
    <row r="9553" spans="6:7" x14ac:dyDescent="0.2">
      <c r="F9553" s="591">
        <v>9544</v>
      </c>
      <c r="G9553" s="420">
        <f t="shared" ca="1" si="157"/>
        <v>0.1468285482718672</v>
      </c>
    </row>
    <row r="9554" spans="6:7" x14ac:dyDescent="0.2">
      <c r="F9554" s="591">
        <v>9545</v>
      </c>
      <c r="G9554" s="420">
        <f t="shared" ca="1" si="157"/>
        <v>0.11168927242726721</v>
      </c>
    </row>
    <row r="9555" spans="6:7" x14ac:dyDescent="0.2">
      <c r="F9555" s="591">
        <v>9546</v>
      </c>
      <c r="G9555" s="420">
        <f t="shared" ca="1" si="157"/>
        <v>3.3003227410733374E-2</v>
      </c>
    </row>
    <row r="9556" spans="6:7" x14ac:dyDescent="0.2">
      <c r="F9556" s="591">
        <v>9547</v>
      </c>
      <c r="G9556" s="420">
        <f t="shared" ca="1" si="157"/>
        <v>-5.6953240718875628E-2</v>
      </c>
    </row>
    <row r="9557" spans="6:7" x14ac:dyDescent="0.2">
      <c r="F9557" s="591">
        <v>9548</v>
      </c>
      <c r="G9557" s="420">
        <f t="shared" ca="1" si="157"/>
        <v>-9.705895014055993E-2</v>
      </c>
    </row>
    <row r="9558" spans="6:7" x14ac:dyDescent="0.2">
      <c r="F9558" s="591">
        <v>9549</v>
      </c>
      <c r="G9558" s="420">
        <f t="shared" ca="1" si="157"/>
        <v>2.8655579461813688E-3</v>
      </c>
    </row>
    <row r="9559" spans="6:7" x14ac:dyDescent="0.2">
      <c r="F9559" s="591">
        <v>9550</v>
      </c>
      <c r="G9559" s="420">
        <f t="shared" ca="1" si="157"/>
        <v>-7.5277342620859583E-2</v>
      </c>
    </row>
    <row r="9560" spans="6:7" x14ac:dyDescent="0.2">
      <c r="F9560" s="591">
        <v>9551</v>
      </c>
      <c r="G9560" s="420">
        <f t="shared" ca="1" si="157"/>
        <v>-2.3848048806870092E-2</v>
      </c>
    </row>
    <row r="9561" spans="6:7" x14ac:dyDescent="0.2">
      <c r="F9561" s="591">
        <v>9552</v>
      </c>
      <c r="G9561" s="420">
        <f t="shared" ca="1" si="157"/>
        <v>1.4465166535148547E-2</v>
      </c>
    </row>
    <row r="9562" spans="6:7" x14ac:dyDescent="0.2">
      <c r="F9562" s="591">
        <v>9553</v>
      </c>
      <c r="G9562" s="420">
        <f t="shared" ca="1" si="157"/>
        <v>-9.1296238787685113E-2</v>
      </c>
    </row>
    <row r="9563" spans="6:7" x14ac:dyDescent="0.2">
      <c r="F9563" s="591">
        <v>9554</v>
      </c>
      <c r="G9563" s="420">
        <f t="shared" ca="1" si="157"/>
        <v>-6.4545739264176061E-2</v>
      </c>
    </row>
    <row r="9564" spans="6:7" x14ac:dyDescent="0.2">
      <c r="F9564" s="591">
        <v>9555</v>
      </c>
      <c r="G9564" s="420">
        <f t="shared" ca="1" si="157"/>
        <v>-4.3072024812291318E-2</v>
      </c>
    </row>
    <row r="9565" spans="6:7" x14ac:dyDescent="0.2">
      <c r="F9565" s="591">
        <v>9556</v>
      </c>
      <c r="G9565" s="420">
        <f t="shared" ca="1" si="157"/>
        <v>7.6458591552556576E-2</v>
      </c>
    </row>
    <row r="9566" spans="6:7" x14ac:dyDescent="0.2">
      <c r="F9566" s="591">
        <v>9557</v>
      </c>
      <c r="G9566" s="420">
        <f t="shared" ca="1" si="157"/>
        <v>3.4184053361445681E-3</v>
      </c>
    </row>
    <row r="9567" spans="6:7" x14ac:dyDescent="0.2">
      <c r="F9567" s="591">
        <v>9558</v>
      </c>
      <c r="G9567" s="420">
        <f t="shared" ca="1" si="157"/>
        <v>2.4091091467241262E-2</v>
      </c>
    </row>
    <row r="9568" spans="6:7" x14ac:dyDescent="0.2">
      <c r="F9568" s="591">
        <v>9559</v>
      </c>
      <c r="G9568" s="420">
        <f t="shared" ca="1" si="157"/>
        <v>-3.627857138264709E-2</v>
      </c>
    </row>
    <row r="9569" spans="6:7" x14ac:dyDescent="0.2">
      <c r="F9569" s="591">
        <v>9560</v>
      </c>
      <c r="G9569" s="420">
        <f t="shared" ca="1" si="157"/>
        <v>7.9344128808102293E-2</v>
      </c>
    </row>
    <row r="9570" spans="6:7" x14ac:dyDescent="0.2">
      <c r="F9570" s="591">
        <v>9561</v>
      </c>
      <c r="G9570" s="420">
        <f t="shared" ca="1" si="157"/>
        <v>-0.13203513247938048</v>
      </c>
    </row>
    <row r="9571" spans="6:7" x14ac:dyDescent="0.2">
      <c r="F9571" s="591">
        <v>9562</v>
      </c>
      <c r="G9571" s="420">
        <f t="shared" ca="1" si="157"/>
        <v>-9.1995186663396435E-3</v>
      </c>
    </row>
    <row r="9572" spans="6:7" x14ac:dyDescent="0.2">
      <c r="F9572" s="591">
        <v>9563</v>
      </c>
      <c r="G9572" s="420">
        <f t="shared" ca="1" si="157"/>
        <v>8.7424213853005722E-2</v>
      </c>
    </row>
    <row r="9573" spans="6:7" x14ac:dyDescent="0.2">
      <c r="F9573" s="591">
        <v>9564</v>
      </c>
      <c r="G9573" s="420">
        <f t="shared" ca="1" si="157"/>
        <v>0.10531607699806786</v>
      </c>
    </row>
    <row r="9574" spans="6:7" x14ac:dyDescent="0.2">
      <c r="F9574" s="591">
        <v>9565</v>
      </c>
      <c r="G9574" s="420">
        <f t="shared" ca="1" si="157"/>
        <v>-0.12943142379865558</v>
      </c>
    </row>
    <row r="9575" spans="6:7" x14ac:dyDescent="0.2">
      <c r="F9575" s="591">
        <v>9566</v>
      </c>
      <c r="G9575" s="420">
        <f t="shared" ca="1" si="157"/>
        <v>-1.7947212331336046E-2</v>
      </c>
    </row>
    <row r="9576" spans="6:7" x14ac:dyDescent="0.2">
      <c r="F9576" s="591">
        <v>9567</v>
      </c>
      <c r="G9576" s="420">
        <f t="shared" ca="1" si="157"/>
        <v>-2.4027248312049641E-2</v>
      </c>
    </row>
    <row r="9577" spans="6:7" x14ac:dyDescent="0.2">
      <c r="F9577" s="591">
        <v>9568</v>
      </c>
      <c r="G9577" s="420">
        <f t="shared" ca="1" si="157"/>
        <v>2.955804647645812E-2</v>
      </c>
    </row>
    <row r="9578" spans="6:7" x14ac:dyDescent="0.2">
      <c r="F9578" s="591">
        <v>9569</v>
      </c>
      <c r="G9578" s="420">
        <f t="shared" ca="1" si="157"/>
        <v>-2.7548934569293904E-2</v>
      </c>
    </row>
    <row r="9579" spans="6:7" x14ac:dyDescent="0.2">
      <c r="F9579" s="591">
        <v>9570</v>
      </c>
      <c r="G9579" s="420">
        <f t="shared" ca="1" si="157"/>
        <v>0.13463283379570995</v>
      </c>
    </row>
    <row r="9580" spans="6:7" x14ac:dyDescent="0.2">
      <c r="F9580" s="591">
        <v>9571</v>
      </c>
      <c r="G9580" s="420">
        <f t="shared" ca="1" si="157"/>
        <v>-3.0888688523848202E-2</v>
      </c>
    </row>
    <row r="9581" spans="6:7" x14ac:dyDescent="0.2">
      <c r="F9581" s="591">
        <v>9572</v>
      </c>
      <c r="G9581" s="420">
        <f t="shared" ca="1" si="157"/>
        <v>9.6855788778633101E-2</v>
      </c>
    </row>
    <row r="9582" spans="6:7" x14ac:dyDescent="0.2">
      <c r="F9582" s="591">
        <v>9573</v>
      </c>
      <c r="G9582" s="420">
        <f t="shared" ca="1" si="157"/>
        <v>-5.0024874650294801E-3</v>
      </c>
    </row>
    <row r="9583" spans="6:7" x14ac:dyDescent="0.2">
      <c r="F9583" s="591">
        <v>9574</v>
      </c>
      <c r="G9583" s="420">
        <f t="shared" ca="1" si="157"/>
        <v>-0.10551411070784557</v>
      </c>
    </row>
    <row r="9584" spans="6:7" x14ac:dyDescent="0.2">
      <c r="F9584" s="591">
        <v>9575</v>
      </c>
      <c r="G9584" s="420">
        <f t="shared" ca="1" si="157"/>
        <v>7.6495177856507085E-2</v>
      </c>
    </row>
    <row r="9585" spans="6:7" x14ac:dyDescent="0.2">
      <c r="F9585" s="591">
        <v>9576</v>
      </c>
      <c r="G9585" s="420">
        <f t="shared" ca="1" si="157"/>
        <v>-8.7375413624801515E-2</v>
      </c>
    </row>
    <row r="9586" spans="6:7" x14ac:dyDescent="0.2">
      <c r="F9586" s="591">
        <v>9577</v>
      </c>
      <c r="G9586" s="420">
        <f t="shared" ca="1" si="157"/>
        <v>-7.9898835191126102E-3</v>
      </c>
    </row>
    <row r="9587" spans="6:7" x14ac:dyDescent="0.2">
      <c r="F9587" s="591">
        <v>9578</v>
      </c>
      <c r="G9587" s="420">
        <f t="shared" ca="1" si="157"/>
        <v>-8.3754718816797399E-2</v>
      </c>
    </row>
    <row r="9588" spans="6:7" x14ac:dyDescent="0.2">
      <c r="F9588" s="591">
        <v>9579</v>
      </c>
      <c r="G9588" s="420">
        <f t="shared" ca="1" si="157"/>
        <v>-6.5220939768242774E-3</v>
      </c>
    </row>
    <row r="9589" spans="6:7" x14ac:dyDescent="0.2">
      <c r="F9589" s="591">
        <v>9580</v>
      </c>
      <c r="G9589" s="420">
        <f t="shared" ca="1" si="157"/>
        <v>6.0678399596730728E-2</v>
      </c>
    </row>
    <row r="9590" spans="6:7" x14ac:dyDescent="0.2">
      <c r="F9590" s="591">
        <v>9581</v>
      </c>
      <c r="G9590" s="420">
        <f t="shared" ca="1" si="157"/>
        <v>7.2750797588742963E-2</v>
      </c>
    </row>
    <row r="9591" spans="6:7" x14ac:dyDescent="0.2">
      <c r="F9591" s="591">
        <v>9582</v>
      </c>
      <c r="G9591" s="420">
        <f t="shared" ca="1" si="157"/>
        <v>2.4142148623916438E-3</v>
      </c>
    </row>
    <row r="9592" spans="6:7" x14ac:dyDescent="0.2">
      <c r="F9592" s="591">
        <v>9583</v>
      </c>
      <c r="G9592" s="420">
        <f t="shared" ca="1" si="157"/>
        <v>3.5687852056353456E-2</v>
      </c>
    </row>
    <row r="9593" spans="6:7" x14ac:dyDescent="0.2">
      <c r="F9593" s="591">
        <v>9584</v>
      </c>
      <c r="G9593" s="420">
        <f t="shared" ca="1" si="157"/>
        <v>2.4028750862279277E-2</v>
      </c>
    </row>
    <row r="9594" spans="6:7" x14ac:dyDescent="0.2">
      <c r="F9594" s="591">
        <v>9585</v>
      </c>
      <c r="G9594" s="420">
        <f t="shared" ca="1" si="157"/>
        <v>8.7225818988865805E-2</v>
      </c>
    </row>
    <row r="9595" spans="6:7" x14ac:dyDescent="0.2">
      <c r="F9595" s="591">
        <v>9586</v>
      </c>
      <c r="G9595" s="420">
        <f t="shared" ca="1" si="157"/>
        <v>3.3101047576723254E-2</v>
      </c>
    </row>
    <row r="9596" spans="6:7" x14ac:dyDescent="0.2">
      <c r="F9596" s="591">
        <v>9587</v>
      </c>
      <c r="G9596" s="420">
        <f t="shared" ca="1" si="157"/>
        <v>-3.6468547804740722E-3</v>
      </c>
    </row>
    <row r="9597" spans="6:7" x14ac:dyDescent="0.2">
      <c r="F9597" s="591">
        <v>9588</v>
      </c>
      <c r="G9597" s="420">
        <f t="shared" ca="1" si="157"/>
        <v>-7.0177057083719539E-3</v>
      </c>
    </row>
    <row r="9598" spans="6:7" x14ac:dyDescent="0.2">
      <c r="F9598" s="591">
        <v>9589</v>
      </c>
      <c r="G9598" s="420">
        <f t="shared" ca="1" si="157"/>
        <v>0.11038545891727368</v>
      </c>
    </row>
    <row r="9599" spans="6:7" x14ac:dyDescent="0.2">
      <c r="F9599" s="591">
        <v>9590</v>
      </c>
      <c r="G9599" s="420">
        <f t="shared" ca="1" si="157"/>
        <v>-2.5579003994624493E-2</v>
      </c>
    </row>
    <row r="9600" spans="6:7" x14ac:dyDescent="0.2">
      <c r="F9600" s="591">
        <v>9591</v>
      </c>
      <c r="G9600" s="420">
        <f t="shared" ca="1" si="157"/>
        <v>4.8355550637871655E-2</v>
      </c>
    </row>
    <row r="9601" spans="6:7" x14ac:dyDescent="0.2">
      <c r="F9601" s="591">
        <v>9592</v>
      </c>
      <c r="G9601" s="420">
        <f t="shared" ca="1" si="157"/>
        <v>3.4306987157437484E-3</v>
      </c>
    </row>
    <row r="9602" spans="6:7" x14ac:dyDescent="0.2">
      <c r="F9602" s="591">
        <v>9593</v>
      </c>
      <c r="G9602" s="420">
        <f t="shared" ca="1" si="157"/>
        <v>3.0539541172865635E-2</v>
      </c>
    </row>
    <row r="9603" spans="6:7" x14ac:dyDescent="0.2">
      <c r="F9603" s="591">
        <v>9594</v>
      </c>
      <c r="G9603" s="420">
        <f t="shared" ca="1" si="157"/>
        <v>9.0175315574012635E-2</v>
      </c>
    </row>
    <row r="9604" spans="6:7" x14ac:dyDescent="0.2">
      <c r="F9604" s="591">
        <v>9595</v>
      </c>
      <c r="G9604" s="420">
        <f t="shared" ca="1" si="157"/>
        <v>8.1276364738836149E-2</v>
      </c>
    </row>
    <row r="9605" spans="6:7" x14ac:dyDescent="0.2">
      <c r="F9605" s="591">
        <v>9596</v>
      </c>
      <c r="G9605" s="420">
        <f t="shared" ca="1" si="157"/>
        <v>-1.4959419970948514E-2</v>
      </c>
    </row>
    <row r="9606" spans="6:7" x14ac:dyDescent="0.2">
      <c r="F9606" s="591">
        <v>9597</v>
      </c>
      <c r="G9606" s="420">
        <f t="shared" ca="1" si="157"/>
        <v>-5.9326935873659142E-2</v>
      </c>
    </row>
    <row r="9607" spans="6:7" x14ac:dyDescent="0.2">
      <c r="F9607" s="591">
        <v>9598</v>
      </c>
      <c r="G9607" s="420">
        <f t="shared" ca="1" si="157"/>
        <v>5.5797187768244896E-2</v>
      </c>
    </row>
    <row r="9608" spans="6:7" x14ac:dyDescent="0.2">
      <c r="F9608" s="591">
        <v>9599</v>
      </c>
      <c r="G9608" s="420">
        <f t="shared" ca="1" si="157"/>
        <v>5.024433210626314E-2</v>
      </c>
    </row>
    <row r="9609" spans="6:7" x14ac:dyDescent="0.2">
      <c r="F9609" s="591">
        <v>9600</v>
      </c>
      <c r="G9609" s="420">
        <f t="shared" ca="1" si="157"/>
        <v>1.515371131038263E-2</v>
      </c>
    </row>
    <row r="9610" spans="6:7" x14ac:dyDescent="0.2">
      <c r="F9610" s="591">
        <v>9601</v>
      </c>
      <c r="G9610" s="420">
        <f t="shared" ca="1" si="157"/>
        <v>6.0068224919819099E-2</v>
      </c>
    </row>
    <row r="9611" spans="6:7" x14ac:dyDescent="0.2">
      <c r="F9611" s="591">
        <v>9602</v>
      </c>
      <c r="G9611" s="420">
        <f t="shared" ref="G9611:G9674" ca="1" si="158">_xlfn.NORM.INV(RAND(), $M$11,$M$12)</f>
        <v>-2.553085246032195E-2</v>
      </c>
    </row>
    <row r="9612" spans="6:7" x14ac:dyDescent="0.2">
      <c r="F9612" s="591">
        <v>9603</v>
      </c>
      <c r="G9612" s="420">
        <f t="shared" ca="1" si="158"/>
        <v>5.475613812983425E-2</v>
      </c>
    </row>
    <row r="9613" spans="6:7" x14ac:dyDescent="0.2">
      <c r="F9613" s="591">
        <v>9604</v>
      </c>
      <c r="G9613" s="420">
        <f t="shared" ca="1" si="158"/>
        <v>-5.80963914564658E-3</v>
      </c>
    </row>
    <row r="9614" spans="6:7" x14ac:dyDescent="0.2">
      <c r="F9614" s="591">
        <v>9605</v>
      </c>
      <c r="G9614" s="420">
        <f t="shared" ca="1" si="158"/>
        <v>-3.1206874100491503E-2</v>
      </c>
    </row>
    <row r="9615" spans="6:7" x14ac:dyDescent="0.2">
      <c r="F9615" s="591">
        <v>9606</v>
      </c>
      <c r="G9615" s="420">
        <f t="shared" ca="1" si="158"/>
        <v>4.3935281337398976E-2</v>
      </c>
    </row>
    <row r="9616" spans="6:7" x14ac:dyDescent="0.2">
      <c r="F9616" s="591">
        <v>9607</v>
      </c>
      <c r="G9616" s="420">
        <f t="shared" ca="1" si="158"/>
        <v>-1.3692202193253893E-2</v>
      </c>
    </row>
    <row r="9617" spans="6:7" x14ac:dyDescent="0.2">
      <c r="F9617" s="591">
        <v>9608</v>
      </c>
      <c r="G9617" s="420">
        <f t="shared" ca="1" si="158"/>
        <v>3.022889055476162E-2</v>
      </c>
    </row>
    <row r="9618" spans="6:7" x14ac:dyDescent="0.2">
      <c r="F9618" s="591">
        <v>9609</v>
      </c>
      <c r="G9618" s="420">
        <f t="shared" ca="1" si="158"/>
        <v>-0.13361018008261835</v>
      </c>
    </row>
    <row r="9619" spans="6:7" x14ac:dyDescent="0.2">
      <c r="F9619" s="591">
        <v>9610</v>
      </c>
      <c r="G9619" s="420">
        <f t="shared" ca="1" si="158"/>
        <v>-6.4560305745608532E-2</v>
      </c>
    </row>
    <row r="9620" spans="6:7" x14ac:dyDescent="0.2">
      <c r="F9620" s="591">
        <v>9611</v>
      </c>
      <c r="G9620" s="420">
        <f t="shared" ca="1" si="158"/>
        <v>0.10488534967661686</v>
      </c>
    </row>
    <row r="9621" spans="6:7" x14ac:dyDescent="0.2">
      <c r="F9621" s="591">
        <v>9612</v>
      </c>
      <c r="G9621" s="420">
        <f t="shared" ca="1" si="158"/>
        <v>9.785843412523669E-2</v>
      </c>
    </row>
    <row r="9622" spans="6:7" x14ac:dyDescent="0.2">
      <c r="F9622" s="591">
        <v>9613</v>
      </c>
      <c r="G9622" s="420">
        <f t="shared" ca="1" si="158"/>
        <v>0.13518625072449866</v>
      </c>
    </row>
    <row r="9623" spans="6:7" x14ac:dyDescent="0.2">
      <c r="F9623" s="591">
        <v>9614</v>
      </c>
      <c r="G9623" s="420">
        <f t="shared" ca="1" si="158"/>
        <v>-7.5370149083124713E-2</v>
      </c>
    </row>
    <row r="9624" spans="6:7" x14ac:dyDescent="0.2">
      <c r="F9624" s="591">
        <v>9615</v>
      </c>
      <c r="G9624" s="420">
        <f t="shared" ca="1" si="158"/>
        <v>1.7013421848526736E-2</v>
      </c>
    </row>
    <row r="9625" spans="6:7" x14ac:dyDescent="0.2">
      <c r="F9625" s="591">
        <v>9616</v>
      </c>
      <c r="G9625" s="420">
        <f t="shared" ca="1" si="158"/>
        <v>-7.7877534113476726E-3</v>
      </c>
    </row>
    <row r="9626" spans="6:7" x14ac:dyDescent="0.2">
      <c r="F9626" s="591">
        <v>9617</v>
      </c>
      <c r="G9626" s="420">
        <f t="shared" ca="1" si="158"/>
        <v>-3.9989848524993155E-2</v>
      </c>
    </row>
    <row r="9627" spans="6:7" x14ac:dyDescent="0.2">
      <c r="F9627" s="591">
        <v>9618</v>
      </c>
      <c r="G9627" s="420">
        <f t="shared" ca="1" si="158"/>
        <v>3.2498820356889363E-2</v>
      </c>
    </row>
    <row r="9628" spans="6:7" x14ac:dyDescent="0.2">
      <c r="F9628" s="591">
        <v>9619</v>
      </c>
      <c r="G9628" s="420">
        <f t="shared" ca="1" si="158"/>
        <v>6.1729919151223403E-2</v>
      </c>
    </row>
    <row r="9629" spans="6:7" x14ac:dyDescent="0.2">
      <c r="F9629" s="591">
        <v>9620</v>
      </c>
      <c r="G9629" s="420">
        <f t="shared" ca="1" si="158"/>
        <v>7.8828131307760882E-2</v>
      </c>
    </row>
    <row r="9630" spans="6:7" x14ac:dyDescent="0.2">
      <c r="F9630" s="591">
        <v>9621</v>
      </c>
      <c r="G9630" s="420">
        <f t="shared" ca="1" si="158"/>
        <v>1.5186828239264344E-2</v>
      </c>
    </row>
    <row r="9631" spans="6:7" x14ac:dyDescent="0.2">
      <c r="F9631" s="591">
        <v>9622</v>
      </c>
      <c r="G9631" s="420">
        <f t="shared" ca="1" si="158"/>
        <v>-2.6762098754990523E-2</v>
      </c>
    </row>
    <row r="9632" spans="6:7" x14ac:dyDescent="0.2">
      <c r="F9632" s="591">
        <v>9623</v>
      </c>
      <c r="G9632" s="420">
        <f t="shared" ca="1" si="158"/>
        <v>-4.3231866618181028E-2</v>
      </c>
    </row>
    <row r="9633" spans="6:7" x14ac:dyDescent="0.2">
      <c r="F9633" s="591">
        <v>9624</v>
      </c>
      <c r="G9633" s="420">
        <f t="shared" ca="1" si="158"/>
        <v>0.12126027008332062</v>
      </c>
    </row>
    <row r="9634" spans="6:7" x14ac:dyDescent="0.2">
      <c r="F9634" s="591">
        <v>9625</v>
      </c>
      <c r="G9634" s="420">
        <f t="shared" ca="1" si="158"/>
        <v>-2.3326657240925672E-2</v>
      </c>
    </row>
    <row r="9635" spans="6:7" x14ac:dyDescent="0.2">
      <c r="F9635" s="591">
        <v>9626</v>
      </c>
      <c r="G9635" s="420">
        <f t="shared" ca="1" si="158"/>
        <v>2.4799459469826333E-2</v>
      </c>
    </row>
    <row r="9636" spans="6:7" x14ac:dyDescent="0.2">
      <c r="F9636" s="591">
        <v>9627</v>
      </c>
      <c r="G9636" s="420">
        <f t="shared" ca="1" si="158"/>
        <v>9.8284769573836833E-2</v>
      </c>
    </row>
    <row r="9637" spans="6:7" x14ac:dyDescent="0.2">
      <c r="F9637" s="591">
        <v>9628</v>
      </c>
      <c r="G9637" s="420">
        <f t="shared" ca="1" si="158"/>
        <v>-9.4723767328443245E-3</v>
      </c>
    </row>
    <row r="9638" spans="6:7" x14ac:dyDescent="0.2">
      <c r="F9638" s="591">
        <v>9629</v>
      </c>
      <c r="G9638" s="420">
        <f t="shared" ca="1" si="158"/>
        <v>-4.9958436219419117E-2</v>
      </c>
    </row>
    <row r="9639" spans="6:7" x14ac:dyDescent="0.2">
      <c r="F9639" s="591">
        <v>9630</v>
      </c>
      <c r="G9639" s="420">
        <f t="shared" ca="1" si="158"/>
        <v>4.2391104383179848E-2</v>
      </c>
    </row>
    <row r="9640" spans="6:7" x14ac:dyDescent="0.2">
      <c r="F9640" s="591">
        <v>9631</v>
      </c>
      <c r="G9640" s="420">
        <f t="shared" ca="1" si="158"/>
        <v>-0.11690503576857016</v>
      </c>
    </row>
    <row r="9641" spans="6:7" x14ac:dyDescent="0.2">
      <c r="F9641" s="591">
        <v>9632</v>
      </c>
      <c r="G9641" s="420">
        <f t="shared" ca="1" si="158"/>
        <v>2.9749709333017543E-2</v>
      </c>
    </row>
    <row r="9642" spans="6:7" x14ac:dyDescent="0.2">
      <c r="F9642" s="591">
        <v>9633</v>
      </c>
      <c r="G9642" s="420">
        <f t="shared" ca="1" si="158"/>
        <v>-8.6445254283360765E-2</v>
      </c>
    </row>
    <row r="9643" spans="6:7" x14ac:dyDescent="0.2">
      <c r="F9643" s="591">
        <v>9634</v>
      </c>
      <c r="G9643" s="420">
        <f t="shared" ca="1" si="158"/>
        <v>3.4392377133530591E-2</v>
      </c>
    </row>
    <row r="9644" spans="6:7" x14ac:dyDescent="0.2">
      <c r="F9644" s="591">
        <v>9635</v>
      </c>
      <c r="G9644" s="420">
        <f t="shared" ca="1" si="158"/>
        <v>-4.4376616228883684E-2</v>
      </c>
    </row>
    <row r="9645" spans="6:7" x14ac:dyDescent="0.2">
      <c r="F9645" s="591">
        <v>9636</v>
      </c>
      <c r="G9645" s="420">
        <f t="shared" ca="1" si="158"/>
        <v>4.5633701179918183E-3</v>
      </c>
    </row>
    <row r="9646" spans="6:7" x14ac:dyDescent="0.2">
      <c r="F9646" s="591">
        <v>9637</v>
      </c>
      <c r="G9646" s="420">
        <f t="shared" ca="1" si="158"/>
        <v>5.741774983077054E-2</v>
      </c>
    </row>
    <row r="9647" spans="6:7" x14ac:dyDescent="0.2">
      <c r="F9647" s="591">
        <v>9638</v>
      </c>
      <c r="G9647" s="420">
        <f t="shared" ca="1" si="158"/>
        <v>0.14262751265719667</v>
      </c>
    </row>
    <row r="9648" spans="6:7" x14ac:dyDescent="0.2">
      <c r="F9648" s="591">
        <v>9639</v>
      </c>
      <c r="G9648" s="420">
        <f t="shared" ca="1" si="158"/>
        <v>-9.4114872893001945E-3</v>
      </c>
    </row>
    <row r="9649" spans="6:7" x14ac:dyDescent="0.2">
      <c r="F9649" s="591">
        <v>9640</v>
      </c>
      <c r="G9649" s="420">
        <f t="shared" ca="1" si="158"/>
        <v>1.4522698252816615E-3</v>
      </c>
    </row>
    <row r="9650" spans="6:7" x14ac:dyDescent="0.2">
      <c r="F9650" s="591">
        <v>9641</v>
      </c>
      <c r="G9650" s="420">
        <f t="shared" ca="1" si="158"/>
        <v>-4.6805477341637369E-2</v>
      </c>
    </row>
    <row r="9651" spans="6:7" x14ac:dyDescent="0.2">
      <c r="F9651" s="591">
        <v>9642</v>
      </c>
      <c r="G9651" s="420">
        <f t="shared" ca="1" si="158"/>
        <v>-9.2150816083053338E-2</v>
      </c>
    </row>
    <row r="9652" spans="6:7" x14ac:dyDescent="0.2">
      <c r="F9652" s="591">
        <v>9643</v>
      </c>
      <c r="G9652" s="420">
        <f t="shared" ca="1" si="158"/>
        <v>-4.6164828193870383E-2</v>
      </c>
    </row>
    <row r="9653" spans="6:7" x14ac:dyDescent="0.2">
      <c r="F9653" s="591">
        <v>9644</v>
      </c>
      <c r="G9653" s="420">
        <f t="shared" ca="1" si="158"/>
        <v>5.4843413027698254E-2</v>
      </c>
    </row>
    <row r="9654" spans="6:7" x14ac:dyDescent="0.2">
      <c r="F9654" s="591">
        <v>9645</v>
      </c>
      <c r="G9654" s="420">
        <f t="shared" ca="1" si="158"/>
        <v>6.2085658330093385E-2</v>
      </c>
    </row>
    <row r="9655" spans="6:7" x14ac:dyDescent="0.2">
      <c r="F9655" s="591">
        <v>9646</v>
      </c>
      <c r="G9655" s="420">
        <f t="shared" ca="1" si="158"/>
        <v>2.1373488362001238E-2</v>
      </c>
    </row>
    <row r="9656" spans="6:7" x14ac:dyDescent="0.2">
      <c r="F9656" s="591">
        <v>9647</v>
      </c>
      <c r="G9656" s="420">
        <f t="shared" ca="1" si="158"/>
        <v>5.6039027011953541E-2</v>
      </c>
    </row>
    <row r="9657" spans="6:7" x14ac:dyDescent="0.2">
      <c r="F9657" s="591">
        <v>9648</v>
      </c>
      <c r="G9657" s="420">
        <f t="shared" ca="1" si="158"/>
        <v>0.22657851616121666</v>
      </c>
    </row>
    <row r="9658" spans="6:7" x14ac:dyDescent="0.2">
      <c r="F9658" s="591">
        <v>9649</v>
      </c>
      <c r="G9658" s="420">
        <f t="shared" ca="1" si="158"/>
        <v>5.7776338812877387E-2</v>
      </c>
    </row>
    <row r="9659" spans="6:7" x14ac:dyDescent="0.2">
      <c r="F9659" s="591">
        <v>9650</v>
      </c>
      <c r="G9659" s="420">
        <f t="shared" ca="1" si="158"/>
        <v>9.5619923159164413E-2</v>
      </c>
    </row>
    <row r="9660" spans="6:7" x14ac:dyDescent="0.2">
      <c r="F9660" s="591">
        <v>9651</v>
      </c>
      <c r="G9660" s="420">
        <f t="shared" ca="1" si="158"/>
        <v>7.8455666348454509E-2</v>
      </c>
    </row>
    <row r="9661" spans="6:7" x14ac:dyDescent="0.2">
      <c r="F9661" s="591">
        <v>9652</v>
      </c>
      <c r="G9661" s="420">
        <f t="shared" ca="1" si="158"/>
        <v>7.5640744429423493E-2</v>
      </c>
    </row>
    <row r="9662" spans="6:7" x14ac:dyDescent="0.2">
      <c r="F9662" s="591">
        <v>9653</v>
      </c>
      <c r="G9662" s="420">
        <f t="shared" ca="1" si="158"/>
        <v>9.9534712019628449E-2</v>
      </c>
    </row>
    <row r="9663" spans="6:7" x14ac:dyDescent="0.2">
      <c r="F9663" s="591">
        <v>9654</v>
      </c>
      <c r="G9663" s="420">
        <f t="shared" ca="1" si="158"/>
        <v>7.134032856585884E-4</v>
      </c>
    </row>
    <row r="9664" spans="6:7" x14ac:dyDescent="0.2">
      <c r="F9664" s="591">
        <v>9655</v>
      </c>
      <c r="G9664" s="420">
        <f t="shared" ca="1" si="158"/>
        <v>-0.10621002135060036</v>
      </c>
    </row>
    <row r="9665" spans="6:7" x14ac:dyDescent="0.2">
      <c r="F9665" s="591">
        <v>9656</v>
      </c>
      <c r="G9665" s="420">
        <f t="shared" ca="1" si="158"/>
        <v>-2.4137437083204611E-2</v>
      </c>
    </row>
    <row r="9666" spans="6:7" x14ac:dyDescent="0.2">
      <c r="F9666" s="591">
        <v>9657</v>
      </c>
      <c r="G9666" s="420">
        <f t="shared" ca="1" si="158"/>
        <v>-3.6816846650743348E-2</v>
      </c>
    </row>
    <row r="9667" spans="6:7" x14ac:dyDescent="0.2">
      <c r="F9667" s="591">
        <v>9658</v>
      </c>
      <c r="G9667" s="420">
        <f t="shared" ca="1" si="158"/>
        <v>-1.791621246050068E-2</v>
      </c>
    </row>
    <row r="9668" spans="6:7" x14ac:dyDescent="0.2">
      <c r="F9668" s="591">
        <v>9659</v>
      </c>
      <c r="G9668" s="420">
        <f t="shared" ca="1" si="158"/>
        <v>9.7195586506530041E-2</v>
      </c>
    </row>
    <row r="9669" spans="6:7" x14ac:dyDescent="0.2">
      <c r="F9669" s="591">
        <v>9660</v>
      </c>
      <c r="G9669" s="420">
        <f t="shared" ca="1" si="158"/>
        <v>3.0969179783587177E-2</v>
      </c>
    </row>
    <row r="9670" spans="6:7" x14ac:dyDescent="0.2">
      <c r="F9670" s="591">
        <v>9661</v>
      </c>
      <c r="G9670" s="420">
        <f t="shared" ca="1" si="158"/>
        <v>-0.14654779598698664</v>
      </c>
    </row>
    <row r="9671" spans="6:7" x14ac:dyDescent="0.2">
      <c r="F9671" s="591">
        <v>9662</v>
      </c>
      <c r="G9671" s="420">
        <f t="shared" ca="1" si="158"/>
        <v>6.381074391203323E-2</v>
      </c>
    </row>
    <row r="9672" spans="6:7" x14ac:dyDescent="0.2">
      <c r="F9672" s="591">
        <v>9663</v>
      </c>
      <c r="G9672" s="420">
        <f t="shared" ca="1" si="158"/>
        <v>0.13890938943009484</v>
      </c>
    </row>
    <row r="9673" spans="6:7" x14ac:dyDescent="0.2">
      <c r="F9673" s="591">
        <v>9664</v>
      </c>
      <c r="G9673" s="420">
        <f t="shared" ca="1" si="158"/>
        <v>5.8603616267075817E-2</v>
      </c>
    </row>
    <row r="9674" spans="6:7" x14ac:dyDescent="0.2">
      <c r="F9674" s="591">
        <v>9665</v>
      </c>
      <c r="G9674" s="420">
        <f t="shared" ca="1" si="158"/>
        <v>-8.9835371551450105E-2</v>
      </c>
    </row>
    <row r="9675" spans="6:7" x14ac:dyDescent="0.2">
      <c r="F9675" s="591">
        <v>9666</v>
      </c>
      <c r="G9675" s="420">
        <f t="shared" ref="G9675:G9738" ca="1" si="159">_xlfn.NORM.INV(RAND(), $M$11,$M$12)</f>
        <v>-0.12022542459971407</v>
      </c>
    </row>
    <row r="9676" spans="6:7" x14ac:dyDescent="0.2">
      <c r="F9676" s="591">
        <v>9667</v>
      </c>
      <c r="G9676" s="420">
        <f t="shared" ca="1" si="159"/>
        <v>-1.8321134231871185E-2</v>
      </c>
    </row>
    <row r="9677" spans="6:7" x14ac:dyDescent="0.2">
      <c r="F9677" s="591">
        <v>9668</v>
      </c>
      <c r="G9677" s="420">
        <f t="shared" ca="1" si="159"/>
        <v>-3.546595109925095E-2</v>
      </c>
    </row>
    <row r="9678" spans="6:7" x14ac:dyDescent="0.2">
      <c r="F9678" s="591">
        <v>9669</v>
      </c>
      <c r="G9678" s="420">
        <f t="shared" ca="1" si="159"/>
        <v>-2.921282286303779E-2</v>
      </c>
    </row>
    <row r="9679" spans="6:7" x14ac:dyDescent="0.2">
      <c r="F9679" s="591">
        <v>9670</v>
      </c>
      <c r="G9679" s="420">
        <f t="shared" ca="1" si="159"/>
        <v>-2.3337014294628446E-2</v>
      </c>
    </row>
    <row r="9680" spans="6:7" x14ac:dyDescent="0.2">
      <c r="F9680" s="591">
        <v>9671</v>
      </c>
      <c r="G9680" s="420">
        <f t="shared" ca="1" si="159"/>
        <v>-1.7712945833332723E-2</v>
      </c>
    </row>
    <row r="9681" spans="6:7" x14ac:dyDescent="0.2">
      <c r="F9681" s="591">
        <v>9672</v>
      </c>
      <c r="G9681" s="420">
        <f t="shared" ca="1" si="159"/>
        <v>0.12432593393013742</v>
      </c>
    </row>
    <row r="9682" spans="6:7" x14ac:dyDescent="0.2">
      <c r="F9682" s="591">
        <v>9673</v>
      </c>
      <c r="G9682" s="420">
        <f t="shared" ca="1" si="159"/>
        <v>6.792814447836254E-2</v>
      </c>
    </row>
    <row r="9683" spans="6:7" x14ac:dyDescent="0.2">
      <c r="F9683" s="591">
        <v>9674</v>
      </c>
      <c r="G9683" s="420">
        <f t="shared" ca="1" si="159"/>
        <v>8.0113223269793657E-2</v>
      </c>
    </row>
    <row r="9684" spans="6:7" x14ac:dyDescent="0.2">
      <c r="F9684" s="591">
        <v>9675</v>
      </c>
      <c r="G9684" s="420">
        <f t="shared" ca="1" si="159"/>
        <v>-1.0778559622491971E-2</v>
      </c>
    </row>
    <row r="9685" spans="6:7" x14ac:dyDescent="0.2">
      <c r="F9685" s="591">
        <v>9676</v>
      </c>
      <c r="G9685" s="420">
        <f t="shared" ca="1" si="159"/>
        <v>3.7835188729168585E-2</v>
      </c>
    </row>
    <row r="9686" spans="6:7" x14ac:dyDescent="0.2">
      <c r="F9686" s="591">
        <v>9677</v>
      </c>
      <c r="G9686" s="420">
        <f t="shared" ca="1" si="159"/>
        <v>-8.8090051221077131E-2</v>
      </c>
    </row>
    <row r="9687" spans="6:7" x14ac:dyDescent="0.2">
      <c r="F9687" s="591">
        <v>9678</v>
      </c>
      <c r="G9687" s="420">
        <f t="shared" ca="1" si="159"/>
        <v>-1.6011356478692444E-3</v>
      </c>
    </row>
    <row r="9688" spans="6:7" x14ac:dyDescent="0.2">
      <c r="F9688" s="591">
        <v>9679</v>
      </c>
      <c r="G9688" s="420">
        <f t="shared" ca="1" si="159"/>
        <v>-5.8623356770143228E-3</v>
      </c>
    </row>
    <row r="9689" spans="6:7" x14ac:dyDescent="0.2">
      <c r="F9689" s="591">
        <v>9680</v>
      </c>
      <c r="G9689" s="420">
        <f t="shared" ca="1" si="159"/>
        <v>2.2228456655613887E-2</v>
      </c>
    </row>
    <row r="9690" spans="6:7" x14ac:dyDescent="0.2">
      <c r="F9690" s="591">
        <v>9681</v>
      </c>
      <c r="G9690" s="420">
        <f t="shared" ca="1" si="159"/>
        <v>0.10272043498372725</v>
      </c>
    </row>
    <row r="9691" spans="6:7" x14ac:dyDescent="0.2">
      <c r="F9691" s="591">
        <v>9682</v>
      </c>
      <c r="G9691" s="420">
        <f t="shared" ca="1" si="159"/>
        <v>7.2769628226056057E-3</v>
      </c>
    </row>
    <row r="9692" spans="6:7" x14ac:dyDescent="0.2">
      <c r="F9692" s="591">
        <v>9683</v>
      </c>
      <c r="G9692" s="420">
        <f t="shared" ca="1" si="159"/>
        <v>1.8002205473281012E-3</v>
      </c>
    </row>
    <row r="9693" spans="6:7" x14ac:dyDescent="0.2">
      <c r="F9693" s="591">
        <v>9684</v>
      </c>
      <c r="G9693" s="420">
        <f t="shared" ca="1" si="159"/>
        <v>9.2605457341482719E-3</v>
      </c>
    </row>
    <row r="9694" spans="6:7" x14ac:dyDescent="0.2">
      <c r="F9694" s="591">
        <v>9685</v>
      </c>
      <c r="G9694" s="420">
        <f t="shared" ca="1" si="159"/>
        <v>0.15736551380650865</v>
      </c>
    </row>
    <row r="9695" spans="6:7" x14ac:dyDescent="0.2">
      <c r="F9695" s="591">
        <v>9686</v>
      </c>
      <c r="G9695" s="420">
        <f t="shared" ca="1" si="159"/>
        <v>3.6356783208828222E-2</v>
      </c>
    </row>
    <row r="9696" spans="6:7" x14ac:dyDescent="0.2">
      <c r="F9696" s="591">
        <v>9687</v>
      </c>
      <c r="G9696" s="420">
        <f t="shared" ca="1" si="159"/>
        <v>-1.5361883420426915E-2</v>
      </c>
    </row>
    <row r="9697" spans="6:7" x14ac:dyDescent="0.2">
      <c r="F9697" s="591">
        <v>9688</v>
      </c>
      <c r="G9697" s="420">
        <f t="shared" ca="1" si="159"/>
        <v>8.4634689339954744E-2</v>
      </c>
    </row>
    <row r="9698" spans="6:7" x14ac:dyDescent="0.2">
      <c r="F9698" s="591">
        <v>9689</v>
      </c>
      <c r="G9698" s="420">
        <f t="shared" ca="1" si="159"/>
        <v>9.86927618571386E-2</v>
      </c>
    </row>
    <row r="9699" spans="6:7" x14ac:dyDescent="0.2">
      <c r="F9699" s="591">
        <v>9690</v>
      </c>
      <c r="G9699" s="420">
        <f t="shared" ca="1" si="159"/>
        <v>3.3888177465058983E-2</v>
      </c>
    </row>
    <row r="9700" spans="6:7" x14ac:dyDescent="0.2">
      <c r="F9700" s="591">
        <v>9691</v>
      </c>
      <c r="G9700" s="420">
        <f t="shared" ca="1" si="159"/>
        <v>0.12551794429479357</v>
      </c>
    </row>
    <row r="9701" spans="6:7" x14ac:dyDescent="0.2">
      <c r="F9701" s="591">
        <v>9692</v>
      </c>
      <c r="G9701" s="420">
        <f t="shared" ca="1" si="159"/>
        <v>-2.2007854423140166E-2</v>
      </c>
    </row>
    <row r="9702" spans="6:7" x14ac:dyDescent="0.2">
      <c r="F9702" s="591">
        <v>9693</v>
      </c>
      <c r="G9702" s="420">
        <f t="shared" ca="1" si="159"/>
        <v>6.5047086908654364E-2</v>
      </c>
    </row>
    <row r="9703" spans="6:7" x14ac:dyDescent="0.2">
      <c r="F9703" s="591">
        <v>9694</v>
      </c>
      <c r="G9703" s="420">
        <f t="shared" ca="1" si="159"/>
        <v>3.6604189941040768E-2</v>
      </c>
    </row>
    <row r="9704" spans="6:7" x14ac:dyDescent="0.2">
      <c r="F9704" s="591">
        <v>9695</v>
      </c>
      <c r="G9704" s="420">
        <f t="shared" ca="1" si="159"/>
        <v>-2.4319046835809526E-2</v>
      </c>
    </row>
    <row r="9705" spans="6:7" x14ac:dyDescent="0.2">
      <c r="F9705" s="591">
        <v>9696</v>
      </c>
      <c r="G9705" s="420">
        <f t="shared" ca="1" si="159"/>
        <v>3.8779878146743751E-3</v>
      </c>
    </row>
    <row r="9706" spans="6:7" x14ac:dyDescent="0.2">
      <c r="F9706" s="591">
        <v>9697</v>
      </c>
      <c r="G9706" s="420">
        <f t="shared" ca="1" si="159"/>
        <v>3.8593929020153822E-2</v>
      </c>
    </row>
    <row r="9707" spans="6:7" x14ac:dyDescent="0.2">
      <c r="F9707" s="591">
        <v>9698</v>
      </c>
      <c r="G9707" s="420">
        <f t="shared" ca="1" si="159"/>
        <v>-2.8164712684176921E-2</v>
      </c>
    </row>
    <row r="9708" spans="6:7" x14ac:dyDescent="0.2">
      <c r="F9708" s="591">
        <v>9699</v>
      </c>
      <c r="G9708" s="420">
        <f t="shared" ca="1" si="159"/>
        <v>-8.7492994691601031E-2</v>
      </c>
    </row>
    <row r="9709" spans="6:7" x14ac:dyDescent="0.2">
      <c r="F9709" s="591">
        <v>9700</v>
      </c>
      <c r="G9709" s="420">
        <f t="shared" ca="1" si="159"/>
        <v>-6.1668314336163391E-2</v>
      </c>
    </row>
    <row r="9710" spans="6:7" x14ac:dyDescent="0.2">
      <c r="F9710" s="591">
        <v>9701</v>
      </c>
      <c r="G9710" s="420">
        <f t="shared" ca="1" si="159"/>
        <v>0.11481606980284152</v>
      </c>
    </row>
    <row r="9711" spans="6:7" x14ac:dyDescent="0.2">
      <c r="F9711" s="591">
        <v>9702</v>
      </c>
      <c r="G9711" s="420">
        <f t="shared" ca="1" si="159"/>
        <v>-2.4656343341304118E-2</v>
      </c>
    </row>
    <row r="9712" spans="6:7" x14ac:dyDescent="0.2">
      <c r="F9712" s="591">
        <v>9703</v>
      </c>
      <c r="G9712" s="420">
        <f t="shared" ca="1" si="159"/>
        <v>-0.2115155329337374</v>
      </c>
    </row>
    <row r="9713" spans="6:7" x14ac:dyDescent="0.2">
      <c r="F9713" s="591">
        <v>9704</v>
      </c>
      <c r="G9713" s="420">
        <f t="shared" ca="1" si="159"/>
        <v>5.5052965107052557E-2</v>
      </c>
    </row>
    <row r="9714" spans="6:7" x14ac:dyDescent="0.2">
      <c r="F9714" s="591">
        <v>9705</v>
      </c>
      <c r="G9714" s="420">
        <f t="shared" ca="1" si="159"/>
        <v>-9.0840465287227168E-2</v>
      </c>
    </row>
    <row r="9715" spans="6:7" x14ac:dyDescent="0.2">
      <c r="F9715" s="591">
        <v>9706</v>
      </c>
      <c r="G9715" s="420">
        <f t="shared" ca="1" si="159"/>
        <v>7.1373147158438399E-2</v>
      </c>
    </row>
    <row r="9716" spans="6:7" x14ac:dyDescent="0.2">
      <c r="F9716" s="591">
        <v>9707</v>
      </c>
      <c r="G9716" s="420">
        <f t="shared" ca="1" si="159"/>
        <v>2.8916283904982999E-2</v>
      </c>
    </row>
    <row r="9717" spans="6:7" x14ac:dyDescent="0.2">
      <c r="F9717" s="591">
        <v>9708</v>
      </c>
      <c r="G9717" s="420">
        <f t="shared" ca="1" si="159"/>
        <v>1.9264386460971929E-2</v>
      </c>
    </row>
    <row r="9718" spans="6:7" x14ac:dyDescent="0.2">
      <c r="F9718" s="591">
        <v>9709</v>
      </c>
      <c r="G9718" s="420">
        <f t="shared" ca="1" si="159"/>
        <v>8.8061228969777333E-2</v>
      </c>
    </row>
    <row r="9719" spans="6:7" x14ac:dyDescent="0.2">
      <c r="F9719" s="591">
        <v>9710</v>
      </c>
      <c r="G9719" s="420">
        <f t="shared" ca="1" si="159"/>
        <v>1.7581875256027814E-3</v>
      </c>
    </row>
    <row r="9720" spans="6:7" x14ac:dyDescent="0.2">
      <c r="F9720" s="591">
        <v>9711</v>
      </c>
      <c r="G9720" s="420">
        <f t="shared" ca="1" si="159"/>
        <v>-6.6191041184599161E-2</v>
      </c>
    </row>
    <row r="9721" spans="6:7" x14ac:dyDescent="0.2">
      <c r="F9721" s="591">
        <v>9712</v>
      </c>
      <c r="G9721" s="420">
        <f t="shared" ca="1" si="159"/>
        <v>-9.0086111504732724E-3</v>
      </c>
    </row>
    <row r="9722" spans="6:7" x14ac:dyDescent="0.2">
      <c r="F9722" s="591">
        <v>9713</v>
      </c>
      <c r="G9722" s="420">
        <f t="shared" ca="1" si="159"/>
        <v>-1.6214207550982192E-2</v>
      </c>
    </row>
    <row r="9723" spans="6:7" x14ac:dyDescent="0.2">
      <c r="F9723" s="591">
        <v>9714</v>
      </c>
      <c r="G9723" s="420">
        <f t="shared" ca="1" si="159"/>
        <v>9.8161896334793761E-2</v>
      </c>
    </row>
    <row r="9724" spans="6:7" x14ac:dyDescent="0.2">
      <c r="F9724" s="591">
        <v>9715</v>
      </c>
      <c r="G9724" s="420">
        <f t="shared" ca="1" si="159"/>
        <v>7.2677191118810436E-2</v>
      </c>
    </row>
    <row r="9725" spans="6:7" x14ac:dyDescent="0.2">
      <c r="F9725" s="591">
        <v>9716</v>
      </c>
      <c r="G9725" s="420">
        <f t="shared" ca="1" si="159"/>
        <v>4.1586250098818264E-2</v>
      </c>
    </row>
    <row r="9726" spans="6:7" x14ac:dyDescent="0.2">
      <c r="F9726" s="591">
        <v>9717</v>
      </c>
      <c r="G9726" s="420">
        <f t="shared" ca="1" si="159"/>
        <v>-7.571175206944171E-2</v>
      </c>
    </row>
    <row r="9727" spans="6:7" x14ac:dyDescent="0.2">
      <c r="F9727" s="591">
        <v>9718</v>
      </c>
      <c r="G9727" s="420">
        <f t="shared" ca="1" si="159"/>
        <v>0.1467214136301464</v>
      </c>
    </row>
    <row r="9728" spans="6:7" x14ac:dyDescent="0.2">
      <c r="F9728" s="591">
        <v>9719</v>
      </c>
      <c r="G9728" s="420">
        <f t="shared" ca="1" si="159"/>
        <v>2.3115767578090439E-2</v>
      </c>
    </row>
    <row r="9729" spans="6:7" x14ac:dyDescent="0.2">
      <c r="F9729" s="591">
        <v>9720</v>
      </c>
      <c r="G9729" s="420">
        <f t="shared" ca="1" si="159"/>
        <v>-2.6336287759467541E-2</v>
      </c>
    </row>
    <row r="9730" spans="6:7" x14ac:dyDescent="0.2">
      <c r="F9730" s="591">
        <v>9721</v>
      </c>
      <c r="G9730" s="420">
        <f t="shared" ca="1" si="159"/>
        <v>0.12005397445851843</v>
      </c>
    </row>
    <row r="9731" spans="6:7" x14ac:dyDescent="0.2">
      <c r="F9731" s="591">
        <v>9722</v>
      </c>
      <c r="G9731" s="420">
        <f t="shared" ca="1" si="159"/>
        <v>0.19450570966675454</v>
      </c>
    </row>
    <row r="9732" spans="6:7" x14ac:dyDescent="0.2">
      <c r="F9732" s="591">
        <v>9723</v>
      </c>
      <c r="G9732" s="420">
        <f t="shared" ca="1" si="159"/>
        <v>-7.0380516119535261E-2</v>
      </c>
    </row>
    <row r="9733" spans="6:7" x14ac:dyDescent="0.2">
      <c r="F9733" s="591">
        <v>9724</v>
      </c>
      <c r="G9733" s="420">
        <f t="shared" ca="1" si="159"/>
        <v>6.2982383493563693E-2</v>
      </c>
    </row>
    <row r="9734" spans="6:7" x14ac:dyDescent="0.2">
      <c r="F9734" s="591">
        <v>9725</v>
      </c>
      <c r="G9734" s="420">
        <f t="shared" ca="1" si="159"/>
        <v>-2.2258208796770356E-2</v>
      </c>
    </row>
    <row r="9735" spans="6:7" x14ac:dyDescent="0.2">
      <c r="F9735" s="591">
        <v>9726</v>
      </c>
      <c r="G9735" s="420">
        <f t="shared" ca="1" si="159"/>
        <v>3.1600757111990181E-2</v>
      </c>
    </row>
    <row r="9736" spans="6:7" x14ac:dyDescent="0.2">
      <c r="F9736" s="591">
        <v>9727</v>
      </c>
      <c r="G9736" s="420">
        <f t="shared" ca="1" si="159"/>
        <v>2.0028999454374717E-2</v>
      </c>
    </row>
    <row r="9737" spans="6:7" x14ac:dyDescent="0.2">
      <c r="F9737" s="591">
        <v>9728</v>
      </c>
      <c r="G9737" s="420">
        <f t="shared" ca="1" si="159"/>
        <v>4.0352596744501083E-2</v>
      </c>
    </row>
    <row r="9738" spans="6:7" x14ac:dyDescent="0.2">
      <c r="F9738" s="591">
        <v>9729</v>
      </c>
      <c r="G9738" s="420">
        <f t="shared" ca="1" si="159"/>
        <v>0.12768280087296316</v>
      </c>
    </row>
    <row r="9739" spans="6:7" x14ac:dyDescent="0.2">
      <c r="F9739" s="591">
        <v>9730</v>
      </c>
      <c r="G9739" s="420">
        <f t="shared" ref="G9739:G9802" ca="1" si="160">_xlfn.NORM.INV(RAND(), $M$11,$M$12)</f>
        <v>2.6489818841120123E-2</v>
      </c>
    </row>
    <row r="9740" spans="6:7" x14ac:dyDescent="0.2">
      <c r="F9740" s="591">
        <v>9731</v>
      </c>
      <c r="G9740" s="420">
        <f t="shared" ca="1" si="160"/>
        <v>-8.9284619739005588E-2</v>
      </c>
    </row>
    <row r="9741" spans="6:7" x14ac:dyDescent="0.2">
      <c r="F9741" s="591">
        <v>9732</v>
      </c>
      <c r="G9741" s="420">
        <f t="shared" ca="1" si="160"/>
        <v>8.1888269766574748E-2</v>
      </c>
    </row>
    <row r="9742" spans="6:7" x14ac:dyDescent="0.2">
      <c r="F9742" s="591">
        <v>9733</v>
      </c>
      <c r="G9742" s="420">
        <f t="shared" ca="1" si="160"/>
        <v>-2.9731631405722717E-2</v>
      </c>
    </row>
    <row r="9743" spans="6:7" x14ac:dyDescent="0.2">
      <c r="F9743" s="591">
        <v>9734</v>
      </c>
      <c r="G9743" s="420">
        <f t="shared" ca="1" si="160"/>
        <v>-8.0312006427716992E-2</v>
      </c>
    </row>
    <row r="9744" spans="6:7" x14ac:dyDescent="0.2">
      <c r="F9744" s="591">
        <v>9735</v>
      </c>
      <c r="G9744" s="420">
        <f t="shared" ca="1" si="160"/>
        <v>7.5016587885078589E-2</v>
      </c>
    </row>
    <row r="9745" spans="6:7" x14ac:dyDescent="0.2">
      <c r="F9745" s="591">
        <v>9736</v>
      </c>
      <c r="G9745" s="420">
        <f t="shared" ca="1" si="160"/>
        <v>-8.6939636216154692E-2</v>
      </c>
    </row>
    <row r="9746" spans="6:7" x14ac:dyDescent="0.2">
      <c r="F9746" s="591">
        <v>9737</v>
      </c>
      <c r="G9746" s="420">
        <f t="shared" ca="1" si="160"/>
        <v>0.16054357348362713</v>
      </c>
    </row>
    <row r="9747" spans="6:7" x14ac:dyDescent="0.2">
      <c r="F9747" s="591">
        <v>9738</v>
      </c>
      <c r="G9747" s="420">
        <f t="shared" ca="1" si="160"/>
        <v>2.8720707562700468E-2</v>
      </c>
    </row>
    <row r="9748" spans="6:7" x14ac:dyDescent="0.2">
      <c r="F9748" s="591">
        <v>9739</v>
      </c>
      <c r="G9748" s="420">
        <f t="shared" ca="1" si="160"/>
        <v>1.8211335787780142E-3</v>
      </c>
    </row>
    <row r="9749" spans="6:7" x14ac:dyDescent="0.2">
      <c r="F9749" s="591">
        <v>9740</v>
      </c>
      <c r="G9749" s="420">
        <f t="shared" ca="1" si="160"/>
        <v>4.0394705764119979E-2</v>
      </c>
    </row>
    <row r="9750" spans="6:7" x14ac:dyDescent="0.2">
      <c r="F9750" s="591">
        <v>9741</v>
      </c>
      <c r="G9750" s="420">
        <f t="shared" ca="1" si="160"/>
        <v>2.9743323961496704E-2</v>
      </c>
    </row>
    <row r="9751" spans="6:7" x14ac:dyDescent="0.2">
      <c r="F9751" s="591">
        <v>9742</v>
      </c>
      <c r="G9751" s="420">
        <f t="shared" ca="1" si="160"/>
        <v>0.15418811261207535</v>
      </c>
    </row>
    <row r="9752" spans="6:7" x14ac:dyDescent="0.2">
      <c r="F9752" s="591">
        <v>9743</v>
      </c>
      <c r="G9752" s="420">
        <f t="shared" ca="1" si="160"/>
        <v>-6.9270003257499879E-2</v>
      </c>
    </row>
    <row r="9753" spans="6:7" x14ac:dyDescent="0.2">
      <c r="F9753" s="591">
        <v>9744</v>
      </c>
      <c r="G9753" s="420">
        <f t="shared" ca="1" si="160"/>
        <v>2.5964676550137851E-2</v>
      </c>
    </row>
    <row r="9754" spans="6:7" x14ac:dyDescent="0.2">
      <c r="F9754" s="591">
        <v>9745</v>
      </c>
      <c r="G9754" s="420">
        <f t="shared" ca="1" si="160"/>
        <v>2.5019995718953629E-2</v>
      </c>
    </row>
    <row r="9755" spans="6:7" x14ac:dyDescent="0.2">
      <c r="F9755" s="591">
        <v>9746</v>
      </c>
      <c r="G9755" s="420">
        <f t="shared" ca="1" si="160"/>
        <v>3.6125313698136596E-2</v>
      </c>
    </row>
    <row r="9756" spans="6:7" x14ac:dyDescent="0.2">
      <c r="F9756" s="591">
        <v>9747</v>
      </c>
      <c r="G9756" s="420">
        <f t="shared" ca="1" si="160"/>
        <v>-4.2321135511361838E-2</v>
      </c>
    </row>
    <row r="9757" spans="6:7" x14ac:dyDescent="0.2">
      <c r="F9757" s="591">
        <v>9748</v>
      </c>
      <c r="G9757" s="420">
        <f t="shared" ca="1" si="160"/>
        <v>-9.3189434567957405E-2</v>
      </c>
    </row>
    <row r="9758" spans="6:7" x14ac:dyDescent="0.2">
      <c r="F9758" s="591">
        <v>9749</v>
      </c>
      <c r="G9758" s="420">
        <f t="shared" ca="1" si="160"/>
        <v>3.7843194368886321E-2</v>
      </c>
    </row>
    <row r="9759" spans="6:7" x14ac:dyDescent="0.2">
      <c r="F9759" s="591">
        <v>9750</v>
      </c>
      <c r="G9759" s="420">
        <f t="shared" ca="1" si="160"/>
        <v>-3.5781600936045932E-3</v>
      </c>
    </row>
    <row r="9760" spans="6:7" x14ac:dyDescent="0.2">
      <c r="F9760" s="591">
        <v>9751</v>
      </c>
      <c r="G9760" s="420">
        <f t="shared" ca="1" si="160"/>
        <v>0.11579530994197552</v>
      </c>
    </row>
    <row r="9761" spans="6:7" x14ac:dyDescent="0.2">
      <c r="F9761" s="591">
        <v>9752</v>
      </c>
      <c r="G9761" s="420">
        <f t="shared" ca="1" si="160"/>
        <v>-3.7065775822863675E-2</v>
      </c>
    </row>
    <row r="9762" spans="6:7" x14ac:dyDescent="0.2">
      <c r="F9762" s="591">
        <v>9753</v>
      </c>
      <c r="G9762" s="420">
        <f t="shared" ca="1" si="160"/>
        <v>-6.9883436724538575E-3</v>
      </c>
    </row>
    <row r="9763" spans="6:7" x14ac:dyDescent="0.2">
      <c r="F9763" s="591">
        <v>9754</v>
      </c>
      <c r="G9763" s="420">
        <f t="shared" ca="1" si="160"/>
        <v>-1.7281846879088254E-2</v>
      </c>
    </row>
    <row r="9764" spans="6:7" x14ac:dyDescent="0.2">
      <c r="F9764" s="591">
        <v>9755</v>
      </c>
      <c r="G9764" s="420">
        <f t="shared" ca="1" si="160"/>
        <v>0.10998494456452639</v>
      </c>
    </row>
    <row r="9765" spans="6:7" x14ac:dyDescent="0.2">
      <c r="F9765" s="591">
        <v>9756</v>
      </c>
      <c r="G9765" s="420">
        <f t="shared" ca="1" si="160"/>
        <v>2.7750046882733886E-2</v>
      </c>
    </row>
    <row r="9766" spans="6:7" x14ac:dyDescent="0.2">
      <c r="F9766" s="591">
        <v>9757</v>
      </c>
      <c r="G9766" s="420">
        <f t="shared" ca="1" si="160"/>
        <v>-6.094734850760411E-3</v>
      </c>
    </row>
    <row r="9767" spans="6:7" x14ac:dyDescent="0.2">
      <c r="F9767" s="591">
        <v>9758</v>
      </c>
      <c r="G9767" s="420">
        <f t="shared" ca="1" si="160"/>
        <v>-4.8908100056923864E-2</v>
      </c>
    </row>
    <row r="9768" spans="6:7" x14ac:dyDescent="0.2">
      <c r="F9768" s="591">
        <v>9759</v>
      </c>
      <c r="G9768" s="420">
        <f t="shared" ca="1" si="160"/>
        <v>4.8127230288907336E-2</v>
      </c>
    </row>
    <row r="9769" spans="6:7" x14ac:dyDescent="0.2">
      <c r="F9769" s="591">
        <v>9760</v>
      </c>
      <c r="G9769" s="420">
        <f t="shared" ca="1" si="160"/>
        <v>-2.301609064614251E-4</v>
      </c>
    </row>
    <row r="9770" spans="6:7" x14ac:dyDescent="0.2">
      <c r="F9770" s="591">
        <v>9761</v>
      </c>
      <c r="G9770" s="420">
        <f t="shared" ca="1" si="160"/>
        <v>-5.9533361440827076E-2</v>
      </c>
    </row>
    <row r="9771" spans="6:7" x14ac:dyDescent="0.2">
      <c r="F9771" s="591">
        <v>9762</v>
      </c>
      <c r="G9771" s="420">
        <f t="shared" ca="1" si="160"/>
        <v>1.8006132607757595E-2</v>
      </c>
    </row>
    <row r="9772" spans="6:7" x14ac:dyDescent="0.2">
      <c r="F9772" s="591">
        <v>9763</v>
      </c>
      <c r="G9772" s="420">
        <f t="shared" ca="1" si="160"/>
        <v>9.7394477214609809E-2</v>
      </c>
    </row>
    <row r="9773" spans="6:7" x14ac:dyDescent="0.2">
      <c r="F9773" s="591">
        <v>9764</v>
      </c>
      <c r="G9773" s="420">
        <f t="shared" ca="1" si="160"/>
        <v>9.2332083945224366E-2</v>
      </c>
    </row>
    <row r="9774" spans="6:7" x14ac:dyDescent="0.2">
      <c r="F9774" s="591">
        <v>9765</v>
      </c>
      <c r="G9774" s="420">
        <f t="shared" ca="1" si="160"/>
        <v>-8.6158641565940247E-2</v>
      </c>
    </row>
    <row r="9775" spans="6:7" x14ac:dyDescent="0.2">
      <c r="F9775" s="591">
        <v>9766</v>
      </c>
      <c r="G9775" s="420">
        <f t="shared" ca="1" si="160"/>
        <v>3.3871523679734235E-2</v>
      </c>
    </row>
    <row r="9776" spans="6:7" x14ac:dyDescent="0.2">
      <c r="F9776" s="591">
        <v>9767</v>
      </c>
      <c r="G9776" s="420">
        <f t="shared" ca="1" si="160"/>
        <v>0.11874938075734705</v>
      </c>
    </row>
    <row r="9777" spans="6:7" x14ac:dyDescent="0.2">
      <c r="F9777" s="591">
        <v>9768</v>
      </c>
      <c r="G9777" s="420">
        <f t="shared" ca="1" si="160"/>
        <v>-6.6143721952254736E-2</v>
      </c>
    </row>
    <row r="9778" spans="6:7" x14ac:dyDescent="0.2">
      <c r="F9778" s="591">
        <v>9769</v>
      </c>
      <c r="G9778" s="420">
        <f t="shared" ca="1" si="160"/>
        <v>-0.1027735441586924</v>
      </c>
    </row>
    <row r="9779" spans="6:7" x14ac:dyDescent="0.2">
      <c r="F9779" s="591">
        <v>9770</v>
      </c>
      <c r="G9779" s="420">
        <f t="shared" ca="1" si="160"/>
        <v>-6.9324329672950047E-2</v>
      </c>
    </row>
    <row r="9780" spans="6:7" x14ac:dyDescent="0.2">
      <c r="F9780" s="591">
        <v>9771</v>
      </c>
      <c r="G9780" s="420">
        <f t="shared" ca="1" si="160"/>
        <v>3.8915411072962314E-2</v>
      </c>
    </row>
    <row r="9781" spans="6:7" x14ac:dyDescent="0.2">
      <c r="F9781" s="591">
        <v>9772</v>
      </c>
      <c r="G9781" s="420">
        <f t="shared" ca="1" si="160"/>
        <v>3.7654130685691326E-3</v>
      </c>
    </row>
    <row r="9782" spans="6:7" x14ac:dyDescent="0.2">
      <c r="F9782" s="591">
        <v>9773</v>
      </c>
      <c r="G9782" s="420">
        <f t="shared" ca="1" si="160"/>
        <v>3.1944972714226152E-2</v>
      </c>
    </row>
    <row r="9783" spans="6:7" x14ac:dyDescent="0.2">
      <c r="F9783" s="591">
        <v>9774</v>
      </c>
      <c r="G9783" s="420">
        <f t="shared" ca="1" si="160"/>
        <v>0.1009679107232974</v>
      </c>
    </row>
    <row r="9784" spans="6:7" x14ac:dyDescent="0.2">
      <c r="F9784" s="591">
        <v>9775</v>
      </c>
      <c r="G9784" s="420">
        <f t="shared" ca="1" si="160"/>
        <v>-5.5119404099243131E-3</v>
      </c>
    </row>
    <row r="9785" spans="6:7" x14ac:dyDescent="0.2">
      <c r="F9785" s="591">
        <v>9776</v>
      </c>
      <c r="G9785" s="420">
        <f t="shared" ca="1" si="160"/>
        <v>-6.2185176055402441E-2</v>
      </c>
    </row>
    <row r="9786" spans="6:7" x14ac:dyDescent="0.2">
      <c r="F9786" s="591">
        <v>9777</v>
      </c>
      <c r="G9786" s="420">
        <f t="shared" ca="1" si="160"/>
        <v>8.8315884740207198E-2</v>
      </c>
    </row>
    <row r="9787" spans="6:7" x14ac:dyDescent="0.2">
      <c r="F9787" s="591">
        <v>9778</v>
      </c>
      <c r="G9787" s="420">
        <f t="shared" ca="1" si="160"/>
        <v>8.5329056020804761E-2</v>
      </c>
    </row>
    <row r="9788" spans="6:7" x14ac:dyDescent="0.2">
      <c r="F9788" s="591">
        <v>9779</v>
      </c>
      <c r="G9788" s="420">
        <f t="shared" ca="1" si="160"/>
        <v>-8.3470673654279223E-2</v>
      </c>
    </row>
    <row r="9789" spans="6:7" x14ac:dyDescent="0.2">
      <c r="F9789" s="591">
        <v>9780</v>
      </c>
      <c r="G9789" s="420">
        <f t="shared" ca="1" si="160"/>
        <v>-7.0924925356602705E-2</v>
      </c>
    </row>
    <row r="9790" spans="6:7" x14ac:dyDescent="0.2">
      <c r="F9790" s="591">
        <v>9781</v>
      </c>
      <c r="G9790" s="420">
        <f t="shared" ca="1" si="160"/>
        <v>-3.4278879712379154E-2</v>
      </c>
    </row>
    <row r="9791" spans="6:7" x14ac:dyDescent="0.2">
      <c r="F9791" s="591">
        <v>9782</v>
      </c>
      <c r="G9791" s="420">
        <f t="shared" ca="1" si="160"/>
        <v>0.11514795901003619</v>
      </c>
    </row>
    <row r="9792" spans="6:7" x14ac:dyDescent="0.2">
      <c r="F9792" s="591">
        <v>9783</v>
      </c>
      <c r="G9792" s="420">
        <f t="shared" ca="1" si="160"/>
        <v>0.10488713585780138</v>
      </c>
    </row>
    <row r="9793" spans="6:7" x14ac:dyDescent="0.2">
      <c r="F9793" s="591">
        <v>9784</v>
      </c>
      <c r="G9793" s="420">
        <f t="shared" ca="1" si="160"/>
        <v>-4.7679938005831091E-2</v>
      </c>
    </row>
    <row r="9794" spans="6:7" x14ac:dyDescent="0.2">
      <c r="F9794" s="591">
        <v>9785</v>
      </c>
      <c r="G9794" s="420">
        <f t="shared" ca="1" si="160"/>
        <v>-1.0381328645233459E-2</v>
      </c>
    </row>
    <row r="9795" spans="6:7" x14ac:dyDescent="0.2">
      <c r="F9795" s="591">
        <v>9786</v>
      </c>
      <c r="G9795" s="420">
        <f t="shared" ca="1" si="160"/>
        <v>4.5744523701493081E-2</v>
      </c>
    </row>
    <row r="9796" spans="6:7" x14ac:dyDescent="0.2">
      <c r="F9796" s="591">
        <v>9787</v>
      </c>
      <c r="G9796" s="420">
        <f t="shared" ca="1" si="160"/>
        <v>-3.7790942209313241E-2</v>
      </c>
    </row>
    <row r="9797" spans="6:7" x14ac:dyDescent="0.2">
      <c r="F9797" s="591">
        <v>9788</v>
      </c>
      <c r="G9797" s="420">
        <f t="shared" ca="1" si="160"/>
        <v>-2.2448391687529597E-2</v>
      </c>
    </row>
    <row r="9798" spans="6:7" x14ac:dyDescent="0.2">
      <c r="F9798" s="591">
        <v>9789</v>
      </c>
      <c r="G9798" s="420">
        <f t="shared" ca="1" si="160"/>
        <v>6.7615651278456618E-2</v>
      </c>
    </row>
    <row r="9799" spans="6:7" x14ac:dyDescent="0.2">
      <c r="F9799" s="591">
        <v>9790</v>
      </c>
      <c r="G9799" s="420">
        <f t="shared" ca="1" si="160"/>
        <v>0.1124013635301821</v>
      </c>
    </row>
    <row r="9800" spans="6:7" x14ac:dyDescent="0.2">
      <c r="F9800" s="591">
        <v>9791</v>
      </c>
      <c r="G9800" s="420">
        <f t="shared" ca="1" si="160"/>
        <v>-2.8406725133623811E-3</v>
      </c>
    </row>
    <row r="9801" spans="6:7" x14ac:dyDescent="0.2">
      <c r="F9801" s="591">
        <v>9792</v>
      </c>
      <c r="G9801" s="420">
        <f t="shared" ca="1" si="160"/>
        <v>-0.1010871945786096</v>
      </c>
    </row>
    <row r="9802" spans="6:7" x14ac:dyDescent="0.2">
      <c r="F9802" s="591">
        <v>9793</v>
      </c>
      <c r="G9802" s="420">
        <f t="shared" ca="1" si="160"/>
        <v>3.1139088186264464E-3</v>
      </c>
    </row>
    <row r="9803" spans="6:7" x14ac:dyDescent="0.2">
      <c r="F9803" s="591">
        <v>9794</v>
      </c>
      <c r="G9803" s="420">
        <f t="shared" ref="G9803:G9866" ca="1" si="161">_xlfn.NORM.INV(RAND(), $M$11,$M$12)</f>
        <v>-1.3016487406970822E-2</v>
      </c>
    </row>
    <row r="9804" spans="6:7" x14ac:dyDescent="0.2">
      <c r="F9804" s="591">
        <v>9795</v>
      </c>
      <c r="G9804" s="420">
        <f t="shared" ca="1" si="161"/>
        <v>2.0213163429859293E-2</v>
      </c>
    </row>
    <row r="9805" spans="6:7" x14ac:dyDescent="0.2">
      <c r="F9805" s="591">
        <v>9796</v>
      </c>
      <c r="G9805" s="420">
        <f t="shared" ca="1" si="161"/>
        <v>-0.10929960131551719</v>
      </c>
    </row>
    <row r="9806" spans="6:7" x14ac:dyDescent="0.2">
      <c r="F9806" s="591">
        <v>9797</v>
      </c>
      <c r="G9806" s="420">
        <f t="shared" ca="1" si="161"/>
        <v>4.5846141167434407E-2</v>
      </c>
    </row>
    <row r="9807" spans="6:7" x14ac:dyDescent="0.2">
      <c r="F9807" s="591">
        <v>9798</v>
      </c>
      <c r="G9807" s="420">
        <f t="shared" ca="1" si="161"/>
        <v>-8.6115134355775627E-2</v>
      </c>
    </row>
    <row r="9808" spans="6:7" x14ac:dyDescent="0.2">
      <c r="F9808" s="591">
        <v>9799</v>
      </c>
      <c r="G9808" s="420">
        <f t="shared" ca="1" si="161"/>
        <v>-2.9028011288698034E-2</v>
      </c>
    </row>
    <row r="9809" spans="6:7" x14ac:dyDescent="0.2">
      <c r="F9809" s="591">
        <v>9800</v>
      </c>
      <c r="G9809" s="420">
        <f t="shared" ca="1" si="161"/>
        <v>5.5647709317119542E-2</v>
      </c>
    </row>
    <row r="9810" spans="6:7" x14ac:dyDescent="0.2">
      <c r="F9810" s="591">
        <v>9801</v>
      </c>
      <c r="G9810" s="420">
        <f t="shared" ca="1" si="161"/>
        <v>9.4428167794956455E-2</v>
      </c>
    </row>
    <row r="9811" spans="6:7" x14ac:dyDescent="0.2">
      <c r="F9811" s="591">
        <v>9802</v>
      </c>
      <c r="G9811" s="420">
        <f t="shared" ca="1" si="161"/>
        <v>5.412349217871229E-2</v>
      </c>
    </row>
    <row r="9812" spans="6:7" x14ac:dyDescent="0.2">
      <c r="F9812" s="591">
        <v>9803</v>
      </c>
      <c r="G9812" s="420">
        <f t="shared" ca="1" si="161"/>
        <v>8.0022287551310238E-3</v>
      </c>
    </row>
    <row r="9813" spans="6:7" x14ac:dyDescent="0.2">
      <c r="F9813" s="591">
        <v>9804</v>
      </c>
      <c r="G9813" s="420">
        <f t="shared" ca="1" si="161"/>
        <v>8.4716150993141733E-4</v>
      </c>
    </row>
    <row r="9814" spans="6:7" x14ac:dyDescent="0.2">
      <c r="F9814" s="591">
        <v>9805</v>
      </c>
      <c r="G9814" s="420">
        <f t="shared" ca="1" si="161"/>
        <v>-5.5657329065294872E-2</v>
      </c>
    </row>
    <row r="9815" spans="6:7" x14ac:dyDescent="0.2">
      <c r="F9815" s="591">
        <v>9806</v>
      </c>
      <c r="G9815" s="420">
        <f t="shared" ca="1" si="161"/>
        <v>1.4966771616062155E-2</v>
      </c>
    </row>
    <row r="9816" spans="6:7" x14ac:dyDescent="0.2">
      <c r="F9816" s="591">
        <v>9807</v>
      </c>
      <c r="G9816" s="420">
        <f t="shared" ca="1" si="161"/>
        <v>2.841026401938386E-2</v>
      </c>
    </row>
    <row r="9817" spans="6:7" x14ac:dyDescent="0.2">
      <c r="F9817" s="591">
        <v>9808</v>
      </c>
      <c r="G9817" s="420">
        <f t="shared" ca="1" si="161"/>
        <v>-2.2064344584094227E-2</v>
      </c>
    </row>
    <row r="9818" spans="6:7" x14ac:dyDescent="0.2">
      <c r="F9818" s="591">
        <v>9809</v>
      </c>
      <c r="G9818" s="420">
        <f t="shared" ca="1" si="161"/>
        <v>-9.8822812763372833E-2</v>
      </c>
    </row>
    <row r="9819" spans="6:7" x14ac:dyDescent="0.2">
      <c r="F9819" s="591">
        <v>9810</v>
      </c>
      <c r="G9819" s="420">
        <f t="shared" ca="1" si="161"/>
        <v>1.9718542160284375E-2</v>
      </c>
    </row>
    <row r="9820" spans="6:7" x14ac:dyDescent="0.2">
      <c r="F9820" s="591">
        <v>9811</v>
      </c>
      <c r="G9820" s="420">
        <f t="shared" ca="1" si="161"/>
        <v>9.3226000023787475E-2</v>
      </c>
    </row>
    <row r="9821" spans="6:7" x14ac:dyDescent="0.2">
      <c r="F9821" s="591">
        <v>9812</v>
      </c>
      <c r="G9821" s="420">
        <f t="shared" ca="1" si="161"/>
        <v>-8.6861977417809939E-3</v>
      </c>
    </row>
    <row r="9822" spans="6:7" x14ac:dyDescent="0.2">
      <c r="F9822" s="591">
        <v>9813</v>
      </c>
      <c r="G9822" s="420">
        <f t="shared" ca="1" si="161"/>
        <v>1.1946008068956815E-2</v>
      </c>
    </row>
    <row r="9823" spans="6:7" x14ac:dyDescent="0.2">
      <c r="F9823" s="591">
        <v>9814</v>
      </c>
      <c r="G9823" s="420">
        <f t="shared" ca="1" si="161"/>
        <v>-5.9738655930348647E-2</v>
      </c>
    </row>
    <row r="9824" spans="6:7" x14ac:dyDescent="0.2">
      <c r="F9824" s="591">
        <v>9815</v>
      </c>
      <c r="G9824" s="420">
        <f t="shared" ca="1" si="161"/>
        <v>-0.10863449908887154</v>
      </c>
    </row>
    <row r="9825" spans="6:7" x14ac:dyDescent="0.2">
      <c r="F9825" s="591">
        <v>9816</v>
      </c>
      <c r="G9825" s="420">
        <f t="shared" ca="1" si="161"/>
        <v>6.9018878695966415E-2</v>
      </c>
    </row>
    <row r="9826" spans="6:7" x14ac:dyDescent="0.2">
      <c r="F9826" s="591">
        <v>9817</v>
      </c>
      <c r="G9826" s="420">
        <f t="shared" ca="1" si="161"/>
        <v>-9.9668796145760234E-4</v>
      </c>
    </row>
    <row r="9827" spans="6:7" x14ac:dyDescent="0.2">
      <c r="F9827" s="591">
        <v>9818</v>
      </c>
      <c r="G9827" s="420">
        <f t="shared" ca="1" si="161"/>
        <v>-1.6307195146667942E-2</v>
      </c>
    </row>
    <row r="9828" spans="6:7" x14ac:dyDescent="0.2">
      <c r="F9828" s="591">
        <v>9819</v>
      </c>
      <c r="G9828" s="420">
        <f t="shared" ca="1" si="161"/>
        <v>3.0962595360820386E-2</v>
      </c>
    </row>
    <row r="9829" spans="6:7" x14ac:dyDescent="0.2">
      <c r="F9829" s="591">
        <v>9820</v>
      </c>
      <c r="G9829" s="420">
        <f t="shared" ca="1" si="161"/>
        <v>-0.12831875647047433</v>
      </c>
    </row>
    <row r="9830" spans="6:7" x14ac:dyDescent="0.2">
      <c r="F9830" s="591">
        <v>9821</v>
      </c>
      <c r="G9830" s="420">
        <f t="shared" ca="1" si="161"/>
        <v>-5.1838245825894233E-2</v>
      </c>
    </row>
    <row r="9831" spans="6:7" x14ac:dyDescent="0.2">
      <c r="F9831" s="591">
        <v>9822</v>
      </c>
      <c r="G9831" s="420">
        <f t="shared" ca="1" si="161"/>
        <v>4.3965638728313992E-3</v>
      </c>
    </row>
    <row r="9832" spans="6:7" x14ac:dyDescent="0.2">
      <c r="F9832" s="591">
        <v>9823</v>
      </c>
      <c r="G9832" s="420">
        <f t="shared" ca="1" si="161"/>
        <v>6.3919270649317836E-2</v>
      </c>
    </row>
    <row r="9833" spans="6:7" x14ac:dyDescent="0.2">
      <c r="F9833" s="591">
        <v>9824</v>
      </c>
      <c r="G9833" s="420">
        <f t="shared" ca="1" si="161"/>
        <v>1.4921829175884326E-2</v>
      </c>
    </row>
    <row r="9834" spans="6:7" x14ac:dyDescent="0.2">
      <c r="F9834" s="591">
        <v>9825</v>
      </c>
      <c r="G9834" s="420">
        <f t="shared" ca="1" si="161"/>
        <v>9.5360463314055538E-2</v>
      </c>
    </row>
    <row r="9835" spans="6:7" x14ac:dyDescent="0.2">
      <c r="F9835" s="591">
        <v>9826</v>
      </c>
      <c r="G9835" s="420">
        <f t="shared" ca="1" si="161"/>
        <v>3.0048706439162666E-2</v>
      </c>
    </row>
    <row r="9836" spans="6:7" x14ac:dyDescent="0.2">
      <c r="F9836" s="591">
        <v>9827</v>
      </c>
      <c r="G9836" s="420">
        <f t="shared" ca="1" si="161"/>
        <v>7.9845221698095978E-2</v>
      </c>
    </row>
    <row r="9837" spans="6:7" x14ac:dyDescent="0.2">
      <c r="F9837" s="591">
        <v>9828</v>
      </c>
      <c r="G9837" s="420">
        <f t="shared" ca="1" si="161"/>
        <v>-2.9537838115917491E-2</v>
      </c>
    </row>
    <row r="9838" spans="6:7" x14ac:dyDescent="0.2">
      <c r="F9838" s="591">
        <v>9829</v>
      </c>
      <c r="G9838" s="420">
        <f t="shared" ca="1" si="161"/>
        <v>6.6561858534560051E-2</v>
      </c>
    </row>
    <row r="9839" spans="6:7" x14ac:dyDescent="0.2">
      <c r="F9839" s="591">
        <v>9830</v>
      </c>
      <c r="G9839" s="420">
        <f t="shared" ca="1" si="161"/>
        <v>-9.849760901896587E-2</v>
      </c>
    </row>
    <row r="9840" spans="6:7" x14ac:dyDescent="0.2">
      <c r="F9840" s="591">
        <v>9831</v>
      </c>
      <c r="G9840" s="420">
        <f t="shared" ca="1" si="161"/>
        <v>1.7947911397113211E-3</v>
      </c>
    </row>
    <row r="9841" spans="6:7" x14ac:dyDescent="0.2">
      <c r="F9841" s="591">
        <v>9832</v>
      </c>
      <c r="G9841" s="420">
        <f t="shared" ca="1" si="161"/>
        <v>-1.4070594146980541E-2</v>
      </c>
    </row>
    <row r="9842" spans="6:7" x14ac:dyDescent="0.2">
      <c r="F9842" s="591">
        <v>9833</v>
      </c>
      <c r="G9842" s="420">
        <f t="shared" ca="1" si="161"/>
        <v>2.9287134056952619E-2</v>
      </c>
    </row>
    <row r="9843" spans="6:7" x14ac:dyDescent="0.2">
      <c r="F9843" s="591">
        <v>9834</v>
      </c>
      <c r="G9843" s="420">
        <f t="shared" ca="1" si="161"/>
        <v>0.2701281976583042</v>
      </c>
    </row>
    <row r="9844" spans="6:7" x14ac:dyDescent="0.2">
      <c r="F9844" s="591">
        <v>9835</v>
      </c>
      <c r="G9844" s="420">
        <f t="shared" ca="1" si="161"/>
        <v>-1.3636690461280052E-2</v>
      </c>
    </row>
    <row r="9845" spans="6:7" x14ac:dyDescent="0.2">
      <c r="F9845" s="591">
        <v>9836</v>
      </c>
      <c r="G9845" s="420">
        <f t="shared" ca="1" si="161"/>
        <v>-3.8164962888349821E-2</v>
      </c>
    </row>
    <row r="9846" spans="6:7" x14ac:dyDescent="0.2">
      <c r="F9846" s="591">
        <v>9837</v>
      </c>
      <c r="G9846" s="420">
        <f t="shared" ca="1" si="161"/>
        <v>1.819701863707384E-2</v>
      </c>
    </row>
    <row r="9847" spans="6:7" x14ac:dyDescent="0.2">
      <c r="F9847" s="591">
        <v>9838</v>
      </c>
      <c r="G9847" s="420">
        <f t="shared" ca="1" si="161"/>
        <v>8.8530576012469275E-2</v>
      </c>
    </row>
    <row r="9848" spans="6:7" x14ac:dyDescent="0.2">
      <c r="F9848" s="591">
        <v>9839</v>
      </c>
      <c r="G9848" s="420">
        <f t="shared" ca="1" si="161"/>
        <v>-3.48988278941815E-2</v>
      </c>
    </row>
    <row r="9849" spans="6:7" x14ac:dyDescent="0.2">
      <c r="F9849" s="591">
        <v>9840</v>
      </c>
      <c r="G9849" s="420">
        <f t="shared" ca="1" si="161"/>
        <v>-9.1150226723349007E-2</v>
      </c>
    </row>
    <row r="9850" spans="6:7" x14ac:dyDescent="0.2">
      <c r="F9850" s="591">
        <v>9841</v>
      </c>
      <c r="G9850" s="420">
        <f t="shared" ca="1" si="161"/>
        <v>1.8930460769203093E-2</v>
      </c>
    </row>
    <row r="9851" spans="6:7" x14ac:dyDescent="0.2">
      <c r="F9851" s="591">
        <v>9842</v>
      </c>
      <c r="G9851" s="420">
        <f t="shared" ca="1" si="161"/>
        <v>-9.7194259708155317E-2</v>
      </c>
    </row>
    <row r="9852" spans="6:7" x14ac:dyDescent="0.2">
      <c r="F9852" s="591">
        <v>9843</v>
      </c>
      <c r="G9852" s="420">
        <f t="shared" ca="1" si="161"/>
        <v>6.5046169559470374E-2</v>
      </c>
    </row>
    <row r="9853" spans="6:7" x14ac:dyDescent="0.2">
      <c r="F9853" s="591">
        <v>9844</v>
      </c>
      <c r="G9853" s="420">
        <f t="shared" ca="1" si="161"/>
        <v>-3.2033858706068272E-2</v>
      </c>
    </row>
    <row r="9854" spans="6:7" x14ac:dyDescent="0.2">
      <c r="F9854" s="591">
        <v>9845</v>
      </c>
      <c r="G9854" s="420">
        <f t="shared" ca="1" si="161"/>
        <v>3.1536205446529478E-2</v>
      </c>
    </row>
    <row r="9855" spans="6:7" x14ac:dyDescent="0.2">
      <c r="F9855" s="591">
        <v>9846</v>
      </c>
      <c r="G9855" s="420">
        <f t="shared" ca="1" si="161"/>
        <v>1.0126601323968292E-2</v>
      </c>
    </row>
    <row r="9856" spans="6:7" x14ac:dyDescent="0.2">
      <c r="F9856" s="591">
        <v>9847</v>
      </c>
      <c r="G9856" s="420">
        <f t="shared" ca="1" si="161"/>
        <v>4.6630996513194425E-2</v>
      </c>
    </row>
    <row r="9857" spans="6:7" x14ac:dyDescent="0.2">
      <c r="F9857" s="591">
        <v>9848</v>
      </c>
      <c r="G9857" s="420">
        <f t="shared" ca="1" si="161"/>
        <v>0.15864399303210136</v>
      </c>
    </row>
    <row r="9858" spans="6:7" x14ac:dyDescent="0.2">
      <c r="F9858" s="591">
        <v>9849</v>
      </c>
      <c r="G9858" s="420">
        <f t="shared" ca="1" si="161"/>
        <v>7.3541512210625659E-2</v>
      </c>
    </row>
    <row r="9859" spans="6:7" x14ac:dyDescent="0.2">
      <c r="F9859" s="591">
        <v>9850</v>
      </c>
      <c r="G9859" s="420">
        <f t="shared" ca="1" si="161"/>
        <v>-1.7954347925819066E-3</v>
      </c>
    </row>
    <row r="9860" spans="6:7" x14ac:dyDescent="0.2">
      <c r="F9860" s="591">
        <v>9851</v>
      </c>
      <c r="G9860" s="420">
        <f t="shared" ca="1" si="161"/>
        <v>5.1255091749676504E-2</v>
      </c>
    </row>
    <row r="9861" spans="6:7" x14ac:dyDescent="0.2">
      <c r="F9861" s="591">
        <v>9852</v>
      </c>
      <c r="G9861" s="420">
        <f t="shared" ca="1" si="161"/>
        <v>-3.099864551104629E-2</v>
      </c>
    </row>
    <row r="9862" spans="6:7" x14ac:dyDescent="0.2">
      <c r="F9862" s="591">
        <v>9853</v>
      </c>
      <c r="G9862" s="420">
        <f t="shared" ca="1" si="161"/>
        <v>3.49883114091371E-2</v>
      </c>
    </row>
    <row r="9863" spans="6:7" x14ac:dyDescent="0.2">
      <c r="F9863" s="591">
        <v>9854</v>
      </c>
      <c r="G9863" s="420">
        <f t="shared" ca="1" si="161"/>
        <v>-1.4097479385084485E-2</v>
      </c>
    </row>
    <row r="9864" spans="6:7" x14ac:dyDescent="0.2">
      <c r="F9864" s="591">
        <v>9855</v>
      </c>
      <c r="G9864" s="420">
        <f t="shared" ca="1" si="161"/>
        <v>0.12458167763385181</v>
      </c>
    </row>
    <row r="9865" spans="6:7" x14ac:dyDescent="0.2">
      <c r="F9865" s="591">
        <v>9856</v>
      </c>
      <c r="G9865" s="420">
        <f t="shared" ca="1" si="161"/>
        <v>-1.6730213624623E-2</v>
      </c>
    </row>
    <row r="9866" spans="6:7" x14ac:dyDescent="0.2">
      <c r="F9866" s="591">
        <v>9857</v>
      </c>
      <c r="G9866" s="420">
        <f t="shared" ca="1" si="161"/>
        <v>-2.3196208730823339E-2</v>
      </c>
    </row>
    <row r="9867" spans="6:7" x14ac:dyDescent="0.2">
      <c r="F9867" s="591">
        <v>9858</v>
      </c>
      <c r="G9867" s="420">
        <f t="shared" ref="G9867:G9930" ca="1" si="162">_xlfn.NORM.INV(RAND(), $M$11,$M$12)</f>
        <v>2.1309783204061405E-2</v>
      </c>
    </row>
    <row r="9868" spans="6:7" x14ac:dyDescent="0.2">
      <c r="F9868" s="591">
        <v>9859</v>
      </c>
      <c r="G9868" s="420">
        <f t="shared" ca="1" si="162"/>
        <v>4.7937842055883806E-2</v>
      </c>
    </row>
    <row r="9869" spans="6:7" x14ac:dyDescent="0.2">
      <c r="F9869" s="591">
        <v>9860</v>
      </c>
      <c r="G9869" s="420">
        <f t="shared" ca="1" si="162"/>
        <v>5.9448345661489196E-2</v>
      </c>
    </row>
    <row r="9870" spans="6:7" x14ac:dyDescent="0.2">
      <c r="F9870" s="591">
        <v>9861</v>
      </c>
      <c r="G9870" s="420">
        <f t="shared" ca="1" si="162"/>
        <v>-6.0666356429010956E-2</v>
      </c>
    </row>
    <row r="9871" spans="6:7" x14ac:dyDescent="0.2">
      <c r="F9871" s="591">
        <v>9862</v>
      </c>
      <c r="G9871" s="420">
        <f t="shared" ca="1" si="162"/>
        <v>1.3999045582824714E-2</v>
      </c>
    </row>
    <row r="9872" spans="6:7" x14ac:dyDescent="0.2">
      <c r="F9872" s="591">
        <v>9863</v>
      </c>
      <c r="G9872" s="420">
        <f t="shared" ca="1" si="162"/>
        <v>0.10275358127046141</v>
      </c>
    </row>
    <row r="9873" spans="6:7" x14ac:dyDescent="0.2">
      <c r="F9873" s="591">
        <v>9864</v>
      </c>
      <c r="G9873" s="420">
        <f t="shared" ca="1" si="162"/>
        <v>-0.13217094293249756</v>
      </c>
    </row>
    <row r="9874" spans="6:7" x14ac:dyDescent="0.2">
      <c r="F9874" s="591">
        <v>9865</v>
      </c>
      <c r="G9874" s="420">
        <f t="shared" ca="1" si="162"/>
        <v>-3.2700168831565998E-2</v>
      </c>
    </row>
    <row r="9875" spans="6:7" x14ac:dyDescent="0.2">
      <c r="F9875" s="591">
        <v>9866</v>
      </c>
      <c r="G9875" s="420">
        <f t="shared" ca="1" si="162"/>
        <v>0.10636316709804916</v>
      </c>
    </row>
    <row r="9876" spans="6:7" x14ac:dyDescent="0.2">
      <c r="F9876" s="591">
        <v>9867</v>
      </c>
      <c r="G9876" s="420">
        <f t="shared" ca="1" si="162"/>
        <v>1.7932888184295427E-2</v>
      </c>
    </row>
    <row r="9877" spans="6:7" x14ac:dyDescent="0.2">
      <c r="F9877" s="591">
        <v>9868</v>
      </c>
      <c r="G9877" s="420">
        <f t="shared" ca="1" si="162"/>
        <v>-3.5790382751608674E-2</v>
      </c>
    </row>
    <row r="9878" spans="6:7" x14ac:dyDescent="0.2">
      <c r="F9878" s="591">
        <v>9869</v>
      </c>
      <c r="G9878" s="420">
        <f t="shared" ca="1" si="162"/>
        <v>6.6842119142006932E-3</v>
      </c>
    </row>
    <row r="9879" spans="6:7" x14ac:dyDescent="0.2">
      <c r="F9879" s="591">
        <v>9870</v>
      </c>
      <c r="G9879" s="420">
        <f t="shared" ca="1" si="162"/>
        <v>7.5111200601511344E-2</v>
      </c>
    </row>
    <row r="9880" spans="6:7" x14ac:dyDescent="0.2">
      <c r="F9880" s="591">
        <v>9871</v>
      </c>
      <c r="G9880" s="420">
        <f t="shared" ca="1" si="162"/>
        <v>4.376039152423862E-2</v>
      </c>
    </row>
    <row r="9881" spans="6:7" x14ac:dyDescent="0.2">
      <c r="F9881" s="591">
        <v>9872</v>
      </c>
      <c r="G9881" s="420">
        <f t="shared" ca="1" si="162"/>
        <v>-4.0194127044279465E-2</v>
      </c>
    </row>
    <row r="9882" spans="6:7" x14ac:dyDescent="0.2">
      <c r="F9882" s="591">
        <v>9873</v>
      </c>
      <c r="G9882" s="420">
        <f t="shared" ca="1" si="162"/>
        <v>-6.7148247259895641E-2</v>
      </c>
    </row>
    <row r="9883" spans="6:7" x14ac:dyDescent="0.2">
      <c r="F9883" s="591">
        <v>9874</v>
      </c>
      <c r="G9883" s="420">
        <f t="shared" ca="1" si="162"/>
        <v>2.1998591113361207E-2</v>
      </c>
    </row>
    <row r="9884" spans="6:7" x14ac:dyDescent="0.2">
      <c r="F9884" s="591">
        <v>9875</v>
      </c>
      <c r="G9884" s="420">
        <f t="shared" ca="1" si="162"/>
        <v>2.4075790053083163E-2</v>
      </c>
    </row>
    <row r="9885" spans="6:7" x14ac:dyDescent="0.2">
      <c r="F9885" s="591">
        <v>9876</v>
      </c>
      <c r="G9885" s="420">
        <f t="shared" ca="1" si="162"/>
        <v>0.11359050976424087</v>
      </c>
    </row>
    <row r="9886" spans="6:7" x14ac:dyDescent="0.2">
      <c r="F9886" s="591">
        <v>9877</v>
      </c>
      <c r="G9886" s="420">
        <f t="shared" ca="1" si="162"/>
        <v>-3.0564062652394797E-2</v>
      </c>
    </row>
    <row r="9887" spans="6:7" x14ac:dyDescent="0.2">
      <c r="F9887" s="591">
        <v>9878</v>
      </c>
      <c r="G9887" s="420">
        <f t="shared" ca="1" si="162"/>
        <v>3.9094705271466725E-2</v>
      </c>
    </row>
    <row r="9888" spans="6:7" x14ac:dyDescent="0.2">
      <c r="F9888" s="591">
        <v>9879</v>
      </c>
      <c r="G9888" s="420">
        <f t="shared" ca="1" si="162"/>
        <v>-0.1160416238104414</v>
      </c>
    </row>
    <row r="9889" spans="6:7" x14ac:dyDescent="0.2">
      <c r="F9889" s="591">
        <v>9880</v>
      </c>
      <c r="G9889" s="420">
        <f t="shared" ca="1" si="162"/>
        <v>9.8843694556867145E-3</v>
      </c>
    </row>
    <row r="9890" spans="6:7" x14ac:dyDescent="0.2">
      <c r="F9890" s="591">
        <v>9881</v>
      </c>
      <c r="G9890" s="420">
        <f t="shared" ca="1" si="162"/>
        <v>8.9292724603287008E-2</v>
      </c>
    </row>
    <row r="9891" spans="6:7" x14ac:dyDescent="0.2">
      <c r="F9891" s="591">
        <v>9882</v>
      </c>
      <c r="G9891" s="420">
        <f t="shared" ca="1" si="162"/>
        <v>1.7866559211298379E-2</v>
      </c>
    </row>
    <row r="9892" spans="6:7" x14ac:dyDescent="0.2">
      <c r="F9892" s="591">
        <v>9883</v>
      </c>
      <c r="G9892" s="420">
        <f t="shared" ca="1" si="162"/>
        <v>-8.0690858761906653E-2</v>
      </c>
    </row>
    <row r="9893" spans="6:7" x14ac:dyDescent="0.2">
      <c r="F9893" s="591">
        <v>9884</v>
      </c>
      <c r="G9893" s="420">
        <f t="shared" ca="1" si="162"/>
        <v>6.9572506576505544E-2</v>
      </c>
    </row>
    <row r="9894" spans="6:7" x14ac:dyDescent="0.2">
      <c r="F9894" s="591">
        <v>9885</v>
      </c>
      <c r="G9894" s="420">
        <f t="shared" ca="1" si="162"/>
        <v>1.1477750479245593E-2</v>
      </c>
    </row>
    <row r="9895" spans="6:7" x14ac:dyDescent="0.2">
      <c r="F9895" s="591">
        <v>9886</v>
      </c>
      <c r="G9895" s="420">
        <f t="shared" ca="1" si="162"/>
        <v>-4.854081533794205E-2</v>
      </c>
    </row>
    <row r="9896" spans="6:7" x14ac:dyDescent="0.2">
      <c r="F9896" s="591">
        <v>9887</v>
      </c>
      <c r="G9896" s="420">
        <f t="shared" ca="1" si="162"/>
        <v>-0.11631919135414513</v>
      </c>
    </row>
    <row r="9897" spans="6:7" x14ac:dyDescent="0.2">
      <c r="F9897" s="591">
        <v>9888</v>
      </c>
      <c r="G9897" s="420">
        <f t="shared" ca="1" si="162"/>
        <v>-3.5683330402132604E-2</v>
      </c>
    </row>
    <row r="9898" spans="6:7" x14ac:dyDescent="0.2">
      <c r="F9898" s="591">
        <v>9889</v>
      </c>
      <c r="G9898" s="420">
        <f t="shared" ca="1" si="162"/>
        <v>9.6331601175116861E-3</v>
      </c>
    </row>
    <row r="9899" spans="6:7" x14ac:dyDescent="0.2">
      <c r="F9899" s="591">
        <v>9890</v>
      </c>
      <c r="G9899" s="420">
        <f t="shared" ca="1" si="162"/>
        <v>4.2106807329618801E-2</v>
      </c>
    </row>
    <row r="9900" spans="6:7" x14ac:dyDescent="0.2">
      <c r="F9900" s="591">
        <v>9891</v>
      </c>
      <c r="G9900" s="420">
        <f t="shared" ca="1" si="162"/>
        <v>2.2825170040411309E-2</v>
      </c>
    </row>
    <row r="9901" spans="6:7" x14ac:dyDescent="0.2">
      <c r="F9901" s="591">
        <v>9892</v>
      </c>
      <c r="G9901" s="420">
        <f t="shared" ca="1" si="162"/>
        <v>4.670807646898003E-3</v>
      </c>
    </row>
    <row r="9902" spans="6:7" x14ac:dyDescent="0.2">
      <c r="F9902" s="591">
        <v>9893</v>
      </c>
      <c r="G9902" s="420">
        <f t="shared" ca="1" si="162"/>
        <v>-2.3925687014611462E-2</v>
      </c>
    </row>
    <row r="9903" spans="6:7" x14ac:dyDescent="0.2">
      <c r="F9903" s="591">
        <v>9894</v>
      </c>
      <c r="G9903" s="420">
        <f t="shared" ca="1" si="162"/>
        <v>-3.0295591794818558E-3</v>
      </c>
    </row>
    <row r="9904" spans="6:7" x14ac:dyDescent="0.2">
      <c r="F9904" s="591">
        <v>9895</v>
      </c>
      <c r="G9904" s="420">
        <f t="shared" ca="1" si="162"/>
        <v>-4.639768510204921E-2</v>
      </c>
    </row>
    <row r="9905" spans="6:7" x14ac:dyDescent="0.2">
      <c r="F9905" s="591">
        <v>9896</v>
      </c>
      <c r="G9905" s="420">
        <f t="shared" ca="1" si="162"/>
        <v>-3.4001302439862491E-2</v>
      </c>
    </row>
    <row r="9906" spans="6:7" x14ac:dyDescent="0.2">
      <c r="F9906" s="591">
        <v>9897</v>
      </c>
      <c r="G9906" s="420">
        <f t="shared" ca="1" si="162"/>
        <v>0.15898110075513411</v>
      </c>
    </row>
    <row r="9907" spans="6:7" x14ac:dyDescent="0.2">
      <c r="F9907" s="591">
        <v>9898</v>
      </c>
      <c r="G9907" s="420">
        <f t="shared" ca="1" si="162"/>
        <v>3.9586082826319827E-2</v>
      </c>
    </row>
    <row r="9908" spans="6:7" x14ac:dyDescent="0.2">
      <c r="F9908" s="591">
        <v>9899</v>
      </c>
      <c r="G9908" s="420">
        <f t="shared" ca="1" si="162"/>
        <v>-5.3556655456959493E-2</v>
      </c>
    </row>
    <row r="9909" spans="6:7" x14ac:dyDescent="0.2">
      <c r="F9909" s="591">
        <v>9900</v>
      </c>
      <c r="G9909" s="420">
        <f t="shared" ca="1" si="162"/>
        <v>7.407450976482903E-2</v>
      </c>
    </row>
    <row r="9910" spans="6:7" x14ac:dyDescent="0.2">
      <c r="F9910" s="591">
        <v>9901</v>
      </c>
      <c r="G9910" s="420">
        <f t="shared" ca="1" si="162"/>
        <v>0.16891627885575144</v>
      </c>
    </row>
    <row r="9911" spans="6:7" x14ac:dyDescent="0.2">
      <c r="F9911" s="591">
        <v>9902</v>
      </c>
      <c r="G9911" s="420">
        <f t="shared" ca="1" si="162"/>
        <v>2.9225343414857143E-2</v>
      </c>
    </row>
    <row r="9912" spans="6:7" x14ac:dyDescent="0.2">
      <c r="F9912" s="591">
        <v>9903</v>
      </c>
      <c r="G9912" s="420">
        <f t="shared" ca="1" si="162"/>
        <v>2.4568452446485298E-2</v>
      </c>
    </row>
    <row r="9913" spans="6:7" x14ac:dyDescent="0.2">
      <c r="F9913" s="591">
        <v>9904</v>
      </c>
      <c r="G9913" s="420">
        <f t="shared" ca="1" si="162"/>
        <v>2.6206217648044185E-2</v>
      </c>
    </row>
    <row r="9914" spans="6:7" x14ac:dyDescent="0.2">
      <c r="F9914" s="591">
        <v>9905</v>
      </c>
      <c r="G9914" s="420">
        <f t="shared" ca="1" si="162"/>
        <v>-7.9401390034986197E-2</v>
      </c>
    </row>
    <row r="9915" spans="6:7" x14ac:dyDescent="0.2">
      <c r="F9915" s="591">
        <v>9906</v>
      </c>
      <c r="G9915" s="420">
        <f t="shared" ca="1" si="162"/>
        <v>-4.1198365667224054E-2</v>
      </c>
    </row>
    <row r="9916" spans="6:7" x14ac:dyDescent="0.2">
      <c r="F9916" s="591">
        <v>9907</v>
      </c>
      <c r="G9916" s="420">
        <f t="shared" ca="1" si="162"/>
        <v>0.21312818647394929</v>
      </c>
    </row>
    <row r="9917" spans="6:7" x14ac:dyDescent="0.2">
      <c r="F9917" s="591">
        <v>9908</v>
      </c>
      <c r="G9917" s="420">
        <f t="shared" ca="1" si="162"/>
        <v>-9.6624856310976823E-2</v>
      </c>
    </row>
    <row r="9918" spans="6:7" x14ac:dyDescent="0.2">
      <c r="F9918" s="591">
        <v>9909</v>
      </c>
      <c r="G9918" s="420">
        <f t="shared" ca="1" si="162"/>
        <v>1.9898388643360507E-2</v>
      </c>
    </row>
    <row r="9919" spans="6:7" x14ac:dyDescent="0.2">
      <c r="F9919" s="591">
        <v>9910</v>
      </c>
      <c r="G9919" s="420">
        <f t="shared" ca="1" si="162"/>
        <v>1.114631155841652E-2</v>
      </c>
    </row>
    <row r="9920" spans="6:7" x14ac:dyDescent="0.2">
      <c r="F9920" s="591">
        <v>9911</v>
      </c>
      <c r="G9920" s="420">
        <f t="shared" ca="1" si="162"/>
        <v>-3.5635434597288629E-2</v>
      </c>
    </row>
    <row r="9921" spans="6:7" x14ac:dyDescent="0.2">
      <c r="F9921" s="591">
        <v>9912</v>
      </c>
      <c r="G9921" s="420">
        <f t="shared" ca="1" si="162"/>
        <v>-2.8982708630630283E-2</v>
      </c>
    </row>
    <row r="9922" spans="6:7" x14ac:dyDescent="0.2">
      <c r="F9922" s="591">
        <v>9913</v>
      </c>
      <c r="G9922" s="420">
        <f t="shared" ca="1" si="162"/>
        <v>2.9520635660800865E-2</v>
      </c>
    </row>
    <row r="9923" spans="6:7" x14ac:dyDescent="0.2">
      <c r="F9923" s="591">
        <v>9914</v>
      </c>
      <c r="G9923" s="420">
        <f t="shared" ca="1" si="162"/>
        <v>-0.11396344665381387</v>
      </c>
    </row>
    <row r="9924" spans="6:7" x14ac:dyDescent="0.2">
      <c r="F9924" s="591">
        <v>9915</v>
      </c>
      <c r="G9924" s="420">
        <f t="shared" ca="1" si="162"/>
        <v>-6.431617134968589E-3</v>
      </c>
    </row>
    <row r="9925" spans="6:7" x14ac:dyDescent="0.2">
      <c r="F9925" s="591">
        <v>9916</v>
      </c>
      <c r="G9925" s="420">
        <f t="shared" ca="1" si="162"/>
        <v>-2.6960738753842358E-2</v>
      </c>
    </row>
    <row r="9926" spans="6:7" x14ac:dyDescent="0.2">
      <c r="F9926" s="591">
        <v>9917</v>
      </c>
      <c r="G9926" s="420">
        <f t="shared" ca="1" si="162"/>
        <v>-4.7555655828052837E-2</v>
      </c>
    </row>
    <row r="9927" spans="6:7" x14ac:dyDescent="0.2">
      <c r="F9927" s="591">
        <v>9918</v>
      </c>
      <c r="G9927" s="420">
        <f t="shared" ca="1" si="162"/>
        <v>0.14746231767181209</v>
      </c>
    </row>
    <row r="9928" spans="6:7" x14ac:dyDescent="0.2">
      <c r="F9928" s="591">
        <v>9919</v>
      </c>
      <c r="G9928" s="420">
        <f t="shared" ca="1" si="162"/>
        <v>-4.997550670878094E-2</v>
      </c>
    </row>
    <row r="9929" spans="6:7" x14ac:dyDescent="0.2">
      <c r="F9929" s="591">
        <v>9920</v>
      </c>
      <c r="G9929" s="420">
        <f t="shared" ca="1" si="162"/>
        <v>3.2346151002619533E-2</v>
      </c>
    </row>
    <row r="9930" spans="6:7" x14ac:dyDescent="0.2">
      <c r="F9930" s="591">
        <v>9921</v>
      </c>
      <c r="G9930" s="420">
        <f t="shared" ca="1" si="162"/>
        <v>-5.9528823674004805E-2</v>
      </c>
    </row>
    <row r="9931" spans="6:7" x14ac:dyDescent="0.2">
      <c r="F9931" s="591">
        <v>9922</v>
      </c>
      <c r="G9931" s="420">
        <f t="shared" ref="G9931:G9994" ca="1" si="163">_xlfn.NORM.INV(RAND(), $M$11,$M$12)</f>
        <v>0.10140093630176117</v>
      </c>
    </row>
    <row r="9932" spans="6:7" x14ac:dyDescent="0.2">
      <c r="F9932" s="591">
        <v>9923</v>
      </c>
      <c r="G9932" s="420">
        <f t="shared" ca="1" si="163"/>
        <v>-0.12684871089833827</v>
      </c>
    </row>
    <row r="9933" spans="6:7" x14ac:dyDescent="0.2">
      <c r="F9933" s="591">
        <v>9924</v>
      </c>
      <c r="G9933" s="420">
        <f t="shared" ca="1" si="163"/>
        <v>5.0367269542044499E-2</v>
      </c>
    </row>
    <row r="9934" spans="6:7" x14ac:dyDescent="0.2">
      <c r="F9934" s="591">
        <v>9925</v>
      </c>
      <c r="G9934" s="420">
        <f t="shared" ca="1" si="163"/>
        <v>2.774234261506801E-2</v>
      </c>
    </row>
    <row r="9935" spans="6:7" x14ac:dyDescent="0.2">
      <c r="F9935" s="591">
        <v>9926</v>
      </c>
      <c r="G9935" s="420">
        <f t="shared" ca="1" si="163"/>
        <v>0.10917926688944674</v>
      </c>
    </row>
    <row r="9936" spans="6:7" x14ac:dyDescent="0.2">
      <c r="F9936" s="591">
        <v>9927</v>
      </c>
      <c r="G9936" s="420">
        <f t="shared" ca="1" si="163"/>
        <v>1.2702757508608357E-2</v>
      </c>
    </row>
    <row r="9937" spans="6:7" x14ac:dyDescent="0.2">
      <c r="F9937" s="591">
        <v>9928</v>
      </c>
      <c r="G9937" s="420">
        <f t="shared" ca="1" si="163"/>
        <v>-5.7634479240291255E-3</v>
      </c>
    </row>
    <row r="9938" spans="6:7" x14ac:dyDescent="0.2">
      <c r="F9938" s="591">
        <v>9929</v>
      </c>
      <c r="G9938" s="420">
        <f t="shared" ca="1" si="163"/>
        <v>5.678711918629396E-3</v>
      </c>
    </row>
    <row r="9939" spans="6:7" x14ac:dyDescent="0.2">
      <c r="F9939" s="591">
        <v>9930</v>
      </c>
      <c r="G9939" s="420">
        <f t="shared" ca="1" si="163"/>
        <v>-1.3240659435992091E-2</v>
      </c>
    </row>
    <row r="9940" spans="6:7" x14ac:dyDescent="0.2">
      <c r="F9940" s="591">
        <v>9931</v>
      </c>
      <c r="G9940" s="420">
        <f t="shared" ca="1" si="163"/>
        <v>1.9372297311540009E-2</v>
      </c>
    </row>
    <row r="9941" spans="6:7" x14ac:dyDescent="0.2">
      <c r="F9941" s="591">
        <v>9932</v>
      </c>
      <c r="G9941" s="420">
        <f t="shared" ca="1" si="163"/>
        <v>3.4754236783090489E-2</v>
      </c>
    </row>
    <row r="9942" spans="6:7" x14ac:dyDescent="0.2">
      <c r="F9942" s="591">
        <v>9933</v>
      </c>
      <c r="G9942" s="420">
        <f t="shared" ca="1" si="163"/>
        <v>-9.0474304324780527E-2</v>
      </c>
    </row>
    <row r="9943" spans="6:7" x14ac:dyDescent="0.2">
      <c r="F9943" s="591">
        <v>9934</v>
      </c>
      <c r="G9943" s="420">
        <f t="shared" ca="1" si="163"/>
        <v>-2.9020796051351699E-2</v>
      </c>
    </row>
    <row r="9944" spans="6:7" x14ac:dyDescent="0.2">
      <c r="F9944" s="591">
        <v>9935</v>
      </c>
      <c r="G9944" s="420">
        <f t="shared" ca="1" si="163"/>
        <v>-5.3756950759631023E-2</v>
      </c>
    </row>
    <row r="9945" spans="6:7" x14ac:dyDescent="0.2">
      <c r="F9945" s="591">
        <v>9936</v>
      </c>
      <c r="G9945" s="420">
        <f t="shared" ca="1" si="163"/>
        <v>-2.6775474803397124E-2</v>
      </c>
    </row>
    <row r="9946" spans="6:7" x14ac:dyDescent="0.2">
      <c r="F9946" s="591">
        <v>9937</v>
      </c>
      <c r="G9946" s="420">
        <f t="shared" ca="1" si="163"/>
        <v>-8.3950012343002728E-2</v>
      </c>
    </row>
    <row r="9947" spans="6:7" x14ac:dyDescent="0.2">
      <c r="F9947" s="591">
        <v>9938</v>
      </c>
      <c r="G9947" s="420">
        <f t="shared" ca="1" si="163"/>
        <v>-2.0748138233476158E-2</v>
      </c>
    </row>
    <row r="9948" spans="6:7" x14ac:dyDescent="0.2">
      <c r="F9948" s="591">
        <v>9939</v>
      </c>
      <c r="G9948" s="420">
        <f t="shared" ca="1" si="163"/>
        <v>-4.8075986144690525E-2</v>
      </c>
    </row>
    <row r="9949" spans="6:7" x14ac:dyDescent="0.2">
      <c r="F9949" s="591">
        <v>9940</v>
      </c>
      <c r="G9949" s="420">
        <f t="shared" ca="1" si="163"/>
        <v>9.8880707909159593E-2</v>
      </c>
    </row>
    <row r="9950" spans="6:7" x14ac:dyDescent="0.2">
      <c r="F9950" s="591">
        <v>9941</v>
      </c>
      <c r="G9950" s="420">
        <f t="shared" ca="1" si="163"/>
        <v>-2.9741757805270077E-2</v>
      </c>
    </row>
    <row r="9951" spans="6:7" x14ac:dyDescent="0.2">
      <c r="F9951" s="591">
        <v>9942</v>
      </c>
      <c r="G9951" s="420">
        <f t="shared" ca="1" si="163"/>
        <v>-0.14988858344728237</v>
      </c>
    </row>
    <row r="9952" spans="6:7" x14ac:dyDescent="0.2">
      <c r="F9952" s="591">
        <v>9943</v>
      </c>
      <c r="G9952" s="420">
        <f t="shared" ca="1" si="163"/>
        <v>3.2251461927070325E-2</v>
      </c>
    </row>
    <row r="9953" spans="6:7" x14ac:dyDescent="0.2">
      <c r="F9953" s="591">
        <v>9944</v>
      </c>
      <c r="G9953" s="420">
        <f t="shared" ca="1" si="163"/>
        <v>0.16938100923606561</v>
      </c>
    </row>
    <row r="9954" spans="6:7" x14ac:dyDescent="0.2">
      <c r="F9954" s="591">
        <v>9945</v>
      </c>
      <c r="G9954" s="420">
        <f t="shared" ca="1" si="163"/>
        <v>0.11913795257868363</v>
      </c>
    </row>
    <row r="9955" spans="6:7" x14ac:dyDescent="0.2">
      <c r="F9955" s="591">
        <v>9946</v>
      </c>
      <c r="G9955" s="420">
        <f t="shared" ca="1" si="163"/>
        <v>3.560686028632061E-2</v>
      </c>
    </row>
    <row r="9956" spans="6:7" x14ac:dyDescent="0.2">
      <c r="F9956" s="591">
        <v>9947</v>
      </c>
      <c r="G9956" s="420">
        <f t="shared" ca="1" si="163"/>
        <v>-1.8223093051946835E-2</v>
      </c>
    </row>
    <row r="9957" spans="6:7" x14ac:dyDescent="0.2">
      <c r="F9957" s="591">
        <v>9948</v>
      </c>
      <c r="G9957" s="420">
        <f t="shared" ca="1" si="163"/>
        <v>-4.8011891652683242E-2</v>
      </c>
    </row>
    <row r="9958" spans="6:7" x14ac:dyDescent="0.2">
      <c r="F9958" s="591">
        <v>9949</v>
      </c>
      <c r="G9958" s="420">
        <f t="shared" ca="1" si="163"/>
        <v>7.0809531317413646E-2</v>
      </c>
    </row>
    <row r="9959" spans="6:7" x14ac:dyDescent="0.2">
      <c r="F9959" s="591">
        <v>9950</v>
      </c>
      <c r="G9959" s="420">
        <f t="shared" ca="1" si="163"/>
        <v>-6.2349619792241226E-2</v>
      </c>
    </row>
    <row r="9960" spans="6:7" x14ac:dyDescent="0.2">
      <c r="F9960" s="591">
        <v>9951</v>
      </c>
      <c r="G9960" s="420">
        <f t="shared" ca="1" si="163"/>
        <v>2.6316562840883479E-3</v>
      </c>
    </row>
    <row r="9961" spans="6:7" x14ac:dyDescent="0.2">
      <c r="F9961" s="591">
        <v>9952</v>
      </c>
      <c r="G9961" s="420">
        <f t="shared" ca="1" si="163"/>
        <v>-0.17681614330520876</v>
      </c>
    </row>
    <row r="9962" spans="6:7" x14ac:dyDescent="0.2">
      <c r="F9962" s="591">
        <v>9953</v>
      </c>
      <c r="G9962" s="420">
        <f t="shared" ca="1" si="163"/>
        <v>5.2551943459271347E-2</v>
      </c>
    </row>
    <row r="9963" spans="6:7" x14ac:dyDescent="0.2">
      <c r="F9963" s="591">
        <v>9954</v>
      </c>
      <c r="G9963" s="420">
        <f t="shared" ca="1" si="163"/>
        <v>-2.7092942373763532E-2</v>
      </c>
    </row>
    <row r="9964" spans="6:7" x14ac:dyDescent="0.2">
      <c r="F9964" s="591">
        <v>9955</v>
      </c>
      <c r="G9964" s="420">
        <f t="shared" ca="1" si="163"/>
        <v>-7.5043875459960996E-2</v>
      </c>
    </row>
    <row r="9965" spans="6:7" x14ac:dyDescent="0.2">
      <c r="F9965" s="591">
        <v>9956</v>
      </c>
      <c r="G9965" s="420">
        <f t="shared" ca="1" si="163"/>
        <v>-4.0937983783592868E-2</v>
      </c>
    </row>
    <row r="9966" spans="6:7" x14ac:dyDescent="0.2">
      <c r="F9966" s="591">
        <v>9957</v>
      </c>
      <c r="G9966" s="420">
        <f t="shared" ca="1" si="163"/>
        <v>4.2136572236786352E-2</v>
      </c>
    </row>
    <row r="9967" spans="6:7" x14ac:dyDescent="0.2">
      <c r="F9967" s="591">
        <v>9958</v>
      </c>
      <c r="G9967" s="420">
        <f t="shared" ca="1" si="163"/>
        <v>1.9830146211255888E-2</v>
      </c>
    </row>
    <row r="9968" spans="6:7" x14ac:dyDescent="0.2">
      <c r="F9968" s="591">
        <v>9959</v>
      </c>
      <c r="G9968" s="420">
        <f t="shared" ca="1" si="163"/>
        <v>-1.075959945663334E-2</v>
      </c>
    </row>
    <row r="9969" spans="6:7" x14ac:dyDescent="0.2">
      <c r="F9969" s="591">
        <v>9960</v>
      </c>
      <c r="G9969" s="420">
        <f t="shared" ca="1" si="163"/>
        <v>-2.4902420647998184E-3</v>
      </c>
    </row>
    <row r="9970" spans="6:7" x14ac:dyDescent="0.2">
      <c r="F9970" s="591">
        <v>9961</v>
      </c>
      <c r="G9970" s="420">
        <f t="shared" ca="1" si="163"/>
        <v>5.7826819522202616E-2</v>
      </c>
    </row>
    <row r="9971" spans="6:7" x14ac:dyDescent="0.2">
      <c r="F9971" s="591">
        <v>9962</v>
      </c>
      <c r="G9971" s="420">
        <f t="shared" ca="1" si="163"/>
        <v>-3.9982116055064701E-2</v>
      </c>
    </row>
    <row r="9972" spans="6:7" x14ac:dyDescent="0.2">
      <c r="F9972" s="591">
        <v>9963</v>
      </c>
      <c r="G9972" s="420">
        <f t="shared" ca="1" si="163"/>
        <v>-4.727300462306043E-2</v>
      </c>
    </row>
    <row r="9973" spans="6:7" x14ac:dyDescent="0.2">
      <c r="F9973" s="591">
        <v>9964</v>
      </c>
      <c r="G9973" s="420">
        <f t="shared" ca="1" si="163"/>
        <v>1.2342225916676846E-2</v>
      </c>
    </row>
    <row r="9974" spans="6:7" x14ac:dyDescent="0.2">
      <c r="F9974" s="591">
        <v>9965</v>
      </c>
      <c r="G9974" s="420">
        <f t="shared" ca="1" si="163"/>
        <v>6.5821956930113099E-2</v>
      </c>
    </row>
    <row r="9975" spans="6:7" x14ac:dyDescent="0.2">
      <c r="F9975" s="591">
        <v>9966</v>
      </c>
      <c r="G9975" s="420">
        <f t="shared" ca="1" si="163"/>
        <v>8.0574069495201087E-2</v>
      </c>
    </row>
    <row r="9976" spans="6:7" x14ac:dyDescent="0.2">
      <c r="F9976" s="591">
        <v>9967</v>
      </c>
      <c r="G9976" s="420">
        <f t="shared" ca="1" si="163"/>
        <v>-0.10185560093826466</v>
      </c>
    </row>
    <row r="9977" spans="6:7" x14ac:dyDescent="0.2">
      <c r="F9977" s="591">
        <v>9968</v>
      </c>
      <c r="G9977" s="420">
        <f t="shared" ca="1" si="163"/>
        <v>3.7643111196169726E-2</v>
      </c>
    </row>
    <row r="9978" spans="6:7" x14ac:dyDescent="0.2">
      <c r="F9978" s="591">
        <v>9969</v>
      </c>
      <c r="G9978" s="420">
        <f t="shared" ca="1" si="163"/>
        <v>-6.4963856735400824E-2</v>
      </c>
    </row>
    <row r="9979" spans="6:7" x14ac:dyDescent="0.2">
      <c r="F9979" s="591">
        <v>9970</v>
      </c>
      <c r="G9979" s="420">
        <f t="shared" ca="1" si="163"/>
        <v>6.4668389895824491E-2</v>
      </c>
    </row>
    <row r="9980" spans="6:7" x14ac:dyDescent="0.2">
      <c r="F9980" s="591">
        <v>9971</v>
      </c>
      <c r="G9980" s="420">
        <f t="shared" ca="1" si="163"/>
        <v>-0.18474267307906589</v>
      </c>
    </row>
    <row r="9981" spans="6:7" x14ac:dyDescent="0.2">
      <c r="F9981" s="591">
        <v>9972</v>
      </c>
      <c r="G9981" s="420">
        <f t="shared" ca="1" si="163"/>
        <v>-4.1323592210384591E-2</v>
      </c>
    </row>
    <row r="9982" spans="6:7" x14ac:dyDescent="0.2">
      <c r="F9982" s="591">
        <v>9973</v>
      </c>
      <c r="G9982" s="420">
        <f t="shared" ca="1" si="163"/>
        <v>7.9777668296614396E-2</v>
      </c>
    </row>
    <row r="9983" spans="6:7" x14ac:dyDescent="0.2">
      <c r="F9983" s="591">
        <v>9974</v>
      </c>
      <c r="G9983" s="420">
        <f t="shared" ca="1" si="163"/>
        <v>-9.0791298329484349E-2</v>
      </c>
    </row>
    <row r="9984" spans="6:7" x14ac:dyDescent="0.2">
      <c r="F9984" s="591">
        <v>9975</v>
      </c>
      <c r="G9984" s="420">
        <f t="shared" ca="1" si="163"/>
        <v>-4.0957744591707534E-3</v>
      </c>
    </row>
    <row r="9985" spans="6:7" x14ac:dyDescent="0.2">
      <c r="F9985" s="591">
        <v>9976</v>
      </c>
      <c r="G9985" s="420">
        <f t="shared" ca="1" si="163"/>
        <v>-9.0039567335968435E-3</v>
      </c>
    </row>
    <row r="9986" spans="6:7" x14ac:dyDescent="0.2">
      <c r="F9986" s="591">
        <v>9977</v>
      </c>
      <c r="G9986" s="420">
        <f t="shared" ca="1" si="163"/>
        <v>0.10441956373061646</v>
      </c>
    </row>
    <row r="9987" spans="6:7" x14ac:dyDescent="0.2">
      <c r="F9987" s="591">
        <v>9978</v>
      </c>
      <c r="G9987" s="420">
        <f t="shared" ca="1" si="163"/>
        <v>-9.9648918679535584E-2</v>
      </c>
    </row>
    <row r="9988" spans="6:7" x14ac:dyDescent="0.2">
      <c r="F9988" s="591">
        <v>9979</v>
      </c>
      <c r="G9988" s="420">
        <f t="shared" ca="1" si="163"/>
        <v>0.11191651145009768</v>
      </c>
    </row>
    <row r="9989" spans="6:7" x14ac:dyDescent="0.2">
      <c r="F9989" s="591">
        <v>9980</v>
      </c>
      <c r="G9989" s="420">
        <f t="shared" ca="1" si="163"/>
        <v>-3.2076236894805071E-2</v>
      </c>
    </row>
    <row r="9990" spans="6:7" x14ac:dyDescent="0.2">
      <c r="F9990" s="591">
        <v>9981</v>
      </c>
      <c r="G9990" s="420">
        <f t="shared" ca="1" si="163"/>
        <v>7.8534620051210272E-2</v>
      </c>
    </row>
    <row r="9991" spans="6:7" x14ac:dyDescent="0.2">
      <c r="F9991" s="591">
        <v>9982</v>
      </c>
      <c r="G9991" s="420">
        <f t="shared" ca="1" si="163"/>
        <v>-0.11639486404725126</v>
      </c>
    </row>
    <row r="9992" spans="6:7" x14ac:dyDescent="0.2">
      <c r="F9992" s="591">
        <v>9983</v>
      </c>
      <c r="G9992" s="420">
        <f t="shared" ca="1" si="163"/>
        <v>5.6168972937125722E-2</v>
      </c>
    </row>
    <row r="9993" spans="6:7" x14ac:dyDescent="0.2">
      <c r="F9993" s="591">
        <v>9984</v>
      </c>
      <c r="G9993" s="420">
        <f t="shared" ca="1" si="163"/>
        <v>5.5199206708061027E-2</v>
      </c>
    </row>
    <row r="9994" spans="6:7" x14ac:dyDescent="0.2">
      <c r="F9994" s="591">
        <v>9985</v>
      </c>
      <c r="G9994" s="420">
        <f t="shared" ca="1" si="163"/>
        <v>3.3634695628417526E-2</v>
      </c>
    </row>
    <row r="9995" spans="6:7" x14ac:dyDescent="0.2">
      <c r="F9995" s="591">
        <v>9986</v>
      </c>
      <c r="G9995" s="420">
        <f t="shared" ref="G9995:G10009" ca="1" si="164">_xlfn.NORM.INV(RAND(), $M$11,$M$12)</f>
        <v>0.11921012408964871</v>
      </c>
    </row>
    <row r="9996" spans="6:7" x14ac:dyDescent="0.2">
      <c r="F9996" s="591">
        <v>9987</v>
      </c>
      <c r="G9996" s="420">
        <f t="shared" ca="1" si="164"/>
        <v>-3.4567993612594466E-2</v>
      </c>
    </row>
    <row r="9997" spans="6:7" x14ac:dyDescent="0.2">
      <c r="F9997" s="591">
        <v>9988</v>
      </c>
      <c r="G9997" s="420">
        <f t="shared" ca="1" si="164"/>
        <v>0.11329850271702939</v>
      </c>
    </row>
    <row r="9998" spans="6:7" x14ac:dyDescent="0.2">
      <c r="F9998" s="591">
        <v>9989</v>
      </c>
      <c r="G9998" s="420">
        <f t="shared" ca="1" si="164"/>
        <v>-2.7605036672714151E-2</v>
      </c>
    </row>
    <row r="9999" spans="6:7" x14ac:dyDescent="0.2">
      <c r="F9999" s="591">
        <v>9990</v>
      </c>
      <c r="G9999" s="420">
        <f t="shared" ca="1" si="164"/>
        <v>8.9150042196896762E-2</v>
      </c>
    </row>
    <row r="10000" spans="6:7" x14ac:dyDescent="0.2">
      <c r="F10000" s="591">
        <v>9991</v>
      </c>
      <c r="G10000" s="420">
        <f t="shared" ca="1" si="164"/>
        <v>-5.7462428103434868E-2</v>
      </c>
    </row>
    <row r="10001" spans="6:7" x14ac:dyDescent="0.2">
      <c r="F10001" s="591">
        <v>9992</v>
      </c>
      <c r="G10001" s="420">
        <f t="shared" ca="1" si="164"/>
        <v>2.4566124033754754E-2</v>
      </c>
    </row>
    <row r="10002" spans="6:7" x14ac:dyDescent="0.2">
      <c r="F10002" s="591">
        <v>9993</v>
      </c>
      <c r="G10002" s="420">
        <f t="shared" ca="1" si="164"/>
        <v>-1.0551647619176947E-2</v>
      </c>
    </row>
    <row r="10003" spans="6:7" x14ac:dyDescent="0.2">
      <c r="F10003" s="591">
        <v>9994</v>
      </c>
      <c r="G10003" s="420">
        <f t="shared" ca="1" si="164"/>
        <v>4.3772320982382651E-2</v>
      </c>
    </row>
    <row r="10004" spans="6:7" x14ac:dyDescent="0.2">
      <c r="F10004" s="591">
        <v>9995</v>
      </c>
      <c r="G10004" s="420">
        <f t="shared" ca="1" si="164"/>
        <v>-2.8010427468143154E-3</v>
      </c>
    </row>
    <row r="10005" spans="6:7" x14ac:dyDescent="0.2">
      <c r="F10005" s="591">
        <v>9996</v>
      </c>
      <c r="G10005" s="420">
        <f t="shared" ca="1" si="164"/>
        <v>-8.091745890169047E-2</v>
      </c>
    </row>
    <row r="10006" spans="6:7" x14ac:dyDescent="0.2">
      <c r="F10006" s="591">
        <v>9997</v>
      </c>
      <c r="G10006" s="420">
        <f t="shared" ca="1" si="164"/>
        <v>-3.8954034003229401E-3</v>
      </c>
    </row>
    <row r="10007" spans="6:7" x14ac:dyDescent="0.2">
      <c r="F10007" s="591">
        <v>9998</v>
      </c>
      <c r="G10007" s="420">
        <f t="shared" ca="1" si="164"/>
        <v>9.5081889180689022E-2</v>
      </c>
    </row>
    <row r="10008" spans="6:7" x14ac:dyDescent="0.2">
      <c r="F10008" s="591">
        <v>9999</v>
      </c>
      <c r="G10008" s="420">
        <f t="shared" ca="1" si="164"/>
        <v>-5.7272234547945028E-2</v>
      </c>
    </row>
    <row r="10009" spans="6:7" x14ac:dyDescent="0.2">
      <c r="F10009" s="601">
        <v>10000</v>
      </c>
      <c r="G10009" s="422">
        <f t="shared" ca="1" si="164"/>
        <v>-0.10214915371243019</v>
      </c>
    </row>
  </sheetData>
  <printOptions horizontalCentered="1" verticalCentered="1"/>
  <pageMargins left="0.25" right="0.25" top="0.25" bottom="0.25" header="0" footer="0"/>
  <pageSetup paperSize="9" scale="59" orientation="landscape" horizontalDpi="0" verticalDpi="0"/>
  <rowBreaks count="1" manualBreakCount="1">
    <brk id="51" max="16383" man="1"/>
  </rowBreak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A290B-139E-BC48-98F0-A91E4E0B2865}">
  <sheetPr>
    <tabColor theme="5"/>
  </sheetPr>
  <dimension ref="A1"/>
  <sheetViews>
    <sheetView workbookViewId="0">
      <selection activeCell="N39" sqref="N39"/>
    </sheetView>
  </sheetViews>
  <sheetFormatPr baseColWidth="10" defaultRowHeight="15" x14ac:dyDescent="0.2"/>
  <sheetData/>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3B416-7EB7-1A45-8B3C-4EFDC3007C57}">
  <dimension ref="A1:U275"/>
  <sheetViews>
    <sheetView showGridLines="0" tabSelected="1" topLeftCell="A9" zoomScale="110" zoomScaleNormal="100" workbookViewId="0">
      <selection activeCell="M14" sqref="M14"/>
    </sheetView>
  </sheetViews>
  <sheetFormatPr baseColWidth="10" defaultRowHeight="15" x14ac:dyDescent="0.2"/>
  <cols>
    <col min="1" max="1" width="3.83203125" customWidth="1"/>
    <col min="4" max="4" width="15.83203125" customWidth="1"/>
    <col min="5" max="5" width="5.83203125" customWidth="1"/>
    <col min="8" max="8" width="5.83203125" customWidth="1"/>
    <col min="9" max="9" width="15.83203125" customWidth="1"/>
  </cols>
  <sheetData>
    <row r="1" spans="1:21" ht="21" x14ac:dyDescent="0.25">
      <c r="B1" s="381" t="s">
        <v>513</v>
      </c>
      <c r="C1" s="5"/>
      <c r="D1" s="5"/>
      <c r="E1" s="5"/>
      <c r="F1" s="5"/>
      <c r="G1" s="5"/>
      <c r="H1" s="5"/>
      <c r="I1" s="5"/>
      <c r="J1" s="5"/>
      <c r="K1" s="5"/>
      <c r="L1" s="5"/>
      <c r="M1" s="5"/>
      <c r="N1" s="5"/>
      <c r="O1" s="5"/>
      <c r="P1" s="5"/>
      <c r="Q1" s="5"/>
    </row>
    <row r="2" spans="1:21" ht="19" x14ac:dyDescent="0.25">
      <c r="B2" s="492" t="s">
        <v>508</v>
      </c>
      <c r="C2" s="491"/>
      <c r="D2" s="491"/>
      <c r="E2" s="491"/>
      <c r="F2" s="491"/>
      <c r="G2" s="491"/>
      <c r="H2" s="491"/>
      <c r="I2" s="491"/>
      <c r="J2" s="491"/>
      <c r="K2" s="491"/>
      <c r="L2" s="491"/>
      <c r="M2" s="491"/>
      <c r="N2" s="491"/>
      <c r="O2" s="491"/>
      <c r="P2" s="491"/>
      <c r="Q2" s="491"/>
    </row>
    <row r="3" spans="1:21" ht="3" customHeight="1" thickBot="1" x14ac:dyDescent="0.25">
      <c r="B3" s="208"/>
      <c r="C3" s="208"/>
      <c r="D3" s="208"/>
      <c r="E3" s="208"/>
      <c r="F3" s="208"/>
      <c r="G3" s="208"/>
      <c r="H3" s="208"/>
      <c r="I3" s="208"/>
      <c r="J3" s="208"/>
      <c r="K3" s="208"/>
      <c r="L3" s="208"/>
      <c r="M3" s="208"/>
      <c r="N3" s="208"/>
      <c r="O3" s="208"/>
      <c r="P3" s="208"/>
      <c r="Q3" s="208"/>
    </row>
    <row r="4" spans="1:21" ht="16" thickTop="1" x14ac:dyDescent="0.2"/>
    <row r="5" spans="1:21" x14ac:dyDescent="0.2">
      <c r="B5" s="410" t="s">
        <v>471</v>
      </c>
      <c r="C5" s="423"/>
      <c r="D5" s="411"/>
      <c r="F5" s="410" t="s">
        <v>475</v>
      </c>
      <c r="G5" s="411"/>
      <c r="I5" s="410" t="s">
        <v>502</v>
      </c>
      <c r="J5" s="411"/>
      <c r="K5" s="398"/>
    </row>
    <row r="6" spans="1:21" ht="3" customHeight="1" x14ac:dyDescent="0.2">
      <c r="A6" s="58"/>
      <c r="B6" s="7"/>
      <c r="C6" s="7"/>
      <c r="D6" s="7"/>
      <c r="F6" s="7"/>
      <c r="G6" s="7"/>
      <c r="I6" s="7"/>
      <c r="J6" s="7"/>
    </row>
    <row r="7" spans="1:21" ht="3" customHeight="1" x14ac:dyDescent="0.2">
      <c r="A7" s="58"/>
      <c r="B7" s="8"/>
      <c r="C7" s="8"/>
      <c r="D7" s="8"/>
      <c r="F7" s="8"/>
      <c r="G7" s="8"/>
      <c r="I7" s="8"/>
      <c r="J7" s="8"/>
    </row>
    <row r="8" spans="1:21" ht="3" customHeight="1" x14ac:dyDescent="0.2">
      <c r="A8" s="58"/>
      <c r="B8" s="9"/>
      <c r="C8" s="9"/>
      <c r="D8" s="9"/>
      <c r="F8" s="9"/>
      <c r="G8" s="9"/>
      <c r="I8" s="9"/>
      <c r="J8" s="9"/>
    </row>
    <row r="9" spans="1:21" x14ac:dyDescent="0.2">
      <c r="B9" s="424" t="s">
        <v>472</v>
      </c>
      <c r="C9" s="403" t="s">
        <v>473</v>
      </c>
      <c r="D9" s="425" t="s">
        <v>474</v>
      </c>
      <c r="E9" s="402"/>
      <c r="F9" s="416" t="s">
        <v>473</v>
      </c>
      <c r="G9" s="417" t="s">
        <v>476</v>
      </c>
      <c r="H9" s="392"/>
      <c r="I9" s="58" t="s">
        <v>503</v>
      </c>
      <c r="J9" s="429">
        <f>J17</f>
        <v>0.81950280770879702</v>
      </c>
      <c r="L9" s="397"/>
      <c r="T9" s="392"/>
      <c r="U9" s="392"/>
    </row>
    <row r="10" spans="1:21" x14ac:dyDescent="0.2">
      <c r="B10" s="426">
        <v>44458</v>
      </c>
      <c r="C10" s="394">
        <v>124.25</v>
      </c>
      <c r="D10" s="419">
        <v>0</v>
      </c>
      <c r="E10" s="394"/>
      <c r="F10" s="418">
        <v>17853.2</v>
      </c>
      <c r="G10" s="419">
        <v>0</v>
      </c>
      <c r="H10" s="397"/>
      <c r="I10" s="58" t="s">
        <v>504</v>
      </c>
      <c r="J10" s="413">
        <v>0.75</v>
      </c>
      <c r="L10" s="397"/>
      <c r="T10" s="393"/>
      <c r="U10" s="394"/>
    </row>
    <row r="11" spans="1:21" x14ac:dyDescent="0.2">
      <c r="B11" s="426">
        <v>44465</v>
      </c>
      <c r="C11" s="394">
        <v>139.9</v>
      </c>
      <c r="D11" s="420">
        <f t="shared" ref="D11:D74" si="0">C11/C10-1</f>
        <v>0.12595573440643859</v>
      </c>
      <c r="E11" s="394"/>
      <c r="F11" s="418">
        <v>17532.05</v>
      </c>
      <c r="G11" s="420">
        <f>F11/F10-1</f>
        <v>-1.7988371832500683E-2</v>
      </c>
      <c r="H11" s="397"/>
      <c r="I11" s="58" t="s">
        <v>505</v>
      </c>
      <c r="J11" s="414">
        <v>1</v>
      </c>
      <c r="L11" s="397"/>
      <c r="T11" s="393"/>
      <c r="U11" s="394"/>
    </row>
    <row r="12" spans="1:21" x14ac:dyDescent="0.2">
      <c r="B12" s="426">
        <v>44472</v>
      </c>
      <c r="C12" s="394">
        <v>141.1</v>
      </c>
      <c r="D12" s="420">
        <f t="shared" si="0"/>
        <v>8.577555396711789E-3</v>
      </c>
      <c r="E12" s="394"/>
      <c r="F12" s="418">
        <v>17895.2</v>
      </c>
      <c r="G12" s="420">
        <f t="shared" ref="G12:G75" si="1">F12/F11-1</f>
        <v>2.0713493288006868E-2</v>
      </c>
      <c r="H12" s="397"/>
      <c r="I12" s="58" t="s">
        <v>506</v>
      </c>
      <c r="J12" s="413">
        <v>0.25</v>
      </c>
      <c r="L12" s="397"/>
      <c r="T12" s="393"/>
      <c r="U12" s="394"/>
    </row>
    <row r="13" spans="1:21" x14ac:dyDescent="0.2">
      <c r="B13" s="426">
        <v>44479</v>
      </c>
      <c r="C13" s="394">
        <v>149.4</v>
      </c>
      <c r="D13" s="420">
        <f t="shared" si="0"/>
        <v>5.8823529411764719E-2</v>
      </c>
      <c r="E13" s="394"/>
      <c r="F13" s="418">
        <v>18338.55</v>
      </c>
      <c r="G13" s="420">
        <f t="shared" si="1"/>
        <v>2.4774799946354342E-2</v>
      </c>
      <c r="H13" s="397"/>
      <c r="I13" s="58"/>
      <c r="J13" s="22"/>
      <c r="L13" s="397"/>
      <c r="T13" s="393"/>
      <c r="U13" s="394"/>
    </row>
    <row r="14" spans="1:21" x14ac:dyDescent="0.2">
      <c r="B14" s="426">
        <v>44486</v>
      </c>
      <c r="C14" s="394">
        <v>144.9</v>
      </c>
      <c r="D14" s="420">
        <f t="shared" si="0"/>
        <v>-3.0120481927710885E-2</v>
      </c>
      <c r="E14" s="394"/>
      <c r="F14" s="418">
        <v>18114.900000000001</v>
      </c>
      <c r="G14" s="420">
        <f t="shared" si="1"/>
        <v>-1.2195620700655052E-2</v>
      </c>
      <c r="H14" s="397"/>
      <c r="I14" s="431" t="s">
        <v>507</v>
      </c>
      <c r="J14" s="432">
        <f>(J9*J10)+(J11*J12)</f>
        <v>0.86462710578159774</v>
      </c>
      <c r="L14" s="397"/>
      <c r="T14" s="393"/>
      <c r="U14" s="394"/>
    </row>
    <row r="15" spans="1:21" x14ac:dyDescent="0.2">
      <c r="B15" s="426">
        <v>44493</v>
      </c>
      <c r="C15" s="394">
        <v>132.65</v>
      </c>
      <c r="D15" s="420">
        <f t="shared" si="0"/>
        <v>-8.454106280193241E-2</v>
      </c>
      <c r="E15" s="394"/>
      <c r="F15" s="418">
        <v>17671.650000000001</v>
      </c>
      <c r="G15" s="420">
        <f t="shared" si="1"/>
        <v>-2.4468807445804264E-2</v>
      </c>
      <c r="H15" s="397"/>
      <c r="L15" s="397"/>
      <c r="T15" s="393"/>
      <c r="U15" s="394"/>
    </row>
    <row r="16" spans="1:21" x14ac:dyDescent="0.2">
      <c r="B16" s="426">
        <v>44500</v>
      </c>
      <c r="C16" s="394">
        <v>137.15</v>
      </c>
      <c r="D16" s="420">
        <f t="shared" si="0"/>
        <v>3.3923859781379573E-2</v>
      </c>
      <c r="E16" s="394"/>
      <c r="F16" s="418">
        <v>17916.8</v>
      </c>
      <c r="G16" s="420">
        <f t="shared" si="1"/>
        <v>1.3872502001793796E-2</v>
      </c>
      <c r="H16" s="397"/>
      <c r="L16" s="397"/>
      <c r="T16" s="393"/>
      <c r="U16" s="394"/>
    </row>
    <row r="17" spans="2:21" ht="17" x14ac:dyDescent="0.2">
      <c r="B17" s="426">
        <v>44507</v>
      </c>
      <c r="C17" s="394">
        <v>136.44999999999999</v>
      </c>
      <c r="D17" s="420">
        <f t="shared" si="0"/>
        <v>-5.1039008384980988E-3</v>
      </c>
      <c r="E17" s="394"/>
      <c r="F17" s="418">
        <v>18102.75</v>
      </c>
      <c r="G17" s="420">
        <f t="shared" si="1"/>
        <v>1.0378527415610073E-2</v>
      </c>
      <c r="H17" s="397"/>
      <c r="I17" s="433" t="s">
        <v>509</v>
      </c>
      <c r="J17" s="430">
        <f>J36</f>
        <v>0.81950280770879702</v>
      </c>
      <c r="K17" s="267"/>
      <c r="L17" s="404"/>
      <c r="M17" s="267"/>
      <c r="N17" s="267"/>
      <c r="O17" s="267"/>
      <c r="P17" s="267"/>
      <c r="Q17" s="405"/>
      <c r="T17" s="393"/>
      <c r="U17" s="394"/>
    </row>
    <row r="18" spans="2:21" x14ac:dyDescent="0.2">
      <c r="B18" s="426">
        <v>44514</v>
      </c>
      <c r="C18" s="394">
        <v>135.30000000000001</v>
      </c>
      <c r="D18" s="420">
        <f t="shared" si="0"/>
        <v>-8.4279956027847325E-3</v>
      </c>
      <c r="E18" s="394"/>
      <c r="F18" s="418">
        <v>17764.8</v>
      </c>
      <c r="G18" s="420">
        <f t="shared" si="1"/>
        <v>-1.8668434353896535E-2</v>
      </c>
      <c r="H18" s="397"/>
      <c r="I18" s="58"/>
      <c r="L18" s="397"/>
      <c r="Q18" s="22"/>
      <c r="T18" s="393"/>
      <c r="U18" s="394"/>
    </row>
    <row r="19" spans="2:21" x14ac:dyDescent="0.2">
      <c r="B19" s="426">
        <v>44521</v>
      </c>
      <c r="C19" s="394">
        <v>128.85</v>
      </c>
      <c r="D19" s="420">
        <f t="shared" si="0"/>
        <v>-4.7671840354767347E-2</v>
      </c>
      <c r="E19" s="394"/>
      <c r="F19" s="418">
        <v>17026.45</v>
      </c>
      <c r="G19" s="420">
        <f t="shared" si="1"/>
        <v>-4.1562528145546174E-2</v>
      </c>
      <c r="H19" s="397"/>
      <c r="I19" s="58" t="s">
        <v>477</v>
      </c>
      <c r="Q19" s="22"/>
      <c r="T19" s="393"/>
      <c r="U19" s="394"/>
    </row>
    <row r="20" spans="2:21" ht="16" thickBot="1" x14ac:dyDescent="0.25">
      <c r="B20" s="426">
        <v>44528</v>
      </c>
      <c r="C20" s="394">
        <v>127</v>
      </c>
      <c r="D20" s="420">
        <f t="shared" si="0"/>
        <v>-1.4357780364765205E-2</v>
      </c>
      <c r="E20" s="394"/>
      <c r="F20" s="418">
        <v>17196.7</v>
      </c>
      <c r="G20" s="420">
        <f t="shared" si="1"/>
        <v>9.9991483838381967E-3</v>
      </c>
      <c r="H20" s="397"/>
      <c r="I20" s="58"/>
      <c r="Q20" s="22"/>
      <c r="T20" s="393"/>
      <c r="U20" s="394"/>
    </row>
    <row r="21" spans="2:21" x14ac:dyDescent="0.2">
      <c r="B21" s="426">
        <v>44535</v>
      </c>
      <c r="C21" s="394">
        <v>126.15</v>
      </c>
      <c r="D21" s="420">
        <f t="shared" si="0"/>
        <v>-6.692913385826782E-3</v>
      </c>
      <c r="E21" s="394"/>
      <c r="F21" s="418">
        <v>17511.3</v>
      </c>
      <c r="G21" s="420">
        <f t="shared" si="1"/>
        <v>1.8294207609599322E-2</v>
      </c>
      <c r="H21" s="397"/>
      <c r="I21" s="406" t="s">
        <v>478</v>
      </c>
      <c r="J21" s="401"/>
      <c r="Q21" s="22"/>
      <c r="T21" s="393"/>
      <c r="U21" s="394"/>
    </row>
    <row r="22" spans="2:21" x14ac:dyDescent="0.2">
      <c r="B22" s="426">
        <v>44542</v>
      </c>
      <c r="C22" s="394">
        <v>125.55</v>
      </c>
      <c r="D22" s="420">
        <f t="shared" si="0"/>
        <v>-4.7562425683710385E-3</v>
      </c>
      <c r="E22" s="394"/>
      <c r="F22" s="418">
        <v>16985.2</v>
      </c>
      <c r="G22" s="420">
        <f t="shared" si="1"/>
        <v>-3.004345765305827E-2</v>
      </c>
      <c r="H22" s="397"/>
      <c r="I22" s="58" t="s">
        <v>479</v>
      </c>
      <c r="J22">
        <v>0.44819924070363998</v>
      </c>
      <c r="Q22" s="22"/>
      <c r="T22" s="393"/>
      <c r="U22" s="394"/>
    </row>
    <row r="23" spans="2:21" x14ac:dyDescent="0.2">
      <c r="B23" s="426">
        <v>44549</v>
      </c>
      <c r="C23" s="394">
        <v>121.25</v>
      </c>
      <c r="D23" s="420">
        <f t="shared" si="0"/>
        <v>-3.4249303066507308E-2</v>
      </c>
      <c r="E23" s="394"/>
      <c r="F23" s="418">
        <v>17003.75</v>
      </c>
      <c r="G23" s="420">
        <f t="shared" si="1"/>
        <v>1.0921272637354207E-3</v>
      </c>
      <c r="H23" s="397"/>
      <c r="I23" s="58" t="s">
        <v>480</v>
      </c>
      <c r="J23">
        <v>0.20088255936731939</v>
      </c>
      <c r="Q23" s="22"/>
      <c r="T23" s="393"/>
      <c r="U23" s="394"/>
    </row>
    <row r="24" spans="2:21" x14ac:dyDescent="0.2">
      <c r="B24" s="426">
        <v>44556</v>
      </c>
      <c r="C24" s="394">
        <v>124.4</v>
      </c>
      <c r="D24" s="420">
        <f t="shared" si="0"/>
        <v>2.5979381443298921E-2</v>
      </c>
      <c r="E24" s="394"/>
      <c r="F24" s="418">
        <v>17354.05</v>
      </c>
      <c r="G24" s="420">
        <f t="shared" si="1"/>
        <v>2.0601337940160169E-2</v>
      </c>
      <c r="H24" s="397"/>
      <c r="I24" s="58" t="s">
        <v>481</v>
      </c>
      <c r="J24">
        <v>0.19778520494626248</v>
      </c>
      <c r="Q24" s="22"/>
      <c r="T24" s="393"/>
      <c r="U24" s="394"/>
    </row>
    <row r="25" spans="2:21" x14ac:dyDescent="0.2">
      <c r="B25" s="426">
        <v>44563</v>
      </c>
      <c r="C25" s="394">
        <v>131.35</v>
      </c>
      <c r="D25" s="420">
        <f t="shared" si="0"/>
        <v>5.5868167202572261E-2</v>
      </c>
      <c r="E25" s="394"/>
      <c r="F25" s="418">
        <v>17812.7</v>
      </c>
      <c r="G25" s="420">
        <f t="shared" si="1"/>
        <v>2.6428989198486796E-2</v>
      </c>
      <c r="H25" s="397"/>
      <c r="I25" s="58" t="s">
        <v>482</v>
      </c>
      <c r="J25">
        <v>2.9640215955910505E-2</v>
      </c>
      <c r="Q25" s="22"/>
      <c r="T25" s="393"/>
      <c r="U25" s="394"/>
    </row>
    <row r="26" spans="2:21" ht="16" thickBot="1" x14ac:dyDescent="0.25">
      <c r="B26" s="426">
        <v>44570</v>
      </c>
      <c r="C26" s="394">
        <v>135.35</v>
      </c>
      <c r="D26" s="420">
        <f t="shared" si="0"/>
        <v>3.0452988199467068E-2</v>
      </c>
      <c r="E26" s="394"/>
      <c r="F26" s="418">
        <v>18255.75</v>
      </c>
      <c r="G26" s="420">
        <f t="shared" si="1"/>
        <v>2.4872703183683509E-2</v>
      </c>
      <c r="H26" s="397"/>
      <c r="I26" s="407" t="s">
        <v>483</v>
      </c>
      <c r="J26" s="399">
        <v>260</v>
      </c>
      <c r="Q26" s="22"/>
      <c r="T26" s="393"/>
      <c r="U26" s="394"/>
    </row>
    <row r="27" spans="2:21" x14ac:dyDescent="0.2">
      <c r="B27" s="426">
        <v>44577</v>
      </c>
      <c r="C27" s="394">
        <v>134.1</v>
      </c>
      <c r="D27" s="420">
        <f t="shared" si="0"/>
        <v>-9.235315847802017E-3</v>
      </c>
      <c r="E27" s="394"/>
      <c r="F27" s="418">
        <v>17617.150000000001</v>
      </c>
      <c r="G27" s="420">
        <f t="shared" si="1"/>
        <v>-3.4980759486736956E-2</v>
      </c>
      <c r="H27" s="397"/>
      <c r="I27" s="58"/>
      <c r="Q27" s="22"/>
      <c r="T27" s="393"/>
      <c r="U27" s="394"/>
    </row>
    <row r="28" spans="2:21" ht="16" thickBot="1" x14ac:dyDescent="0.25">
      <c r="B28" s="426">
        <v>44584</v>
      </c>
      <c r="C28" s="394">
        <v>140.15</v>
      </c>
      <c r="D28" s="420">
        <f t="shared" si="0"/>
        <v>4.5115585384041923E-2</v>
      </c>
      <c r="E28" s="394"/>
      <c r="F28" s="418">
        <v>17101.95</v>
      </c>
      <c r="G28" s="420">
        <f t="shared" si="1"/>
        <v>-2.9244230763772805E-2</v>
      </c>
      <c r="H28" s="397"/>
      <c r="I28" s="58" t="s">
        <v>484</v>
      </c>
      <c r="Q28" s="22"/>
      <c r="T28" s="393"/>
      <c r="U28" s="394"/>
    </row>
    <row r="29" spans="2:21" x14ac:dyDescent="0.2">
      <c r="B29" s="426">
        <v>44591</v>
      </c>
      <c r="C29" s="394">
        <v>134.19999999999999</v>
      </c>
      <c r="D29" s="420">
        <f t="shared" si="0"/>
        <v>-4.2454513021762508E-2</v>
      </c>
      <c r="E29" s="394"/>
      <c r="F29" s="418">
        <v>17516.3</v>
      </c>
      <c r="G29" s="420">
        <f t="shared" si="1"/>
        <v>2.4228231283567103E-2</v>
      </c>
      <c r="H29" s="397"/>
      <c r="I29" s="408"/>
      <c r="J29" s="400" t="s">
        <v>489</v>
      </c>
      <c r="K29" s="400" t="s">
        <v>490</v>
      </c>
      <c r="L29" s="400" t="s">
        <v>491</v>
      </c>
      <c r="M29" s="400" t="s">
        <v>492</v>
      </c>
      <c r="N29" s="400" t="s">
        <v>493</v>
      </c>
      <c r="Q29" s="22"/>
      <c r="T29" s="393"/>
      <c r="U29" s="394"/>
    </row>
    <row r="30" spans="2:21" x14ac:dyDescent="0.2">
      <c r="B30" s="426">
        <v>44598</v>
      </c>
      <c r="C30" s="394">
        <v>137.15</v>
      </c>
      <c r="D30" s="420">
        <f t="shared" si="0"/>
        <v>2.1982116244411376E-2</v>
      </c>
      <c r="E30" s="394"/>
      <c r="F30" s="418">
        <v>17374.75</v>
      </c>
      <c r="G30" s="420">
        <f t="shared" si="1"/>
        <v>-8.0810445128252084E-3</v>
      </c>
      <c r="H30" s="397"/>
      <c r="I30" s="58" t="s">
        <v>485</v>
      </c>
      <c r="J30">
        <v>1</v>
      </c>
      <c r="K30">
        <v>5.6978899479245532E-2</v>
      </c>
      <c r="L30">
        <v>5.6978899479245532E-2</v>
      </c>
      <c r="M30">
        <v>64.856174676572152</v>
      </c>
      <c r="N30">
        <v>2.982613619974709E-14</v>
      </c>
      <c r="Q30" s="22"/>
      <c r="T30" s="393"/>
      <c r="U30" s="394"/>
    </row>
    <row r="31" spans="2:21" x14ac:dyDescent="0.2">
      <c r="B31" s="426">
        <v>44605</v>
      </c>
      <c r="C31" s="394">
        <v>132.35</v>
      </c>
      <c r="D31" s="420">
        <f t="shared" si="0"/>
        <v>-3.4998177178272027E-2</v>
      </c>
      <c r="E31" s="394"/>
      <c r="F31" s="418">
        <v>17276.3</v>
      </c>
      <c r="G31" s="420">
        <f t="shared" si="1"/>
        <v>-5.6662685794041101E-3</v>
      </c>
      <c r="H31" s="397"/>
      <c r="I31" s="58" t="s">
        <v>486</v>
      </c>
      <c r="J31">
        <v>258</v>
      </c>
      <c r="K31">
        <v>0.226663939693557</v>
      </c>
      <c r="L31">
        <v>8.7854240191301161E-4</v>
      </c>
      <c r="Q31" s="22"/>
      <c r="T31" s="393"/>
      <c r="U31" s="394"/>
    </row>
    <row r="32" spans="2:21" ht="16" thickBot="1" x14ac:dyDescent="0.25">
      <c r="B32" s="426">
        <v>44612</v>
      </c>
      <c r="C32" s="394">
        <v>130.35</v>
      </c>
      <c r="D32" s="420">
        <f t="shared" si="0"/>
        <v>-1.5111446921042715E-2</v>
      </c>
      <c r="E32" s="394"/>
      <c r="F32" s="418">
        <v>16658.400000000001</v>
      </c>
      <c r="G32" s="420">
        <f t="shared" si="1"/>
        <v>-3.5765760029635829E-2</v>
      </c>
      <c r="H32" s="397"/>
      <c r="I32" s="407" t="s">
        <v>487</v>
      </c>
      <c r="J32" s="399">
        <v>259</v>
      </c>
      <c r="K32" s="399">
        <v>0.28364283917280253</v>
      </c>
      <c r="L32" s="399"/>
      <c r="M32" s="399"/>
      <c r="N32" s="399"/>
      <c r="Q32" s="22"/>
      <c r="T32" s="393"/>
      <c r="U32" s="394"/>
    </row>
    <row r="33" spans="2:21" ht="16" thickBot="1" x14ac:dyDescent="0.25">
      <c r="B33" s="426">
        <v>44619</v>
      </c>
      <c r="C33" s="394">
        <v>130.19999999999999</v>
      </c>
      <c r="D33" s="420">
        <f t="shared" si="0"/>
        <v>-1.1507479861910808E-3</v>
      </c>
      <c r="E33" s="394"/>
      <c r="F33" s="418">
        <v>16245.35</v>
      </c>
      <c r="G33" s="420">
        <f t="shared" si="1"/>
        <v>-2.4795298468040183E-2</v>
      </c>
      <c r="H33" s="397"/>
      <c r="I33" s="58"/>
      <c r="Q33" s="22"/>
      <c r="T33" s="393"/>
      <c r="U33" s="394"/>
    </row>
    <row r="34" spans="2:21" x14ac:dyDescent="0.2">
      <c r="B34" s="426">
        <v>44626</v>
      </c>
      <c r="C34" s="394">
        <v>131.94999999999999</v>
      </c>
      <c r="D34" s="420">
        <f t="shared" si="0"/>
        <v>1.3440860215053752E-2</v>
      </c>
      <c r="E34" s="394"/>
      <c r="F34" s="418">
        <v>16630.45</v>
      </c>
      <c r="G34" s="420">
        <f t="shared" si="1"/>
        <v>2.3705244885459553E-2</v>
      </c>
      <c r="H34" s="397"/>
      <c r="I34" s="408"/>
      <c r="J34" s="400" t="s">
        <v>494</v>
      </c>
      <c r="K34" s="400" t="s">
        <v>482</v>
      </c>
      <c r="L34" s="400" t="s">
        <v>495</v>
      </c>
      <c r="M34" s="400" t="s">
        <v>496</v>
      </c>
      <c r="N34" s="400" t="s">
        <v>497</v>
      </c>
      <c r="O34" s="400" t="s">
        <v>498</v>
      </c>
      <c r="P34" s="400" t="s">
        <v>499</v>
      </c>
      <c r="Q34" s="409" t="s">
        <v>500</v>
      </c>
      <c r="T34" s="393"/>
      <c r="U34" s="394"/>
    </row>
    <row r="35" spans="2:21" x14ac:dyDescent="0.2">
      <c r="B35" s="426">
        <v>44633</v>
      </c>
      <c r="C35" s="394">
        <v>132.9</v>
      </c>
      <c r="D35" s="420">
        <f t="shared" si="0"/>
        <v>7.1996968548693197E-3</v>
      </c>
      <c r="E35" s="394"/>
      <c r="F35" s="418">
        <v>17287.05</v>
      </c>
      <c r="G35" s="420">
        <f t="shared" si="1"/>
        <v>3.9481793938227705E-2</v>
      </c>
      <c r="H35" s="397"/>
      <c r="I35" s="58" t="s">
        <v>488</v>
      </c>
      <c r="J35">
        <v>3.3617751000751634E-3</v>
      </c>
      <c r="K35">
        <v>1.8422890850794003E-3</v>
      </c>
      <c r="L35">
        <v>1.8247815325520833</v>
      </c>
      <c r="M35">
        <v>6.9190359786968178E-2</v>
      </c>
      <c r="N35">
        <v>-2.6606312010678842E-4</v>
      </c>
      <c r="O35">
        <v>6.9896133202571155E-3</v>
      </c>
      <c r="P35">
        <v>-2.6606312010678842E-4</v>
      </c>
      <c r="Q35" s="22">
        <v>6.9896133202571155E-3</v>
      </c>
      <c r="T35" s="393"/>
      <c r="U35" s="394"/>
    </row>
    <row r="36" spans="2:21" x14ac:dyDescent="0.2">
      <c r="B36" s="426">
        <v>44640</v>
      </c>
      <c r="C36" s="394">
        <v>134.75</v>
      </c>
      <c r="D36" s="420">
        <f t="shared" si="0"/>
        <v>1.392024078254317E-2</v>
      </c>
      <c r="E36" s="394"/>
      <c r="F36" s="418">
        <v>17153</v>
      </c>
      <c r="G36" s="420">
        <f t="shared" si="1"/>
        <v>-7.7543594771808388E-3</v>
      </c>
      <c r="H36" s="397"/>
      <c r="I36" s="24" t="s">
        <v>501</v>
      </c>
      <c r="J36" s="25">
        <v>0.81950280770879702</v>
      </c>
      <c r="K36" s="25">
        <v>0.10175945703250087</v>
      </c>
      <c r="L36" s="25">
        <v>8.0533331407915885</v>
      </c>
      <c r="M36" s="25">
        <v>2.9826136199747955E-14</v>
      </c>
      <c r="N36" s="25">
        <v>0.61911794385798657</v>
      </c>
      <c r="O36" s="25">
        <v>1.0198876715596075</v>
      </c>
      <c r="P36" s="25">
        <v>0.61911794385798657</v>
      </c>
      <c r="Q36" s="59">
        <v>1.0198876715596075</v>
      </c>
      <c r="T36" s="393"/>
      <c r="U36" s="394"/>
    </row>
    <row r="37" spans="2:21" x14ac:dyDescent="0.2">
      <c r="B37" s="426">
        <v>44647</v>
      </c>
      <c r="C37" s="394">
        <v>142.94999999999999</v>
      </c>
      <c r="D37" s="420">
        <f t="shared" si="0"/>
        <v>6.0853432282003572E-2</v>
      </c>
      <c r="E37" s="394"/>
      <c r="F37" s="418">
        <v>17670.45</v>
      </c>
      <c r="G37" s="420">
        <f t="shared" si="1"/>
        <v>3.0166734681979834E-2</v>
      </c>
      <c r="H37" s="397"/>
      <c r="T37" s="393"/>
      <c r="U37" s="394"/>
    </row>
    <row r="38" spans="2:21" x14ac:dyDescent="0.2">
      <c r="B38" s="426">
        <v>44654</v>
      </c>
      <c r="C38" s="394">
        <v>152.05000000000001</v>
      </c>
      <c r="D38" s="420">
        <f t="shared" si="0"/>
        <v>6.3658621895767986E-2</v>
      </c>
      <c r="E38" s="394"/>
      <c r="F38" s="418">
        <v>17784.349999999999</v>
      </c>
      <c r="G38" s="420">
        <f t="shared" si="1"/>
        <v>6.4457894394311932E-3</v>
      </c>
      <c r="H38" s="397"/>
      <c r="T38" s="393"/>
      <c r="U38" s="394"/>
    </row>
    <row r="39" spans="2:21" x14ac:dyDescent="0.2">
      <c r="B39" s="426">
        <v>44661</v>
      </c>
      <c r="C39" s="394">
        <v>153.94999999999999</v>
      </c>
      <c r="D39" s="420">
        <f t="shared" si="0"/>
        <v>1.2495889510029334E-2</v>
      </c>
      <c r="E39" s="394"/>
      <c r="F39" s="418">
        <v>17475.650000000001</v>
      </c>
      <c r="G39" s="420">
        <f t="shared" si="1"/>
        <v>-1.7357957979909133E-2</v>
      </c>
      <c r="H39" s="397"/>
      <c r="T39" s="393"/>
      <c r="U39" s="394"/>
    </row>
    <row r="40" spans="2:21" x14ac:dyDescent="0.2">
      <c r="B40" s="426">
        <v>44668</v>
      </c>
      <c r="C40" s="394">
        <v>160.44999999999999</v>
      </c>
      <c r="D40" s="420">
        <f t="shared" si="0"/>
        <v>4.2221500487171104E-2</v>
      </c>
      <c r="E40" s="394"/>
      <c r="F40" s="418">
        <v>17171.95</v>
      </c>
      <c r="G40" s="420">
        <f t="shared" si="1"/>
        <v>-1.7378466609253462E-2</v>
      </c>
      <c r="H40" s="397"/>
      <c r="I40" s="397"/>
      <c r="J40" s="397"/>
      <c r="K40" s="394"/>
      <c r="L40" s="396"/>
      <c r="T40" s="393"/>
      <c r="U40" s="394"/>
    </row>
    <row r="41" spans="2:21" x14ac:dyDescent="0.2">
      <c r="B41" s="426">
        <v>44675</v>
      </c>
      <c r="C41" s="394">
        <v>156.19999999999999</v>
      </c>
      <c r="D41" s="420">
        <f t="shared" si="0"/>
        <v>-2.6488002492988438E-2</v>
      </c>
      <c r="E41" s="394"/>
      <c r="F41" s="418">
        <v>17102.55</v>
      </c>
      <c r="G41" s="420">
        <f t="shared" si="1"/>
        <v>-4.0414746141237412E-3</v>
      </c>
      <c r="H41" s="397"/>
      <c r="I41" s="397"/>
      <c r="J41" s="397"/>
      <c r="K41" s="394"/>
      <c r="L41" s="396"/>
      <c r="T41" s="393"/>
      <c r="U41" s="394"/>
    </row>
    <row r="42" spans="2:21" x14ac:dyDescent="0.2">
      <c r="B42" s="426">
        <v>44682</v>
      </c>
      <c r="C42" s="394">
        <v>159</v>
      </c>
      <c r="D42" s="420">
        <f t="shared" si="0"/>
        <v>1.7925736235595569E-2</v>
      </c>
      <c r="E42" s="394"/>
      <c r="F42" s="418">
        <v>16411.25</v>
      </c>
      <c r="G42" s="420">
        <f t="shared" si="1"/>
        <v>-4.0420872910764682E-2</v>
      </c>
      <c r="H42" s="397"/>
      <c r="I42" s="397"/>
      <c r="J42" s="397"/>
      <c r="K42" s="394"/>
      <c r="L42" s="396"/>
      <c r="T42" s="393"/>
      <c r="U42" s="394"/>
    </row>
    <row r="43" spans="2:21" x14ac:dyDescent="0.2">
      <c r="B43" s="426">
        <v>44689</v>
      </c>
      <c r="C43" s="394">
        <v>144.15</v>
      </c>
      <c r="D43" s="420">
        <f t="shared" si="0"/>
        <v>-9.3396226415094263E-2</v>
      </c>
      <c r="E43" s="394"/>
      <c r="F43" s="418">
        <v>15782.15</v>
      </c>
      <c r="G43" s="420">
        <f t="shared" si="1"/>
        <v>-3.8333460278772158E-2</v>
      </c>
      <c r="H43" s="397"/>
      <c r="I43" s="397"/>
      <c r="J43" s="397"/>
      <c r="K43" s="394"/>
      <c r="L43" s="396"/>
      <c r="T43" s="393"/>
      <c r="U43" s="394"/>
    </row>
    <row r="44" spans="2:21" x14ac:dyDescent="0.2">
      <c r="B44" s="426">
        <v>44696</v>
      </c>
      <c r="C44" s="394">
        <v>149.6</v>
      </c>
      <c r="D44" s="420">
        <f t="shared" si="0"/>
        <v>3.7807839056538173E-2</v>
      </c>
      <c r="E44" s="394"/>
      <c r="F44" s="418">
        <v>16266.15</v>
      </c>
      <c r="G44" s="420">
        <f t="shared" si="1"/>
        <v>3.0667557968971249E-2</v>
      </c>
      <c r="H44" s="397"/>
      <c r="I44" s="397"/>
      <c r="J44" s="397"/>
      <c r="K44" s="394"/>
      <c r="L44" s="396"/>
      <c r="T44" s="393"/>
      <c r="U44" s="394"/>
    </row>
    <row r="45" spans="2:21" x14ac:dyDescent="0.2">
      <c r="B45" s="426">
        <v>44703</v>
      </c>
      <c r="C45" s="394">
        <v>150.44999999999999</v>
      </c>
      <c r="D45" s="420">
        <f t="shared" si="0"/>
        <v>5.6818181818181213E-3</v>
      </c>
      <c r="E45" s="394"/>
      <c r="F45" s="418">
        <v>16352.45</v>
      </c>
      <c r="G45" s="420">
        <f t="shared" si="1"/>
        <v>5.3054963835941216E-3</v>
      </c>
      <c r="H45" s="397"/>
      <c r="I45" s="397"/>
      <c r="J45" s="397"/>
      <c r="K45" s="394"/>
      <c r="L45" s="396"/>
      <c r="T45" s="393"/>
      <c r="U45" s="394"/>
    </row>
    <row r="46" spans="2:21" x14ac:dyDescent="0.2">
      <c r="B46" s="426">
        <v>44710</v>
      </c>
      <c r="C46" s="394">
        <v>155</v>
      </c>
      <c r="D46" s="420">
        <f t="shared" si="0"/>
        <v>3.0242605516783039E-2</v>
      </c>
      <c r="E46" s="394"/>
      <c r="F46" s="418">
        <v>16584.3</v>
      </c>
      <c r="G46" s="420">
        <f t="shared" si="1"/>
        <v>1.4178303556959371E-2</v>
      </c>
      <c r="H46" s="397"/>
      <c r="I46" s="397"/>
      <c r="J46" s="397"/>
      <c r="K46" s="394"/>
      <c r="L46" s="396"/>
      <c r="T46" s="393"/>
      <c r="U46" s="394"/>
    </row>
    <row r="47" spans="2:21" x14ac:dyDescent="0.2">
      <c r="B47" s="426">
        <v>44717</v>
      </c>
      <c r="C47" s="394">
        <v>155.25</v>
      </c>
      <c r="D47" s="420">
        <f t="shared" si="0"/>
        <v>1.612903225806539E-3</v>
      </c>
      <c r="E47" s="394"/>
      <c r="F47" s="418">
        <v>16201.8</v>
      </c>
      <c r="G47" s="420">
        <f t="shared" si="1"/>
        <v>-2.3063982200032584E-2</v>
      </c>
      <c r="H47" s="397"/>
      <c r="I47" s="397"/>
      <c r="J47" s="397"/>
      <c r="K47" s="394"/>
      <c r="L47" s="396"/>
      <c r="T47" s="393"/>
      <c r="U47" s="394"/>
    </row>
    <row r="48" spans="2:21" x14ac:dyDescent="0.2">
      <c r="B48" s="426">
        <v>44724</v>
      </c>
      <c r="C48" s="394">
        <v>140.44999999999999</v>
      </c>
      <c r="D48" s="420">
        <f t="shared" si="0"/>
        <v>-9.5330112721417115E-2</v>
      </c>
      <c r="E48" s="394"/>
      <c r="F48" s="418">
        <v>15293.5</v>
      </c>
      <c r="G48" s="420">
        <f t="shared" si="1"/>
        <v>-5.6061672159883447E-2</v>
      </c>
      <c r="H48" s="397"/>
      <c r="I48" s="397"/>
      <c r="J48" s="397"/>
      <c r="K48" s="394"/>
      <c r="L48" s="396"/>
      <c r="T48" s="393"/>
      <c r="U48" s="394"/>
    </row>
    <row r="49" spans="2:21" x14ac:dyDescent="0.2">
      <c r="B49" s="426">
        <v>44731</v>
      </c>
      <c r="C49" s="394">
        <v>136.6</v>
      </c>
      <c r="D49" s="420">
        <f t="shared" si="0"/>
        <v>-2.7411890352438517E-2</v>
      </c>
      <c r="E49" s="394"/>
      <c r="F49" s="418">
        <v>15699.25</v>
      </c>
      <c r="G49" s="420">
        <f t="shared" si="1"/>
        <v>2.6530879131657192E-2</v>
      </c>
      <c r="H49" s="397"/>
      <c r="I49" s="397"/>
      <c r="J49" s="397"/>
      <c r="K49" s="394"/>
      <c r="L49" s="396"/>
      <c r="T49" s="393"/>
      <c r="U49" s="394"/>
    </row>
    <row r="50" spans="2:21" x14ac:dyDescent="0.2">
      <c r="B50" s="426">
        <v>44738</v>
      </c>
      <c r="C50" s="394">
        <v>140.65</v>
      </c>
      <c r="D50" s="420">
        <f t="shared" si="0"/>
        <v>2.964860907759892E-2</v>
      </c>
      <c r="E50" s="394"/>
      <c r="F50" s="418">
        <v>15752.05</v>
      </c>
      <c r="G50" s="420">
        <f t="shared" si="1"/>
        <v>3.3632179881204483E-3</v>
      </c>
      <c r="H50" s="397"/>
      <c r="I50" s="397"/>
      <c r="J50" s="397"/>
      <c r="K50" s="394"/>
      <c r="L50" s="396"/>
      <c r="T50" s="393"/>
      <c r="U50" s="394"/>
    </row>
    <row r="51" spans="2:21" x14ac:dyDescent="0.2">
      <c r="B51" s="426">
        <v>44745</v>
      </c>
      <c r="C51" s="394">
        <v>143.69999999999999</v>
      </c>
      <c r="D51" s="420">
        <f t="shared" si="0"/>
        <v>2.1685033771773776E-2</v>
      </c>
      <c r="E51" s="394"/>
      <c r="F51" s="418">
        <v>16220.6</v>
      </c>
      <c r="G51" s="420">
        <f t="shared" si="1"/>
        <v>2.9745334734209372E-2</v>
      </c>
      <c r="H51" s="397"/>
      <c r="I51" s="397"/>
      <c r="J51" s="397"/>
      <c r="K51" s="394"/>
      <c r="L51" s="396"/>
      <c r="T51" s="393"/>
      <c r="U51" s="394"/>
    </row>
    <row r="52" spans="2:21" x14ac:dyDescent="0.2">
      <c r="B52" s="426">
        <v>44752</v>
      </c>
      <c r="C52" s="394">
        <v>149.75</v>
      </c>
      <c r="D52" s="420">
        <f t="shared" si="0"/>
        <v>4.2101600556715413E-2</v>
      </c>
      <c r="E52" s="394"/>
      <c r="F52" s="418">
        <v>16049.2</v>
      </c>
      <c r="G52" s="420">
        <f t="shared" si="1"/>
        <v>-1.0566810105668067E-2</v>
      </c>
      <c r="H52" s="397"/>
      <c r="I52" s="397"/>
      <c r="J52" s="397"/>
      <c r="K52" s="394"/>
      <c r="L52" s="396"/>
      <c r="T52" s="393"/>
      <c r="U52" s="394"/>
    </row>
    <row r="53" spans="2:21" x14ac:dyDescent="0.2">
      <c r="B53" s="426">
        <v>44759</v>
      </c>
      <c r="C53" s="394">
        <v>148.94999999999999</v>
      </c>
      <c r="D53" s="420">
        <f t="shared" si="0"/>
        <v>-5.3422370617697279E-3</v>
      </c>
      <c r="E53" s="394"/>
      <c r="F53" s="418">
        <v>16719.45</v>
      </c>
      <c r="G53" s="420">
        <f t="shared" si="1"/>
        <v>4.1762206215886222E-2</v>
      </c>
      <c r="H53" s="397"/>
      <c r="I53" s="397"/>
      <c r="J53" s="397"/>
      <c r="K53" s="394"/>
      <c r="L53" s="396"/>
      <c r="T53" s="393"/>
      <c r="U53" s="394"/>
    </row>
    <row r="54" spans="2:21" x14ac:dyDescent="0.2">
      <c r="B54" s="426">
        <v>44766</v>
      </c>
      <c r="C54" s="394">
        <v>152.94999999999999</v>
      </c>
      <c r="D54" s="420">
        <f t="shared" si="0"/>
        <v>2.6854649211144777E-2</v>
      </c>
      <c r="E54" s="394"/>
      <c r="F54" s="418">
        <v>17158.25</v>
      </c>
      <c r="G54" s="420">
        <f t="shared" si="1"/>
        <v>2.6244882457257868E-2</v>
      </c>
      <c r="H54" s="397"/>
      <c r="I54" s="397"/>
      <c r="J54" s="397"/>
      <c r="K54" s="394"/>
      <c r="L54" s="396"/>
      <c r="T54" s="393"/>
      <c r="U54" s="394"/>
    </row>
    <row r="55" spans="2:21" x14ac:dyDescent="0.2">
      <c r="B55" s="426">
        <v>44773</v>
      </c>
      <c r="C55" s="394">
        <v>155.6</v>
      </c>
      <c r="D55" s="420">
        <f t="shared" si="0"/>
        <v>1.7325923504413199E-2</v>
      </c>
      <c r="E55" s="394"/>
      <c r="F55" s="418">
        <v>17397.5</v>
      </c>
      <c r="G55" s="420">
        <f t="shared" si="1"/>
        <v>1.3943729692713402E-2</v>
      </c>
      <c r="H55" s="397"/>
      <c r="I55" s="397"/>
      <c r="J55" s="397"/>
      <c r="K55" s="394"/>
      <c r="L55" s="396"/>
      <c r="T55" s="393"/>
      <c r="U55" s="394"/>
    </row>
    <row r="56" spans="2:21" x14ac:dyDescent="0.2">
      <c r="B56" s="426">
        <v>44780</v>
      </c>
      <c r="C56" s="394">
        <v>158.5</v>
      </c>
      <c r="D56" s="420">
        <f t="shared" si="0"/>
        <v>1.8637532133676027E-2</v>
      </c>
      <c r="E56" s="394"/>
      <c r="F56" s="418">
        <v>17698.150000000001</v>
      </c>
      <c r="G56" s="420">
        <f t="shared" si="1"/>
        <v>1.7281218565885936E-2</v>
      </c>
      <c r="H56" s="397"/>
      <c r="I56" s="397"/>
      <c r="J56" s="397"/>
      <c r="K56" s="394"/>
      <c r="L56" s="396"/>
      <c r="T56" s="393"/>
      <c r="U56" s="394"/>
    </row>
    <row r="57" spans="2:21" x14ac:dyDescent="0.2">
      <c r="B57" s="426">
        <v>44787</v>
      </c>
      <c r="C57" s="394">
        <v>157.75</v>
      </c>
      <c r="D57" s="420">
        <f t="shared" si="0"/>
        <v>-4.7318611987381409E-3</v>
      </c>
      <c r="E57" s="394"/>
      <c r="F57" s="418">
        <v>17758.45</v>
      </c>
      <c r="G57" s="420">
        <f t="shared" si="1"/>
        <v>3.4071357740781405E-3</v>
      </c>
      <c r="H57" s="397"/>
      <c r="I57" s="397"/>
      <c r="J57" s="397"/>
      <c r="K57" s="394"/>
      <c r="L57" s="396"/>
      <c r="T57" s="393"/>
      <c r="U57" s="394"/>
    </row>
    <row r="58" spans="2:21" x14ac:dyDescent="0.2">
      <c r="B58" s="426">
        <v>44794</v>
      </c>
      <c r="C58" s="394">
        <v>163.4</v>
      </c>
      <c r="D58" s="420">
        <f t="shared" si="0"/>
        <v>3.581616481774974E-2</v>
      </c>
      <c r="E58" s="394"/>
      <c r="F58" s="418">
        <v>17558.900000000001</v>
      </c>
      <c r="G58" s="420">
        <f t="shared" si="1"/>
        <v>-1.1236904121699753E-2</v>
      </c>
      <c r="H58" s="397"/>
      <c r="I58" s="397"/>
      <c r="J58" s="397"/>
      <c r="K58" s="394"/>
      <c r="L58" s="396"/>
      <c r="T58" s="393"/>
      <c r="U58" s="394"/>
    </row>
    <row r="59" spans="2:21" x14ac:dyDescent="0.2">
      <c r="B59" s="426">
        <v>44801</v>
      </c>
      <c r="C59" s="394">
        <v>161.80000000000001</v>
      </c>
      <c r="D59" s="420">
        <f t="shared" si="0"/>
        <v>-9.7919216646266127E-3</v>
      </c>
      <c r="E59" s="394"/>
      <c r="F59" s="418">
        <v>17539.45</v>
      </c>
      <c r="G59" s="420">
        <f t="shared" si="1"/>
        <v>-1.1077003684741848E-3</v>
      </c>
      <c r="H59" s="397"/>
      <c r="I59" s="397"/>
      <c r="J59" s="397"/>
      <c r="K59" s="394"/>
      <c r="L59" s="396"/>
      <c r="T59" s="393"/>
      <c r="U59" s="394"/>
    </row>
    <row r="60" spans="2:21" x14ac:dyDescent="0.2">
      <c r="B60" s="426">
        <v>44808</v>
      </c>
      <c r="C60" s="394">
        <v>166.6</v>
      </c>
      <c r="D60" s="420">
        <f t="shared" si="0"/>
        <v>2.9666254635352107E-2</v>
      </c>
      <c r="E60" s="394"/>
      <c r="F60" s="418">
        <v>17833.349999999999</v>
      </c>
      <c r="G60" s="420">
        <f t="shared" si="1"/>
        <v>1.6756511749228098E-2</v>
      </c>
      <c r="H60" s="397"/>
      <c r="I60" s="397"/>
      <c r="J60" s="397"/>
      <c r="K60" s="394"/>
      <c r="L60" s="396"/>
      <c r="T60" s="393"/>
      <c r="U60" s="394"/>
    </row>
    <row r="61" spans="2:21" x14ac:dyDescent="0.2">
      <c r="B61" s="426">
        <v>44815</v>
      </c>
      <c r="C61" s="394">
        <v>172.8</v>
      </c>
      <c r="D61" s="420">
        <f t="shared" si="0"/>
        <v>3.7214885954381938E-2</v>
      </c>
      <c r="E61" s="394"/>
      <c r="F61" s="418">
        <v>17530.849999999999</v>
      </c>
      <c r="G61" s="420">
        <f t="shared" si="1"/>
        <v>-1.6962600969531838E-2</v>
      </c>
      <c r="H61" s="397"/>
      <c r="I61" s="397"/>
      <c r="J61" s="397"/>
      <c r="K61" s="394"/>
      <c r="L61" s="396"/>
      <c r="T61" s="393"/>
      <c r="U61" s="394"/>
    </row>
    <row r="62" spans="2:21" x14ac:dyDescent="0.2">
      <c r="B62" s="426">
        <v>44822</v>
      </c>
      <c r="C62" s="394">
        <v>163.95</v>
      </c>
      <c r="D62" s="420">
        <f t="shared" si="0"/>
        <v>-5.1215277777777901E-2</v>
      </c>
      <c r="E62" s="394"/>
      <c r="F62" s="418">
        <v>17327.349999999999</v>
      </c>
      <c r="G62" s="420">
        <f t="shared" si="1"/>
        <v>-1.1608107992481798E-2</v>
      </c>
      <c r="H62" s="397"/>
      <c r="I62" s="397"/>
      <c r="J62" s="397"/>
      <c r="K62" s="394"/>
      <c r="L62" s="396"/>
      <c r="T62" s="393"/>
      <c r="U62" s="394"/>
    </row>
    <row r="63" spans="2:21" x14ac:dyDescent="0.2">
      <c r="B63" s="426">
        <v>44829</v>
      </c>
      <c r="C63" s="394">
        <v>159.65</v>
      </c>
      <c r="D63" s="420">
        <f t="shared" si="0"/>
        <v>-2.622750838670318E-2</v>
      </c>
      <c r="E63" s="394"/>
      <c r="F63" s="418">
        <v>17094.349999999999</v>
      </c>
      <c r="G63" s="420">
        <f t="shared" si="1"/>
        <v>-1.3446949475828696E-2</v>
      </c>
      <c r="H63" s="397"/>
      <c r="I63" s="397"/>
      <c r="J63" s="397"/>
      <c r="K63" s="394"/>
      <c r="L63" s="396"/>
      <c r="T63" s="393"/>
      <c r="U63" s="394"/>
    </row>
    <row r="64" spans="2:21" x14ac:dyDescent="0.2">
      <c r="B64" s="426">
        <v>44836</v>
      </c>
      <c r="C64" s="394">
        <v>164.3</v>
      </c>
      <c r="D64" s="420">
        <f t="shared" si="0"/>
        <v>2.9126213592232997E-2</v>
      </c>
      <c r="E64" s="394"/>
      <c r="F64" s="418">
        <v>17314.650000000001</v>
      </c>
      <c r="G64" s="420">
        <f t="shared" si="1"/>
        <v>1.2887299019851861E-2</v>
      </c>
      <c r="H64" s="397"/>
      <c r="I64" s="397"/>
      <c r="J64" s="397"/>
      <c r="K64" s="394"/>
      <c r="L64" s="396"/>
      <c r="T64" s="393"/>
      <c r="U64" s="394"/>
    </row>
    <row r="65" spans="2:21" x14ac:dyDescent="0.2">
      <c r="B65" s="426">
        <v>44843</v>
      </c>
      <c r="C65" s="394">
        <v>165.1</v>
      </c>
      <c r="D65" s="420">
        <f t="shared" si="0"/>
        <v>4.8691418137551956E-3</v>
      </c>
      <c r="E65" s="394"/>
      <c r="F65" s="418">
        <v>17185.7</v>
      </c>
      <c r="G65" s="420">
        <f t="shared" si="1"/>
        <v>-7.4474505693156168E-3</v>
      </c>
      <c r="H65" s="397"/>
      <c r="I65" s="397"/>
      <c r="J65" s="397"/>
      <c r="K65" s="394"/>
      <c r="L65" s="396"/>
      <c r="T65" s="393"/>
      <c r="U65" s="394"/>
    </row>
    <row r="66" spans="2:21" x14ac:dyDescent="0.2">
      <c r="B66" s="426">
        <v>44850</v>
      </c>
      <c r="C66" s="394">
        <v>165.05</v>
      </c>
      <c r="D66" s="420">
        <f t="shared" si="0"/>
        <v>-3.0284675953962115E-4</v>
      </c>
      <c r="E66" s="394"/>
      <c r="F66" s="418">
        <v>17576.3</v>
      </c>
      <c r="G66" s="420">
        <f t="shared" si="1"/>
        <v>2.2728198444055048E-2</v>
      </c>
      <c r="H66" s="397"/>
      <c r="I66" s="397"/>
      <c r="J66" s="397"/>
      <c r="K66" s="394"/>
      <c r="L66" s="396"/>
      <c r="T66" s="393"/>
      <c r="U66" s="394"/>
    </row>
    <row r="67" spans="2:21" x14ac:dyDescent="0.2">
      <c r="B67" s="426">
        <v>44857</v>
      </c>
      <c r="C67" s="394">
        <v>174.05</v>
      </c>
      <c r="D67" s="420">
        <f t="shared" si="0"/>
        <v>5.4528930627082639E-2</v>
      </c>
      <c r="E67" s="394"/>
      <c r="F67" s="418">
        <v>17786.8</v>
      </c>
      <c r="G67" s="420">
        <f t="shared" si="1"/>
        <v>1.1976354522851729E-2</v>
      </c>
      <c r="H67" s="397"/>
      <c r="I67" s="397"/>
      <c r="J67" s="397"/>
      <c r="K67" s="394"/>
      <c r="L67" s="396"/>
      <c r="T67" s="393"/>
      <c r="U67" s="394"/>
    </row>
    <row r="68" spans="2:21" x14ac:dyDescent="0.2">
      <c r="B68" s="426">
        <v>44864</v>
      </c>
      <c r="C68" s="394">
        <v>176.95</v>
      </c>
      <c r="D68" s="420">
        <f t="shared" si="0"/>
        <v>1.6661878770468208E-2</v>
      </c>
      <c r="E68" s="394"/>
      <c r="F68" s="418">
        <v>18117.150000000001</v>
      </c>
      <c r="G68" s="420">
        <f t="shared" si="1"/>
        <v>1.8572761823374861E-2</v>
      </c>
      <c r="H68" s="397"/>
      <c r="I68" s="397"/>
      <c r="J68" s="397"/>
      <c r="K68" s="394"/>
      <c r="L68" s="396"/>
      <c r="T68" s="393"/>
      <c r="U68" s="394"/>
    </row>
    <row r="69" spans="2:21" x14ac:dyDescent="0.2">
      <c r="B69" s="426">
        <v>44871</v>
      </c>
      <c r="C69" s="394">
        <v>171.45</v>
      </c>
      <c r="D69" s="420">
        <f t="shared" si="0"/>
        <v>-3.1082226617688669E-2</v>
      </c>
      <c r="E69" s="394"/>
      <c r="F69" s="418">
        <v>18349.7</v>
      </c>
      <c r="G69" s="420">
        <f t="shared" si="1"/>
        <v>1.2835904101914375E-2</v>
      </c>
      <c r="H69" s="397"/>
      <c r="I69" s="397"/>
      <c r="J69" s="397"/>
      <c r="K69" s="394"/>
      <c r="L69" s="396"/>
      <c r="T69" s="393"/>
      <c r="U69" s="394"/>
    </row>
    <row r="70" spans="2:21" x14ac:dyDescent="0.2">
      <c r="B70" s="426">
        <v>44878</v>
      </c>
      <c r="C70" s="394">
        <v>165.85</v>
      </c>
      <c r="D70" s="420">
        <f t="shared" si="0"/>
        <v>-3.2662583843686144E-2</v>
      </c>
      <c r="E70" s="394"/>
      <c r="F70" s="418">
        <v>18307.650000000001</v>
      </c>
      <c r="G70" s="420">
        <f t="shared" si="1"/>
        <v>-2.2915905982113793E-3</v>
      </c>
      <c r="H70" s="397"/>
      <c r="I70" s="397"/>
      <c r="J70" s="397"/>
      <c r="K70" s="394"/>
      <c r="L70" s="396"/>
      <c r="T70" s="393"/>
      <c r="U70" s="394"/>
    </row>
    <row r="71" spans="2:21" x14ac:dyDescent="0.2">
      <c r="B71" s="426">
        <v>44885</v>
      </c>
      <c r="C71" s="394">
        <v>169.75</v>
      </c>
      <c r="D71" s="420">
        <f t="shared" si="0"/>
        <v>2.3515224600542783E-2</v>
      </c>
      <c r="E71" s="394"/>
      <c r="F71" s="418">
        <v>18512.75</v>
      </c>
      <c r="G71" s="420">
        <f t="shared" si="1"/>
        <v>1.1202967065680136E-2</v>
      </c>
      <c r="H71" s="397"/>
      <c r="I71" s="397"/>
      <c r="J71" s="397"/>
      <c r="K71" s="394"/>
      <c r="L71" s="396"/>
      <c r="T71" s="393"/>
      <c r="U71" s="394"/>
    </row>
    <row r="72" spans="2:21" x14ac:dyDescent="0.2">
      <c r="B72" s="426">
        <v>44892</v>
      </c>
      <c r="C72" s="394">
        <v>172.15</v>
      </c>
      <c r="D72" s="420">
        <f t="shared" si="0"/>
        <v>1.4138438880706872E-2</v>
      </c>
      <c r="E72" s="394"/>
      <c r="F72" s="418">
        <v>18696.099999999999</v>
      </c>
      <c r="G72" s="420">
        <f t="shared" si="1"/>
        <v>9.9039850913558158E-3</v>
      </c>
      <c r="H72" s="397"/>
      <c r="I72" s="397"/>
      <c r="J72" s="397"/>
      <c r="K72" s="394"/>
      <c r="L72" s="396"/>
      <c r="T72" s="393"/>
      <c r="U72" s="394"/>
    </row>
    <row r="73" spans="2:21" x14ac:dyDescent="0.2">
      <c r="B73" s="426">
        <v>44899</v>
      </c>
      <c r="C73" s="394">
        <v>169.5</v>
      </c>
      <c r="D73" s="420">
        <f t="shared" si="0"/>
        <v>-1.5393552134766231E-2</v>
      </c>
      <c r="E73" s="394"/>
      <c r="F73" s="418">
        <v>18496.599999999999</v>
      </c>
      <c r="G73" s="420">
        <f t="shared" si="1"/>
        <v>-1.0670674632677457E-2</v>
      </c>
      <c r="H73" s="397"/>
      <c r="I73" s="397"/>
      <c r="J73" s="397"/>
      <c r="K73" s="394"/>
      <c r="L73" s="396"/>
      <c r="T73" s="393"/>
      <c r="U73" s="394"/>
    </row>
    <row r="74" spans="2:21" x14ac:dyDescent="0.2">
      <c r="B74" s="426">
        <v>44906</v>
      </c>
      <c r="C74" s="394">
        <v>169.8</v>
      </c>
      <c r="D74" s="420">
        <f t="shared" si="0"/>
        <v>1.7699115044247371E-3</v>
      </c>
      <c r="E74" s="394"/>
      <c r="F74" s="418">
        <v>18269</v>
      </c>
      <c r="G74" s="420">
        <f t="shared" si="1"/>
        <v>-1.2304964155574472E-2</v>
      </c>
      <c r="H74" s="397"/>
      <c r="I74" s="397"/>
      <c r="J74" s="397"/>
      <c r="K74" s="394"/>
      <c r="L74" s="396"/>
      <c r="T74" s="393"/>
      <c r="U74" s="394"/>
    </row>
    <row r="75" spans="2:21" x14ac:dyDescent="0.2">
      <c r="B75" s="426">
        <v>44913</v>
      </c>
      <c r="C75" s="394">
        <v>163</v>
      </c>
      <c r="D75" s="420">
        <f t="shared" ref="D75:D138" si="2">C75/C74-1</f>
        <v>-4.0047114252061311E-2</v>
      </c>
      <c r="E75" s="394"/>
      <c r="F75" s="418">
        <v>17806.8</v>
      </c>
      <c r="G75" s="420">
        <f t="shared" si="1"/>
        <v>-2.5299687996058973E-2</v>
      </c>
      <c r="H75" s="397"/>
      <c r="I75" s="397"/>
      <c r="J75" s="397"/>
      <c r="K75" s="394"/>
      <c r="L75" s="396"/>
      <c r="T75" s="393"/>
      <c r="U75" s="394"/>
    </row>
    <row r="76" spans="2:21" x14ac:dyDescent="0.2">
      <c r="B76" s="426">
        <v>44920</v>
      </c>
      <c r="C76" s="394">
        <v>166.45</v>
      </c>
      <c r="D76" s="420">
        <f t="shared" si="2"/>
        <v>2.116564417177913E-2</v>
      </c>
      <c r="E76" s="394"/>
      <c r="F76" s="418">
        <v>18105.3</v>
      </c>
      <c r="G76" s="420">
        <f t="shared" ref="G76:G139" si="3">F76/F75-1</f>
        <v>1.6763258979715534E-2</v>
      </c>
      <c r="H76" s="397"/>
      <c r="I76" s="397"/>
      <c r="J76" s="397"/>
      <c r="K76" s="394"/>
      <c r="L76" s="396"/>
      <c r="T76" s="393"/>
      <c r="U76" s="394"/>
    </row>
    <row r="77" spans="2:21" x14ac:dyDescent="0.2">
      <c r="B77" s="426">
        <v>44927</v>
      </c>
      <c r="C77" s="394">
        <v>169</v>
      </c>
      <c r="D77" s="420">
        <f t="shared" si="2"/>
        <v>1.5319915890657843E-2</v>
      </c>
      <c r="E77" s="394"/>
      <c r="F77" s="418">
        <v>17859.45</v>
      </c>
      <c r="G77" s="420">
        <f t="shared" si="3"/>
        <v>-1.3578896787128536E-2</v>
      </c>
      <c r="H77" s="397"/>
      <c r="I77" s="397"/>
      <c r="J77" s="397"/>
      <c r="K77" s="394"/>
      <c r="L77" s="396"/>
      <c r="T77" s="393"/>
      <c r="U77" s="394"/>
    </row>
    <row r="78" spans="2:21" x14ac:dyDescent="0.2">
      <c r="B78" s="426">
        <v>44934</v>
      </c>
      <c r="C78" s="394">
        <v>167.8</v>
      </c>
      <c r="D78" s="420">
        <f t="shared" si="2"/>
        <v>-7.1005917159762122E-3</v>
      </c>
      <c r="E78" s="394"/>
      <c r="F78" s="418">
        <v>17956.599999999999</v>
      </c>
      <c r="G78" s="420">
        <f t="shared" si="3"/>
        <v>5.4396971911228054E-3</v>
      </c>
      <c r="H78" s="397"/>
      <c r="I78" s="397"/>
      <c r="J78" s="397"/>
      <c r="K78" s="394"/>
      <c r="L78" s="396"/>
      <c r="T78" s="393"/>
      <c r="U78" s="394"/>
    </row>
    <row r="79" spans="2:21" x14ac:dyDescent="0.2">
      <c r="B79" s="426">
        <v>44941</v>
      </c>
      <c r="C79" s="394">
        <v>168.7</v>
      </c>
      <c r="D79" s="420">
        <f t="shared" si="2"/>
        <v>5.3635280095349902E-3</v>
      </c>
      <c r="E79" s="394"/>
      <c r="F79" s="418">
        <v>18027.650000000001</v>
      </c>
      <c r="G79" s="420">
        <f t="shared" si="3"/>
        <v>3.9567624160476988E-3</v>
      </c>
      <c r="H79" s="397"/>
      <c r="I79" s="397"/>
      <c r="J79" s="397"/>
      <c r="K79" s="394"/>
      <c r="L79" s="396"/>
      <c r="T79" s="393"/>
      <c r="U79" s="394"/>
    </row>
    <row r="80" spans="2:21" x14ac:dyDescent="0.2">
      <c r="B80" s="426">
        <v>44948</v>
      </c>
      <c r="C80" s="394">
        <v>166.3</v>
      </c>
      <c r="D80" s="420">
        <f t="shared" si="2"/>
        <v>-1.4226437462951824E-2</v>
      </c>
      <c r="E80" s="394"/>
      <c r="F80" s="418">
        <v>17604.349999999999</v>
      </c>
      <c r="G80" s="420">
        <f t="shared" si="3"/>
        <v>-2.3480597859399488E-2</v>
      </c>
      <c r="H80" s="397"/>
      <c r="I80" s="397"/>
      <c r="J80" s="397"/>
      <c r="K80" s="394"/>
      <c r="L80" s="396"/>
      <c r="T80" s="393"/>
      <c r="U80" s="394"/>
    </row>
    <row r="81" spans="2:21" x14ac:dyDescent="0.2">
      <c r="B81" s="426">
        <v>44955</v>
      </c>
      <c r="C81" s="394">
        <v>165.55</v>
      </c>
      <c r="D81" s="420">
        <f t="shared" si="2"/>
        <v>-4.5099218280216791E-3</v>
      </c>
      <c r="E81" s="394"/>
      <c r="F81" s="418">
        <v>17854.05</v>
      </c>
      <c r="G81" s="420">
        <f t="shared" si="3"/>
        <v>1.4183994296864233E-2</v>
      </c>
      <c r="H81" s="397"/>
      <c r="I81" s="397"/>
      <c r="J81" s="397"/>
      <c r="K81" s="394"/>
      <c r="L81" s="396"/>
      <c r="T81" s="393"/>
      <c r="U81" s="394"/>
    </row>
    <row r="82" spans="2:21" x14ac:dyDescent="0.2">
      <c r="B82" s="426">
        <v>44962</v>
      </c>
      <c r="C82" s="394">
        <v>165</v>
      </c>
      <c r="D82" s="420">
        <f t="shared" si="2"/>
        <v>-3.3222591362126463E-3</v>
      </c>
      <c r="E82" s="394"/>
      <c r="F82" s="418">
        <v>17856.5</v>
      </c>
      <c r="G82" s="420">
        <f t="shared" si="3"/>
        <v>1.372237671564136E-4</v>
      </c>
      <c r="H82" s="397"/>
      <c r="I82" s="397"/>
      <c r="J82" s="397"/>
      <c r="K82" s="394"/>
      <c r="L82" s="396"/>
      <c r="T82" s="393"/>
      <c r="U82" s="394"/>
    </row>
    <row r="83" spans="2:21" x14ac:dyDescent="0.2">
      <c r="B83" s="426">
        <v>44969</v>
      </c>
      <c r="C83" s="394">
        <v>168.05</v>
      </c>
      <c r="D83" s="420">
        <f t="shared" si="2"/>
        <v>1.8484848484848548E-2</v>
      </c>
      <c r="E83" s="394"/>
      <c r="F83" s="418">
        <v>17944.2</v>
      </c>
      <c r="G83" s="420">
        <f t="shared" si="3"/>
        <v>4.9113768095652155E-3</v>
      </c>
      <c r="H83" s="397"/>
      <c r="I83" s="397"/>
      <c r="J83" s="397"/>
      <c r="K83" s="394"/>
      <c r="L83" s="396"/>
      <c r="T83" s="393"/>
      <c r="U83" s="394"/>
    </row>
    <row r="84" spans="2:21" x14ac:dyDescent="0.2">
      <c r="B84" s="426">
        <v>44976</v>
      </c>
      <c r="C84" s="394">
        <v>171</v>
      </c>
      <c r="D84" s="420">
        <f t="shared" si="2"/>
        <v>1.7554299315679867E-2</v>
      </c>
      <c r="E84" s="394"/>
      <c r="F84" s="418">
        <v>17465.8</v>
      </c>
      <c r="G84" s="420">
        <f t="shared" si="3"/>
        <v>-2.6660425095574092E-2</v>
      </c>
      <c r="H84" s="397"/>
      <c r="I84" s="397"/>
      <c r="J84" s="397"/>
      <c r="K84" s="394"/>
      <c r="L84" s="396"/>
      <c r="T84" s="393"/>
      <c r="U84" s="394"/>
    </row>
    <row r="85" spans="2:21" x14ac:dyDescent="0.2">
      <c r="B85" s="426">
        <v>44983</v>
      </c>
      <c r="C85" s="394">
        <v>172.6</v>
      </c>
      <c r="D85" s="420">
        <f t="shared" si="2"/>
        <v>9.3567251461987855E-3</v>
      </c>
      <c r="E85" s="394"/>
      <c r="F85" s="418">
        <v>17594.349999999999</v>
      </c>
      <c r="G85" s="420">
        <f t="shared" si="3"/>
        <v>7.360098020130712E-3</v>
      </c>
      <c r="H85" s="397"/>
      <c r="I85" s="397"/>
      <c r="J85" s="397"/>
      <c r="K85" s="394"/>
      <c r="L85" s="396"/>
      <c r="T85" s="393"/>
      <c r="U85" s="394"/>
    </row>
    <row r="86" spans="2:21" x14ac:dyDescent="0.2">
      <c r="B86" s="426">
        <v>44990</v>
      </c>
      <c r="C86" s="394">
        <v>180.75</v>
      </c>
      <c r="D86" s="420">
        <f t="shared" si="2"/>
        <v>4.7219003476245636E-2</v>
      </c>
      <c r="E86" s="394"/>
      <c r="F86" s="418">
        <v>17412.900000000001</v>
      </c>
      <c r="G86" s="420">
        <f t="shared" si="3"/>
        <v>-1.0312969788596749E-2</v>
      </c>
      <c r="H86" s="397"/>
      <c r="I86" s="397"/>
      <c r="J86" s="397"/>
      <c r="K86" s="394"/>
      <c r="L86" s="396"/>
      <c r="T86" s="393"/>
      <c r="U86" s="394"/>
    </row>
    <row r="87" spans="2:21" x14ac:dyDescent="0.2">
      <c r="B87" s="426">
        <v>44997</v>
      </c>
      <c r="C87" s="394">
        <v>176.95</v>
      </c>
      <c r="D87" s="420">
        <f t="shared" si="2"/>
        <v>-2.1023513139695749E-2</v>
      </c>
      <c r="E87" s="394"/>
      <c r="F87" s="418">
        <v>17100.05</v>
      </c>
      <c r="G87" s="420">
        <f t="shared" si="3"/>
        <v>-1.796656501788918E-2</v>
      </c>
      <c r="H87" s="397"/>
      <c r="I87" s="397"/>
      <c r="J87" s="397"/>
      <c r="K87" s="394"/>
      <c r="L87" s="396"/>
      <c r="T87" s="393"/>
      <c r="U87" s="394"/>
    </row>
    <row r="88" spans="2:21" x14ac:dyDescent="0.2">
      <c r="B88" s="426">
        <v>45004</v>
      </c>
      <c r="C88" s="394">
        <v>172.7</v>
      </c>
      <c r="D88" s="420">
        <f t="shared" si="2"/>
        <v>-2.4018084204577517E-2</v>
      </c>
      <c r="E88" s="394"/>
      <c r="F88" s="418">
        <v>16945.05</v>
      </c>
      <c r="G88" s="420">
        <f t="shared" si="3"/>
        <v>-9.0643009815760678E-3</v>
      </c>
      <c r="H88" s="397"/>
      <c r="I88" s="397"/>
      <c r="J88" s="397"/>
      <c r="K88" s="394"/>
      <c r="L88" s="396"/>
      <c r="T88" s="393"/>
      <c r="U88" s="394"/>
    </row>
    <row r="89" spans="2:21" x14ac:dyDescent="0.2">
      <c r="B89" s="426">
        <v>45011</v>
      </c>
      <c r="C89" s="394">
        <v>175.1</v>
      </c>
      <c r="D89" s="420">
        <f t="shared" si="2"/>
        <v>1.389693109438328E-2</v>
      </c>
      <c r="E89" s="394"/>
      <c r="F89" s="418">
        <v>17359.75</v>
      </c>
      <c r="G89" s="420">
        <f t="shared" si="3"/>
        <v>2.4473223743807226E-2</v>
      </c>
      <c r="H89" s="397"/>
      <c r="I89" s="397"/>
      <c r="J89" s="397"/>
      <c r="K89" s="394"/>
      <c r="L89" s="396"/>
      <c r="T89" s="393"/>
      <c r="U89" s="394"/>
    </row>
    <row r="90" spans="2:21" x14ac:dyDescent="0.2">
      <c r="B90" s="426">
        <v>45018</v>
      </c>
      <c r="C90" s="394">
        <v>175.2</v>
      </c>
      <c r="D90" s="420">
        <f t="shared" si="2"/>
        <v>5.711022272987254E-4</v>
      </c>
      <c r="E90" s="394"/>
      <c r="F90" s="418">
        <v>17599.150000000001</v>
      </c>
      <c r="G90" s="420">
        <f t="shared" si="3"/>
        <v>1.3790521176860304E-2</v>
      </c>
      <c r="H90" s="397"/>
      <c r="I90" s="397"/>
      <c r="J90" s="397"/>
      <c r="K90" s="394"/>
      <c r="L90" s="396"/>
      <c r="T90" s="393"/>
      <c r="U90" s="394"/>
    </row>
    <row r="91" spans="2:21" x14ac:dyDescent="0.2">
      <c r="B91" s="426">
        <v>45025</v>
      </c>
      <c r="C91" s="394">
        <v>173.05</v>
      </c>
      <c r="D91" s="420">
        <f t="shared" si="2"/>
        <v>-1.2271689497716731E-2</v>
      </c>
      <c r="E91" s="394"/>
      <c r="F91" s="418">
        <v>17828</v>
      </c>
      <c r="G91" s="420">
        <f t="shared" si="3"/>
        <v>1.3003468917532901E-2</v>
      </c>
      <c r="H91" s="397"/>
      <c r="I91" s="397"/>
      <c r="J91" s="397"/>
      <c r="K91" s="394"/>
      <c r="L91" s="396"/>
      <c r="T91" s="393"/>
      <c r="U91" s="394"/>
    </row>
    <row r="92" spans="2:21" x14ac:dyDescent="0.2">
      <c r="B92" s="426">
        <v>45032</v>
      </c>
      <c r="C92" s="394">
        <v>169.7</v>
      </c>
      <c r="D92" s="420">
        <f t="shared" si="2"/>
        <v>-1.9358566888182716E-2</v>
      </c>
      <c r="E92" s="394"/>
      <c r="F92" s="418">
        <v>17624.05</v>
      </c>
      <c r="G92" s="420">
        <f t="shared" si="3"/>
        <v>-1.143986986762402E-2</v>
      </c>
      <c r="H92" s="397"/>
      <c r="I92" s="397"/>
      <c r="J92" s="397"/>
      <c r="K92" s="394"/>
      <c r="L92" s="396"/>
      <c r="T92" s="393"/>
      <c r="U92" s="394"/>
    </row>
    <row r="93" spans="2:21" x14ac:dyDescent="0.2">
      <c r="B93" s="426">
        <v>45039</v>
      </c>
      <c r="C93" s="394">
        <v>172</v>
      </c>
      <c r="D93" s="420">
        <f t="shared" si="2"/>
        <v>1.3553329404832226E-2</v>
      </c>
      <c r="E93" s="394"/>
      <c r="F93" s="418">
        <v>18065</v>
      </c>
      <c r="G93" s="420">
        <f t="shared" si="3"/>
        <v>2.5019788300645995E-2</v>
      </c>
      <c r="H93" s="397"/>
      <c r="I93" s="397"/>
      <c r="J93" s="397"/>
      <c r="K93" s="394"/>
      <c r="L93" s="396"/>
      <c r="T93" s="393"/>
      <c r="U93" s="394"/>
    </row>
    <row r="94" spans="2:21" x14ac:dyDescent="0.2">
      <c r="B94" s="426">
        <v>45046</v>
      </c>
      <c r="C94" s="394">
        <v>174.25</v>
      </c>
      <c r="D94" s="420">
        <f t="shared" si="2"/>
        <v>1.3081395348837122E-2</v>
      </c>
      <c r="E94" s="394"/>
      <c r="F94" s="418">
        <v>18069</v>
      </c>
      <c r="G94" s="420">
        <f t="shared" si="3"/>
        <v>2.2142264046509652E-4</v>
      </c>
      <c r="H94" s="397"/>
      <c r="I94" s="397"/>
      <c r="J94" s="397"/>
      <c r="K94" s="394"/>
      <c r="L94" s="396"/>
      <c r="T94" s="393"/>
      <c r="U94" s="394"/>
    </row>
    <row r="95" spans="2:21" x14ac:dyDescent="0.2">
      <c r="B95" s="426">
        <v>45053</v>
      </c>
      <c r="C95" s="394">
        <v>174.95</v>
      </c>
      <c r="D95" s="420">
        <f t="shared" si="2"/>
        <v>4.0172166427545619E-3</v>
      </c>
      <c r="E95" s="394"/>
      <c r="F95" s="418">
        <v>18314.8</v>
      </c>
      <c r="G95" s="420">
        <f t="shared" si="3"/>
        <v>1.3603409153799317E-2</v>
      </c>
      <c r="H95" s="397"/>
      <c r="I95" s="397"/>
      <c r="J95" s="397"/>
      <c r="K95" s="394"/>
      <c r="L95" s="396"/>
      <c r="T95" s="393"/>
      <c r="U95" s="394"/>
    </row>
    <row r="96" spans="2:21" x14ac:dyDescent="0.2">
      <c r="B96" s="426">
        <v>45060</v>
      </c>
      <c r="C96" s="394">
        <v>173.3</v>
      </c>
      <c r="D96" s="420">
        <f t="shared" si="2"/>
        <v>-9.4312660760216271E-3</v>
      </c>
      <c r="E96" s="394"/>
      <c r="F96" s="418">
        <v>18203.400000000001</v>
      </c>
      <c r="G96" s="420">
        <f t="shared" si="3"/>
        <v>-6.0825125035489647E-3</v>
      </c>
      <c r="H96" s="397"/>
      <c r="I96" s="397"/>
      <c r="J96" s="397"/>
      <c r="K96" s="394"/>
      <c r="L96" s="396"/>
      <c r="T96" s="393"/>
      <c r="U96" s="394"/>
    </row>
    <row r="97" spans="2:21" x14ac:dyDescent="0.2">
      <c r="B97" s="426">
        <v>45067</v>
      </c>
      <c r="C97" s="394">
        <v>174.5</v>
      </c>
      <c r="D97" s="420">
        <f t="shared" si="2"/>
        <v>6.9244085401038991E-3</v>
      </c>
      <c r="E97" s="394"/>
      <c r="F97" s="418">
        <v>18499.349999999999</v>
      </c>
      <c r="G97" s="420">
        <f t="shared" si="3"/>
        <v>1.6257951811200044E-2</v>
      </c>
      <c r="H97" s="397"/>
      <c r="I97" s="397"/>
      <c r="J97" s="397"/>
      <c r="K97" s="394"/>
      <c r="L97" s="396"/>
      <c r="T97" s="393"/>
      <c r="U97" s="394"/>
    </row>
    <row r="98" spans="2:21" x14ac:dyDescent="0.2">
      <c r="B98" s="426">
        <v>45074</v>
      </c>
      <c r="C98" s="394">
        <v>174.55</v>
      </c>
      <c r="D98" s="420">
        <f t="shared" si="2"/>
        <v>2.8653295128955314E-4</v>
      </c>
      <c r="E98" s="394"/>
      <c r="F98" s="418">
        <v>18534.099999999999</v>
      </c>
      <c r="G98" s="420">
        <f t="shared" si="3"/>
        <v>1.8784443777755122E-3</v>
      </c>
      <c r="H98" s="397"/>
      <c r="I98" s="397"/>
      <c r="J98" s="397"/>
      <c r="K98" s="394"/>
      <c r="L98" s="396"/>
      <c r="T98" s="393"/>
      <c r="U98" s="394"/>
    </row>
    <row r="99" spans="2:21" x14ac:dyDescent="0.2">
      <c r="B99" s="426">
        <v>45081</v>
      </c>
      <c r="C99" s="394">
        <v>182.8</v>
      </c>
      <c r="D99" s="420">
        <f t="shared" si="2"/>
        <v>4.7264394156402156E-2</v>
      </c>
      <c r="E99" s="394"/>
      <c r="F99" s="418">
        <v>18563.400000000001</v>
      </c>
      <c r="G99" s="420">
        <f t="shared" si="3"/>
        <v>1.5808698561032841E-3</v>
      </c>
      <c r="H99" s="397"/>
      <c r="I99" s="397"/>
      <c r="J99" s="397"/>
      <c r="K99" s="394"/>
      <c r="L99" s="396"/>
      <c r="T99" s="393"/>
      <c r="U99" s="394"/>
    </row>
    <row r="100" spans="2:21" x14ac:dyDescent="0.2">
      <c r="B100" s="426">
        <v>45088</v>
      </c>
      <c r="C100" s="394">
        <v>188.2</v>
      </c>
      <c r="D100" s="420">
        <f t="shared" si="2"/>
        <v>2.9540481400437413E-2</v>
      </c>
      <c r="E100" s="394"/>
      <c r="F100" s="418">
        <v>18826</v>
      </c>
      <c r="G100" s="420">
        <f t="shared" si="3"/>
        <v>1.4146115474535925E-2</v>
      </c>
      <c r="H100" s="397"/>
      <c r="I100" s="397"/>
      <c r="J100" s="397"/>
      <c r="K100" s="394"/>
      <c r="L100" s="396"/>
      <c r="T100" s="393"/>
      <c r="U100" s="394"/>
    </row>
    <row r="101" spans="2:21" x14ac:dyDescent="0.2">
      <c r="B101" s="426">
        <v>45095</v>
      </c>
      <c r="C101" s="394">
        <v>186.7</v>
      </c>
      <c r="D101" s="420">
        <f t="shared" si="2"/>
        <v>-7.9702444208289425E-3</v>
      </c>
      <c r="E101" s="394"/>
      <c r="F101" s="418">
        <v>18665.5</v>
      </c>
      <c r="G101" s="420">
        <f t="shared" si="3"/>
        <v>-8.5254435355359703E-3</v>
      </c>
      <c r="H101" s="397"/>
      <c r="I101" s="397"/>
      <c r="J101" s="397"/>
      <c r="K101" s="394"/>
      <c r="L101" s="396"/>
      <c r="T101" s="393"/>
      <c r="U101" s="394"/>
    </row>
    <row r="102" spans="2:21" x14ac:dyDescent="0.2">
      <c r="B102" s="426">
        <v>45102</v>
      </c>
      <c r="C102" s="394">
        <v>189.15</v>
      </c>
      <c r="D102" s="420">
        <f t="shared" si="2"/>
        <v>1.3122656668452137E-2</v>
      </c>
      <c r="E102" s="394"/>
      <c r="F102" s="418">
        <v>19189.05</v>
      </c>
      <c r="G102" s="420">
        <f t="shared" si="3"/>
        <v>2.8049074495727355E-2</v>
      </c>
      <c r="H102" s="397"/>
      <c r="I102" s="397"/>
      <c r="J102" s="397"/>
      <c r="K102" s="394"/>
      <c r="L102" s="396"/>
      <c r="T102" s="393"/>
      <c r="U102" s="394"/>
    </row>
    <row r="103" spans="2:21" x14ac:dyDescent="0.2">
      <c r="B103" s="426">
        <v>45109</v>
      </c>
      <c r="C103" s="394">
        <v>192.6</v>
      </c>
      <c r="D103" s="420">
        <f t="shared" si="2"/>
        <v>1.8239492466296525E-2</v>
      </c>
      <c r="E103" s="394"/>
      <c r="F103" s="418">
        <v>19331.8</v>
      </c>
      <c r="G103" s="420">
        <f t="shared" si="3"/>
        <v>7.4391384669902916E-3</v>
      </c>
      <c r="H103" s="397"/>
      <c r="I103" s="397"/>
      <c r="J103" s="397"/>
      <c r="K103" s="394"/>
      <c r="L103" s="396"/>
      <c r="T103" s="393"/>
      <c r="U103" s="394"/>
    </row>
    <row r="104" spans="2:21" x14ac:dyDescent="0.2">
      <c r="B104" s="426">
        <v>45116</v>
      </c>
      <c r="C104" s="394">
        <v>187.45</v>
      </c>
      <c r="D104" s="420">
        <f t="shared" si="2"/>
        <v>-2.6739356178608564E-2</v>
      </c>
      <c r="E104" s="394"/>
      <c r="F104" s="418">
        <v>19564.5</v>
      </c>
      <c r="G104" s="420">
        <f t="shared" si="3"/>
        <v>1.2037161567986399E-2</v>
      </c>
      <c r="H104" s="397"/>
      <c r="I104" s="397"/>
      <c r="J104" s="397"/>
      <c r="K104" s="394"/>
      <c r="L104" s="396"/>
      <c r="T104" s="393"/>
      <c r="U104" s="394"/>
    </row>
    <row r="105" spans="2:21" x14ac:dyDescent="0.2">
      <c r="B105" s="426">
        <v>45123</v>
      </c>
      <c r="C105" s="394">
        <v>195.1</v>
      </c>
      <c r="D105" s="420">
        <f t="shared" si="2"/>
        <v>4.0810882902107215E-2</v>
      </c>
      <c r="E105" s="394"/>
      <c r="F105" s="418">
        <v>19745</v>
      </c>
      <c r="G105" s="420">
        <f t="shared" si="3"/>
        <v>9.225893838329613E-3</v>
      </c>
      <c r="H105" s="397"/>
      <c r="I105" s="397"/>
      <c r="J105" s="397"/>
      <c r="K105" s="394"/>
      <c r="L105" s="396"/>
      <c r="T105" s="393"/>
      <c r="U105" s="394"/>
    </row>
    <row r="106" spans="2:21" x14ac:dyDescent="0.2">
      <c r="B106" s="426">
        <v>45130</v>
      </c>
      <c r="C106" s="394">
        <v>210</v>
      </c>
      <c r="D106" s="420">
        <f t="shared" si="2"/>
        <v>7.6371091747821751E-2</v>
      </c>
      <c r="E106" s="394"/>
      <c r="F106" s="418">
        <v>19646.05</v>
      </c>
      <c r="G106" s="420">
        <f t="shared" si="3"/>
        <v>-5.0113952899468739E-3</v>
      </c>
      <c r="H106" s="397"/>
      <c r="I106" s="397"/>
      <c r="J106" s="397"/>
      <c r="K106" s="394"/>
      <c r="L106" s="396"/>
      <c r="T106" s="393"/>
      <c r="U106" s="394"/>
    </row>
    <row r="107" spans="2:21" x14ac:dyDescent="0.2">
      <c r="B107" s="426">
        <v>45137</v>
      </c>
      <c r="C107" s="394">
        <v>217.95</v>
      </c>
      <c r="D107" s="420">
        <f t="shared" si="2"/>
        <v>3.7857142857142811E-2</v>
      </c>
      <c r="E107" s="394"/>
      <c r="F107" s="418">
        <v>19517</v>
      </c>
      <c r="G107" s="420">
        <f t="shared" si="3"/>
        <v>-6.568750461288575E-3</v>
      </c>
      <c r="H107" s="397"/>
      <c r="I107" s="397"/>
      <c r="J107" s="397"/>
      <c r="K107" s="394"/>
      <c r="L107" s="396"/>
      <c r="T107" s="393"/>
      <c r="U107" s="394"/>
    </row>
    <row r="108" spans="2:21" x14ac:dyDescent="0.2">
      <c r="B108" s="426">
        <v>45144</v>
      </c>
      <c r="C108" s="394">
        <v>213</v>
      </c>
      <c r="D108" s="420">
        <f t="shared" si="2"/>
        <v>-2.2711631108052299E-2</v>
      </c>
      <c r="E108" s="394"/>
      <c r="F108" s="418">
        <v>19428.3</v>
      </c>
      <c r="G108" s="420">
        <f t="shared" si="3"/>
        <v>-4.5447558538710409E-3</v>
      </c>
      <c r="H108" s="397"/>
      <c r="I108" s="397"/>
      <c r="J108" s="397"/>
      <c r="K108" s="394"/>
      <c r="L108" s="396"/>
      <c r="T108" s="393"/>
      <c r="U108" s="394"/>
    </row>
    <row r="109" spans="2:21" x14ac:dyDescent="0.2">
      <c r="B109" s="426">
        <v>45151</v>
      </c>
      <c r="C109" s="394">
        <v>215.15</v>
      </c>
      <c r="D109" s="420">
        <f t="shared" si="2"/>
        <v>1.0093896713615047E-2</v>
      </c>
      <c r="E109" s="394"/>
      <c r="F109" s="418">
        <v>19310.150000000001</v>
      </c>
      <c r="G109" s="420">
        <f t="shared" si="3"/>
        <v>-6.0813349598265454E-3</v>
      </c>
      <c r="H109" s="397"/>
      <c r="I109" s="397"/>
      <c r="J109" s="397"/>
      <c r="K109" s="394"/>
      <c r="L109" s="396"/>
      <c r="T109" s="393"/>
      <c r="U109" s="394"/>
    </row>
    <row r="110" spans="2:21" x14ac:dyDescent="0.2">
      <c r="B110" s="426">
        <v>45158</v>
      </c>
      <c r="C110" s="394">
        <v>217.9</v>
      </c>
      <c r="D110" s="420">
        <f t="shared" si="2"/>
        <v>1.2781780153381384E-2</v>
      </c>
      <c r="E110" s="394"/>
      <c r="F110" s="418">
        <v>19265.8</v>
      </c>
      <c r="G110" s="420">
        <f t="shared" si="3"/>
        <v>-2.2967196008317758E-3</v>
      </c>
      <c r="H110" s="397"/>
      <c r="I110" s="397"/>
      <c r="J110" s="397"/>
      <c r="K110" s="394"/>
      <c r="L110" s="396"/>
      <c r="T110" s="393"/>
      <c r="U110" s="394"/>
    </row>
    <row r="111" spans="2:21" x14ac:dyDescent="0.2">
      <c r="B111" s="426">
        <v>45165</v>
      </c>
      <c r="C111" s="394">
        <v>230.7</v>
      </c>
      <c r="D111" s="420">
        <f t="shared" si="2"/>
        <v>5.8742542450665347E-2</v>
      </c>
      <c r="E111" s="394"/>
      <c r="F111" s="418">
        <v>19435.3</v>
      </c>
      <c r="G111" s="420">
        <f t="shared" si="3"/>
        <v>8.7979736112697715E-3</v>
      </c>
      <c r="H111" s="397"/>
      <c r="I111" s="397"/>
      <c r="J111" s="397"/>
      <c r="K111" s="394"/>
      <c r="L111" s="396"/>
      <c r="T111" s="393"/>
      <c r="U111" s="394"/>
    </row>
    <row r="112" spans="2:21" x14ac:dyDescent="0.2">
      <c r="B112" s="426">
        <v>45172</v>
      </c>
      <c r="C112" s="394">
        <v>240.25</v>
      </c>
      <c r="D112" s="420">
        <f t="shared" si="2"/>
        <v>4.1395752058950963E-2</v>
      </c>
      <c r="E112" s="394"/>
      <c r="F112" s="418">
        <v>19819.95</v>
      </c>
      <c r="G112" s="420">
        <f t="shared" si="3"/>
        <v>1.9791307569216876E-2</v>
      </c>
      <c r="H112" s="397"/>
      <c r="I112" s="397"/>
      <c r="J112" s="397"/>
      <c r="K112" s="394"/>
      <c r="L112" s="396"/>
      <c r="T112" s="393"/>
      <c r="U112" s="394"/>
    </row>
    <row r="113" spans="2:21" x14ac:dyDescent="0.2">
      <c r="B113" s="426">
        <v>45179</v>
      </c>
      <c r="C113" s="394">
        <v>236.2</v>
      </c>
      <c r="D113" s="420">
        <f t="shared" si="2"/>
        <v>-1.6857440166493265E-2</v>
      </c>
      <c r="E113" s="394"/>
      <c r="F113" s="418">
        <v>20192.349999999999</v>
      </c>
      <c r="G113" s="420">
        <f t="shared" si="3"/>
        <v>1.8789149316723597E-2</v>
      </c>
      <c r="H113" s="397"/>
      <c r="I113" s="397"/>
      <c r="J113" s="397"/>
      <c r="K113" s="394"/>
      <c r="L113" s="396"/>
      <c r="T113" s="393"/>
      <c r="U113" s="394"/>
    </row>
    <row r="114" spans="2:21" x14ac:dyDescent="0.2">
      <c r="B114" s="426">
        <v>45186</v>
      </c>
      <c r="C114" s="394">
        <v>237.95</v>
      </c>
      <c r="D114" s="420">
        <f t="shared" si="2"/>
        <v>7.4089754445385569E-3</v>
      </c>
      <c r="E114" s="394"/>
      <c r="F114" s="418">
        <v>19674.25</v>
      </c>
      <c r="G114" s="420">
        <f t="shared" si="3"/>
        <v>-2.5658231954180599E-2</v>
      </c>
      <c r="H114" s="397"/>
      <c r="I114" s="397"/>
      <c r="J114" s="397"/>
      <c r="K114" s="394"/>
      <c r="L114" s="396"/>
      <c r="T114" s="393"/>
      <c r="U114" s="394"/>
    </row>
    <row r="115" spans="2:21" x14ac:dyDescent="0.2">
      <c r="B115" s="426">
        <v>45193</v>
      </c>
      <c r="C115" s="394">
        <v>245.55</v>
      </c>
      <c r="D115" s="420">
        <f t="shared" si="2"/>
        <v>3.1939483084681752E-2</v>
      </c>
      <c r="E115" s="394"/>
      <c r="F115" s="418">
        <v>19638.3</v>
      </c>
      <c r="G115" s="420">
        <f t="shared" si="3"/>
        <v>-1.8272615220402688E-3</v>
      </c>
      <c r="H115" s="397"/>
      <c r="I115" s="397"/>
      <c r="J115" s="397"/>
      <c r="K115" s="394"/>
      <c r="L115" s="396"/>
      <c r="T115" s="393"/>
      <c r="U115" s="394"/>
    </row>
    <row r="116" spans="2:21" x14ac:dyDescent="0.2">
      <c r="B116" s="426">
        <v>45200</v>
      </c>
      <c r="C116" s="394">
        <v>235.55</v>
      </c>
      <c r="D116" s="420">
        <f t="shared" si="2"/>
        <v>-4.0724903278354763E-2</v>
      </c>
      <c r="E116" s="394"/>
      <c r="F116" s="418">
        <v>19653.5</v>
      </c>
      <c r="G116" s="420">
        <f t="shared" si="3"/>
        <v>7.7399774929598486E-4</v>
      </c>
      <c r="H116" s="397"/>
      <c r="I116" s="397"/>
      <c r="J116" s="397"/>
      <c r="K116" s="394"/>
      <c r="L116" s="396"/>
      <c r="T116" s="393"/>
      <c r="U116" s="394"/>
    </row>
    <row r="117" spans="2:21" x14ac:dyDescent="0.2">
      <c r="B117" s="426">
        <v>45207</v>
      </c>
      <c r="C117" s="394">
        <v>242.05</v>
      </c>
      <c r="D117" s="420">
        <f t="shared" si="2"/>
        <v>2.7594990447887824E-2</v>
      </c>
      <c r="E117" s="394"/>
      <c r="F117" s="418">
        <v>19751.05</v>
      </c>
      <c r="G117" s="420">
        <f t="shared" si="3"/>
        <v>4.9634925076957881E-3</v>
      </c>
      <c r="H117" s="397"/>
      <c r="I117" s="397"/>
      <c r="J117" s="397"/>
      <c r="K117" s="394"/>
      <c r="L117" s="396"/>
      <c r="T117" s="393"/>
      <c r="U117" s="394"/>
    </row>
    <row r="118" spans="2:21" x14ac:dyDescent="0.2">
      <c r="B118" s="426">
        <v>45214</v>
      </c>
      <c r="C118" s="394">
        <v>241</v>
      </c>
      <c r="D118" s="420">
        <f t="shared" si="2"/>
        <v>-4.3379467052262477E-3</v>
      </c>
      <c r="E118" s="394"/>
      <c r="F118" s="418">
        <v>19542.650000000001</v>
      </c>
      <c r="G118" s="420">
        <f t="shared" si="3"/>
        <v>-1.0551337776978809E-2</v>
      </c>
      <c r="H118" s="397"/>
      <c r="I118" s="397"/>
      <c r="J118" s="397"/>
      <c r="K118" s="394"/>
      <c r="L118" s="396"/>
      <c r="T118" s="393"/>
      <c r="U118" s="394"/>
    </row>
    <row r="119" spans="2:21" x14ac:dyDescent="0.2">
      <c r="B119" s="426">
        <v>45221</v>
      </c>
      <c r="C119" s="394">
        <v>236.6</v>
      </c>
      <c r="D119" s="420">
        <f t="shared" si="2"/>
        <v>-1.8257261410788428E-2</v>
      </c>
      <c r="E119" s="394"/>
      <c r="F119" s="418">
        <v>19047.25</v>
      </c>
      <c r="G119" s="420">
        <f t="shared" si="3"/>
        <v>-2.5349683896503383E-2</v>
      </c>
      <c r="H119" s="397"/>
      <c r="I119" s="397"/>
      <c r="J119" s="397"/>
      <c r="K119" s="394"/>
      <c r="L119" s="396"/>
      <c r="T119" s="393"/>
      <c r="U119" s="394"/>
    </row>
    <row r="120" spans="2:21" x14ac:dyDescent="0.2">
      <c r="B120" s="426">
        <v>45228</v>
      </c>
      <c r="C120" s="394">
        <v>234.35</v>
      </c>
      <c r="D120" s="420">
        <f t="shared" si="2"/>
        <v>-9.5097210481825956E-3</v>
      </c>
      <c r="E120" s="394"/>
      <c r="F120" s="418">
        <v>19230.599999999999</v>
      </c>
      <c r="G120" s="420">
        <f t="shared" si="3"/>
        <v>9.6260615049414966E-3</v>
      </c>
      <c r="H120" s="397"/>
      <c r="I120" s="397"/>
      <c r="J120" s="397"/>
      <c r="K120" s="394"/>
      <c r="L120" s="396"/>
      <c r="T120" s="393"/>
      <c r="U120" s="394"/>
    </row>
    <row r="121" spans="2:21" x14ac:dyDescent="0.2">
      <c r="B121" s="426">
        <v>45235</v>
      </c>
      <c r="C121" s="394">
        <v>242.75</v>
      </c>
      <c r="D121" s="420">
        <f t="shared" si="2"/>
        <v>3.5843823341156433E-2</v>
      </c>
      <c r="E121" s="394"/>
      <c r="F121" s="418">
        <v>19425.349999999999</v>
      </c>
      <c r="G121" s="420">
        <f t="shared" si="3"/>
        <v>1.0127089118384225E-2</v>
      </c>
      <c r="H121" s="397"/>
      <c r="I121" s="397"/>
      <c r="J121" s="397"/>
      <c r="K121" s="394"/>
      <c r="L121" s="396"/>
      <c r="T121" s="393"/>
      <c r="U121" s="394"/>
    </row>
    <row r="122" spans="2:21" x14ac:dyDescent="0.2">
      <c r="B122" s="426">
        <v>45242</v>
      </c>
      <c r="C122" s="394">
        <v>251.6</v>
      </c>
      <c r="D122" s="420">
        <f t="shared" si="2"/>
        <v>3.6457260556127746E-2</v>
      </c>
      <c r="E122" s="394"/>
      <c r="F122" s="418">
        <v>19731.8</v>
      </c>
      <c r="G122" s="420">
        <f t="shared" si="3"/>
        <v>1.5775777527818002E-2</v>
      </c>
      <c r="H122" s="397"/>
      <c r="I122" s="397"/>
      <c r="J122" s="397"/>
      <c r="K122" s="394"/>
      <c r="L122" s="396"/>
      <c r="T122" s="393"/>
      <c r="U122" s="394"/>
    </row>
    <row r="123" spans="2:21" x14ac:dyDescent="0.2">
      <c r="B123" s="426">
        <v>45249</v>
      </c>
      <c r="C123" s="394">
        <v>253.9</v>
      </c>
      <c r="D123" s="420">
        <f t="shared" si="2"/>
        <v>9.1414944356120742E-3</v>
      </c>
      <c r="E123" s="394"/>
      <c r="F123" s="418">
        <v>19794.7</v>
      </c>
      <c r="G123" s="420">
        <f t="shared" si="3"/>
        <v>3.1877476966115648E-3</v>
      </c>
      <c r="H123" s="397"/>
      <c r="I123" s="397"/>
      <c r="J123" s="397"/>
      <c r="K123" s="394"/>
      <c r="L123" s="396"/>
      <c r="T123" s="393"/>
      <c r="U123" s="394"/>
    </row>
    <row r="124" spans="2:21" x14ac:dyDescent="0.2">
      <c r="B124" s="426">
        <v>45256</v>
      </c>
      <c r="C124" s="394">
        <v>268.95</v>
      </c>
      <c r="D124" s="420">
        <f t="shared" si="2"/>
        <v>5.9275305238282616E-2</v>
      </c>
      <c r="E124" s="394"/>
      <c r="F124" s="418">
        <v>20267.900000000001</v>
      </c>
      <c r="G124" s="420">
        <f t="shared" si="3"/>
        <v>2.3905388816198414E-2</v>
      </c>
      <c r="H124" s="397"/>
      <c r="I124" s="397"/>
      <c r="J124" s="397"/>
      <c r="K124" s="394"/>
      <c r="L124" s="396"/>
      <c r="T124" s="393"/>
      <c r="U124" s="394"/>
    </row>
    <row r="125" spans="2:21" x14ac:dyDescent="0.2">
      <c r="B125" s="426">
        <v>45263</v>
      </c>
      <c r="C125" s="394">
        <v>285.05</v>
      </c>
      <c r="D125" s="420">
        <f t="shared" si="2"/>
        <v>5.9862427960587494E-2</v>
      </c>
      <c r="E125" s="394"/>
      <c r="F125" s="418">
        <v>20969.400000000001</v>
      </c>
      <c r="G125" s="420">
        <f t="shared" si="3"/>
        <v>3.4611380557433069E-2</v>
      </c>
      <c r="H125" s="397"/>
      <c r="I125" s="397"/>
      <c r="J125" s="397"/>
      <c r="K125" s="394"/>
      <c r="L125" s="396"/>
      <c r="T125" s="393"/>
      <c r="U125" s="394"/>
    </row>
    <row r="126" spans="2:21" x14ac:dyDescent="0.2">
      <c r="B126" s="426">
        <v>45270</v>
      </c>
      <c r="C126" s="394">
        <v>305.10000000000002</v>
      </c>
      <c r="D126" s="420">
        <f t="shared" si="2"/>
        <v>7.0338537098754594E-2</v>
      </c>
      <c r="E126" s="394"/>
      <c r="F126" s="418">
        <v>21456.65</v>
      </c>
      <c r="G126" s="420">
        <f t="shared" si="3"/>
        <v>2.3236239472755438E-2</v>
      </c>
      <c r="H126" s="397"/>
      <c r="I126" s="397"/>
      <c r="J126" s="397"/>
      <c r="K126" s="394"/>
      <c r="L126" s="396"/>
      <c r="T126" s="393"/>
      <c r="U126" s="394"/>
    </row>
    <row r="127" spans="2:21" x14ac:dyDescent="0.2">
      <c r="B127" s="426">
        <v>45277</v>
      </c>
      <c r="C127" s="394">
        <v>302.8</v>
      </c>
      <c r="D127" s="420">
        <f t="shared" si="2"/>
        <v>-7.538511963290806E-3</v>
      </c>
      <c r="E127" s="394"/>
      <c r="F127" s="418">
        <v>21349.4</v>
      </c>
      <c r="G127" s="420">
        <f t="shared" si="3"/>
        <v>-4.9984503638732525E-3</v>
      </c>
      <c r="H127" s="397"/>
      <c r="I127" s="397"/>
      <c r="J127" s="397"/>
      <c r="K127" s="394"/>
      <c r="L127" s="396"/>
      <c r="T127" s="393"/>
      <c r="U127" s="394"/>
    </row>
    <row r="128" spans="2:21" x14ac:dyDescent="0.2">
      <c r="B128" s="426">
        <v>45284</v>
      </c>
      <c r="C128" s="394">
        <v>311.14999999999998</v>
      </c>
      <c r="D128" s="420">
        <f t="shared" si="2"/>
        <v>2.7575957727873135E-2</v>
      </c>
      <c r="E128" s="394"/>
      <c r="F128" s="418">
        <v>21731.4</v>
      </c>
      <c r="G128" s="420">
        <f t="shared" si="3"/>
        <v>1.7892774504201459E-2</v>
      </c>
      <c r="H128" s="397"/>
      <c r="I128" s="397"/>
      <c r="J128" s="397"/>
      <c r="K128" s="394"/>
      <c r="L128" s="396"/>
      <c r="T128" s="393"/>
      <c r="U128" s="394"/>
    </row>
    <row r="129" spans="2:21" x14ac:dyDescent="0.2">
      <c r="B129" s="426">
        <v>45291</v>
      </c>
      <c r="C129" s="394">
        <v>314.95</v>
      </c>
      <c r="D129" s="420">
        <f t="shared" si="2"/>
        <v>1.22127591193959E-2</v>
      </c>
      <c r="E129" s="394"/>
      <c r="F129" s="418">
        <v>21710.799999999999</v>
      </c>
      <c r="G129" s="420">
        <f t="shared" si="3"/>
        <v>-9.479370864280412E-4</v>
      </c>
      <c r="H129" s="397"/>
      <c r="I129" s="397"/>
      <c r="J129" s="397"/>
      <c r="K129" s="394"/>
      <c r="L129" s="396"/>
      <c r="T129" s="393"/>
      <c r="U129" s="394"/>
    </row>
    <row r="130" spans="2:21" x14ac:dyDescent="0.2">
      <c r="B130" s="426">
        <v>45298</v>
      </c>
      <c r="C130" s="394">
        <v>312.64999999999998</v>
      </c>
      <c r="D130" s="420">
        <f t="shared" si="2"/>
        <v>-7.3027464676933551E-3</v>
      </c>
      <c r="E130" s="394"/>
      <c r="F130" s="418">
        <v>21894.55</v>
      </c>
      <c r="G130" s="420">
        <f t="shared" si="3"/>
        <v>8.4635296718684749E-3</v>
      </c>
      <c r="H130" s="397"/>
      <c r="I130" s="397"/>
      <c r="J130" s="397"/>
      <c r="K130" s="394"/>
      <c r="L130" s="396"/>
      <c r="T130" s="393"/>
      <c r="U130" s="394"/>
    </row>
    <row r="131" spans="2:21" x14ac:dyDescent="0.2">
      <c r="B131" s="426">
        <v>45305</v>
      </c>
      <c r="C131" s="394">
        <v>308.45</v>
      </c>
      <c r="D131" s="420">
        <f t="shared" si="2"/>
        <v>-1.3433551895090323E-2</v>
      </c>
      <c r="E131" s="394"/>
      <c r="F131" s="418">
        <v>21622.400000000001</v>
      </c>
      <c r="G131" s="420">
        <f t="shared" si="3"/>
        <v>-1.2430033958222397E-2</v>
      </c>
      <c r="H131" s="397"/>
      <c r="I131" s="397"/>
      <c r="J131" s="397"/>
      <c r="K131" s="394"/>
      <c r="L131" s="396"/>
      <c r="T131" s="393"/>
      <c r="U131" s="394"/>
    </row>
    <row r="132" spans="2:21" x14ac:dyDescent="0.2">
      <c r="B132" s="426">
        <v>45312</v>
      </c>
      <c r="C132" s="394">
        <v>314.75</v>
      </c>
      <c r="D132" s="420">
        <f t="shared" si="2"/>
        <v>2.0424704165991292E-2</v>
      </c>
      <c r="E132" s="394"/>
      <c r="F132" s="418">
        <v>21352.6</v>
      </c>
      <c r="G132" s="420">
        <f t="shared" si="3"/>
        <v>-1.2477800799171379E-2</v>
      </c>
      <c r="H132" s="397"/>
      <c r="I132" s="397"/>
      <c r="J132" s="397"/>
      <c r="K132" s="394"/>
      <c r="L132" s="396"/>
      <c r="T132" s="393"/>
      <c r="U132" s="394"/>
    </row>
    <row r="133" spans="2:21" x14ac:dyDescent="0.2">
      <c r="B133" s="426">
        <v>45319</v>
      </c>
      <c r="C133" s="394">
        <v>332.5</v>
      </c>
      <c r="D133" s="420">
        <f t="shared" si="2"/>
        <v>5.639396346306591E-2</v>
      </c>
      <c r="E133" s="394"/>
      <c r="F133" s="418">
        <v>21853.8</v>
      </c>
      <c r="G133" s="420">
        <f t="shared" si="3"/>
        <v>2.3472551352060167E-2</v>
      </c>
      <c r="H133" s="397"/>
      <c r="I133" s="397"/>
      <c r="J133" s="397"/>
      <c r="K133" s="394"/>
      <c r="L133" s="396"/>
      <c r="T133" s="393"/>
      <c r="U133" s="394"/>
    </row>
    <row r="134" spans="2:21" x14ac:dyDescent="0.2">
      <c r="B134" s="426">
        <v>45326</v>
      </c>
      <c r="C134" s="394">
        <v>324.89999999999998</v>
      </c>
      <c r="D134" s="420">
        <f t="shared" si="2"/>
        <v>-2.2857142857142909E-2</v>
      </c>
      <c r="E134" s="394"/>
      <c r="F134" s="418">
        <v>21782.5</v>
      </c>
      <c r="G134" s="420">
        <f t="shared" si="3"/>
        <v>-3.2625904876955047E-3</v>
      </c>
      <c r="H134" s="397"/>
      <c r="I134" s="397"/>
      <c r="J134" s="397"/>
      <c r="K134" s="394"/>
      <c r="L134" s="396"/>
      <c r="T134" s="393"/>
      <c r="U134" s="394"/>
    </row>
    <row r="135" spans="2:21" x14ac:dyDescent="0.2">
      <c r="B135" s="426">
        <v>45333</v>
      </c>
      <c r="C135" s="394">
        <v>337.75</v>
      </c>
      <c r="D135" s="420">
        <f t="shared" si="2"/>
        <v>3.9550630963373523E-2</v>
      </c>
      <c r="E135" s="394"/>
      <c r="F135" s="418">
        <v>22040.7</v>
      </c>
      <c r="G135" s="420">
        <f t="shared" si="3"/>
        <v>1.1853552163433978E-2</v>
      </c>
      <c r="H135" s="397"/>
      <c r="I135" s="397"/>
      <c r="J135" s="397"/>
      <c r="K135" s="394"/>
      <c r="L135" s="396"/>
      <c r="T135" s="393"/>
      <c r="U135" s="394"/>
    </row>
    <row r="136" spans="2:21" x14ac:dyDescent="0.2">
      <c r="B136" s="426">
        <v>45340</v>
      </c>
      <c r="C136" s="394">
        <v>337.75</v>
      </c>
      <c r="D136" s="420">
        <f t="shared" si="2"/>
        <v>0</v>
      </c>
      <c r="E136" s="394"/>
      <c r="F136" s="418">
        <v>22212.7</v>
      </c>
      <c r="G136" s="420">
        <f t="shared" si="3"/>
        <v>7.8037448901351336E-3</v>
      </c>
      <c r="H136" s="397"/>
      <c r="I136" s="397"/>
      <c r="J136" s="397"/>
      <c r="K136" s="394"/>
      <c r="L136" s="396"/>
      <c r="T136" s="393"/>
      <c r="U136" s="394"/>
    </row>
    <row r="137" spans="2:21" x14ac:dyDescent="0.2">
      <c r="B137" s="426">
        <v>45347</v>
      </c>
      <c r="C137" s="394">
        <v>343.5</v>
      </c>
      <c r="D137" s="420">
        <f t="shared" si="2"/>
        <v>1.7024426350851218E-2</v>
      </c>
      <c r="E137" s="394"/>
      <c r="F137" s="418">
        <v>22338.75</v>
      </c>
      <c r="G137" s="420">
        <f t="shared" si="3"/>
        <v>5.6746816010659895E-3</v>
      </c>
      <c r="H137" s="397"/>
      <c r="I137" s="397"/>
      <c r="J137" s="397"/>
      <c r="K137" s="394"/>
      <c r="L137" s="396"/>
      <c r="T137" s="393"/>
      <c r="U137" s="394"/>
    </row>
    <row r="138" spans="2:21" x14ac:dyDescent="0.2">
      <c r="B138" s="426">
        <v>45354</v>
      </c>
      <c r="C138" s="394">
        <v>352.2</v>
      </c>
      <c r="D138" s="420">
        <f t="shared" si="2"/>
        <v>2.532751091703056E-2</v>
      </c>
      <c r="E138" s="394"/>
      <c r="F138" s="418">
        <v>22493.55</v>
      </c>
      <c r="G138" s="420">
        <f t="shared" si="3"/>
        <v>6.929662581836471E-3</v>
      </c>
      <c r="H138" s="397"/>
      <c r="I138" s="397"/>
      <c r="J138" s="397"/>
      <c r="K138" s="394"/>
      <c r="L138" s="396"/>
      <c r="T138" s="393"/>
      <c r="U138" s="394"/>
    </row>
    <row r="139" spans="2:21" x14ac:dyDescent="0.2">
      <c r="B139" s="426">
        <v>45361</v>
      </c>
      <c r="C139" s="394">
        <v>316.3</v>
      </c>
      <c r="D139" s="420">
        <f t="shared" ref="D139:D202" si="4">C139/C138-1</f>
        <v>-0.10193072118114699</v>
      </c>
      <c r="E139" s="394"/>
      <c r="F139" s="418">
        <v>22023.35</v>
      </c>
      <c r="G139" s="420">
        <f t="shared" si="3"/>
        <v>-2.0903770191899484E-2</v>
      </c>
      <c r="H139" s="397"/>
      <c r="I139" s="397"/>
      <c r="J139" s="397"/>
      <c r="K139" s="394"/>
      <c r="L139" s="396"/>
      <c r="T139" s="393"/>
      <c r="U139" s="394"/>
    </row>
    <row r="140" spans="2:21" x14ac:dyDescent="0.2">
      <c r="B140" s="426">
        <v>45368</v>
      </c>
      <c r="C140" s="394">
        <v>324.75</v>
      </c>
      <c r="D140" s="420">
        <f t="shared" si="4"/>
        <v>2.6715143850774448E-2</v>
      </c>
      <c r="E140" s="394"/>
      <c r="F140" s="418">
        <v>22096.75</v>
      </c>
      <c r="G140" s="420">
        <f t="shared" ref="G140:G203" si="5">F140/F139-1</f>
        <v>3.3328262957270649E-3</v>
      </c>
      <c r="H140" s="397"/>
      <c r="I140" s="397"/>
      <c r="J140" s="397"/>
      <c r="K140" s="394"/>
      <c r="L140" s="396"/>
      <c r="T140" s="393"/>
      <c r="U140" s="394"/>
    </row>
    <row r="141" spans="2:21" x14ac:dyDescent="0.2">
      <c r="B141" s="426">
        <v>45375</v>
      </c>
      <c r="C141" s="394">
        <v>335.8</v>
      </c>
      <c r="D141" s="420">
        <f t="shared" si="4"/>
        <v>3.4026173979984531E-2</v>
      </c>
      <c r="E141" s="394"/>
      <c r="F141" s="418">
        <v>22326.9</v>
      </c>
      <c r="G141" s="420">
        <f t="shared" si="5"/>
        <v>1.0415558849152129E-2</v>
      </c>
      <c r="H141" s="397"/>
      <c r="I141" s="397"/>
      <c r="J141" s="397"/>
      <c r="K141" s="394"/>
      <c r="L141" s="396"/>
      <c r="T141" s="393"/>
      <c r="U141" s="394"/>
    </row>
    <row r="142" spans="2:21" x14ac:dyDescent="0.2">
      <c r="B142" s="426">
        <v>45382</v>
      </c>
      <c r="C142" s="394">
        <v>354.55</v>
      </c>
      <c r="D142" s="420">
        <f t="shared" si="4"/>
        <v>5.583680762358556E-2</v>
      </c>
      <c r="E142" s="394"/>
      <c r="F142" s="418">
        <v>22513.7</v>
      </c>
      <c r="G142" s="420">
        <f t="shared" si="5"/>
        <v>8.3665891816597782E-3</v>
      </c>
      <c r="H142" s="397"/>
      <c r="I142" s="397"/>
      <c r="J142" s="397"/>
      <c r="K142" s="394"/>
      <c r="L142" s="396"/>
      <c r="T142" s="393"/>
      <c r="U142" s="394"/>
    </row>
    <row r="143" spans="2:21" x14ac:dyDescent="0.2">
      <c r="B143" s="426">
        <v>45389</v>
      </c>
      <c r="C143" s="394">
        <v>361.75</v>
      </c>
      <c r="D143" s="420">
        <f t="shared" si="4"/>
        <v>2.0307431956000599E-2</v>
      </c>
      <c r="E143" s="394"/>
      <c r="F143" s="418">
        <v>22519.4</v>
      </c>
      <c r="G143" s="420">
        <f t="shared" si="5"/>
        <v>2.5317917534661838E-4</v>
      </c>
      <c r="H143" s="397"/>
      <c r="I143" s="397"/>
      <c r="J143" s="397"/>
      <c r="K143" s="394"/>
      <c r="L143" s="396"/>
      <c r="T143" s="393"/>
      <c r="U143" s="394"/>
    </row>
    <row r="144" spans="2:21" x14ac:dyDescent="0.2">
      <c r="B144" s="426">
        <v>45396</v>
      </c>
      <c r="C144" s="394">
        <v>350.55</v>
      </c>
      <c r="D144" s="420">
        <f t="shared" si="4"/>
        <v>-3.096060815480306E-2</v>
      </c>
      <c r="E144" s="394"/>
      <c r="F144" s="418">
        <v>22147</v>
      </c>
      <c r="G144" s="420">
        <f t="shared" si="5"/>
        <v>-1.6536852669254087E-2</v>
      </c>
      <c r="H144" s="397"/>
      <c r="I144" s="397"/>
      <c r="J144" s="397"/>
      <c r="K144" s="394"/>
      <c r="L144" s="396"/>
      <c r="T144" s="393"/>
      <c r="U144" s="394"/>
    </row>
    <row r="145" spans="2:21" x14ac:dyDescent="0.2">
      <c r="B145" s="426">
        <v>45403</v>
      </c>
      <c r="C145" s="394">
        <v>356</v>
      </c>
      <c r="D145" s="420">
        <f t="shared" si="4"/>
        <v>1.5546997575238919E-2</v>
      </c>
      <c r="E145" s="394"/>
      <c r="F145" s="418">
        <v>22419.95</v>
      </c>
      <c r="G145" s="420">
        <f t="shared" si="5"/>
        <v>1.2324468325281002E-2</v>
      </c>
      <c r="H145" s="397"/>
      <c r="I145" s="397"/>
      <c r="J145" s="397"/>
      <c r="K145" s="394"/>
      <c r="L145" s="396"/>
      <c r="T145" s="393"/>
      <c r="U145" s="394"/>
    </row>
    <row r="146" spans="2:21" x14ac:dyDescent="0.2">
      <c r="B146" s="426">
        <v>45410</v>
      </c>
      <c r="C146" s="394">
        <v>364.95</v>
      </c>
      <c r="D146" s="420">
        <f t="shared" si="4"/>
        <v>2.514044943820215E-2</v>
      </c>
      <c r="E146" s="394"/>
      <c r="F146" s="418">
        <v>22475.85</v>
      </c>
      <c r="G146" s="420">
        <f t="shared" si="5"/>
        <v>2.4933151055197555E-3</v>
      </c>
      <c r="H146" s="397"/>
      <c r="I146" s="397"/>
      <c r="J146" s="397"/>
      <c r="K146" s="394"/>
      <c r="L146" s="396"/>
      <c r="T146" s="393"/>
      <c r="U146" s="394"/>
    </row>
    <row r="147" spans="2:21" x14ac:dyDescent="0.2">
      <c r="B147" s="426">
        <v>45417</v>
      </c>
      <c r="C147" s="394">
        <v>355.5</v>
      </c>
      <c r="D147" s="420">
        <f t="shared" si="4"/>
        <v>-2.5893958076448786E-2</v>
      </c>
      <c r="E147" s="394"/>
      <c r="F147" s="418">
        <v>22055.200000000001</v>
      </c>
      <c r="G147" s="420">
        <f t="shared" si="5"/>
        <v>-1.8715643679771743E-2</v>
      </c>
      <c r="H147" s="397"/>
      <c r="I147" s="397"/>
      <c r="J147" s="397"/>
      <c r="K147" s="394"/>
      <c r="L147" s="396"/>
      <c r="T147" s="393"/>
      <c r="U147" s="394"/>
    </row>
    <row r="148" spans="2:21" x14ac:dyDescent="0.2">
      <c r="B148" s="426">
        <v>45424</v>
      </c>
      <c r="C148" s="394">
        <v>365.45</v>
      </c>
      <c r="D148" s="420">
        <f t="shared" si="4"/>
        <v>2.7988748241912775E-2</v>
      </c>
      <c r="E148" s="394"/>
      <c r="F148" s="418">
        <v>22466.1</v>
      </c>
      <c r="G148" s="420">
        <f t="shared" si="5"/>
        <v>1.8630527041241907E-2</v>
      </c>
      <c r="H148" s="397"/>
      <c r="I148" s="397"/>
      <c r="J148" s="397"/>
      <c r="K148" s="394"/>
      <c r="L148" s="396"/>
      <c r="T148" s="393"/>
      <c r="U148" s="394"/>
    </row>
    <row r="149" spans="2:21" x14ac:dyDescent="0.2">
      <c r="B149" s="426">
        <v>45431</v>
      </c>
      <c r="C149" s="394">
        <v>374.95</v>
      </c>
      <c r="D149" s="420">
        <f t="shared" si="4"/>
        <v>2.5995348200848367E-2</v>
      </c>
      <c r="E149" s="394"/>
      <c r="F149" s="418">
        <v>22957.1</v>
      </c>
      <c r="G149" s="420">
        <f t="shared" si="5"/>
        <v>2.1855150649200406E-2</v>
      </c>
      <c r="H149" s="397"/>
      <c r="I149" s="397"/>
      <c r="J149" s="397"/>
      <c r="K149" s="394"/>
      <c r="L149" s="396"/>
      <c r="T149" s="393"/>
      <c r="U149" s="394"/>
    </row>
    <row r="150" spans="2:21" x14ac:dyDescent="0.2">
      <c r="B150" s="426">
        <v>45438</v>
      </c>
      <c r="C150" s="394">
        <v>359</v>
      </c>
      <c r="D150" s="420">
        <f t="shared" si="4"/>
        <v>-4.2539005200693425E-2</v>
      </c>
      <c r="E150" s="394"/>
      <c r="F150" s="418">
        <v>22530.7</v>
      </c>
      <c r="G150" s="420">
        <f t="shared" si="5"/>
        <v>-1.8573774562117951E-2</v>
      </c>
      <c r="H150" s="397"/>
      <c r="I150" s="397"/>
      <c r="J150" s="397"/>
      <c r="K150" s="394"/>
      <c r="L150" s="396"/>
      <c r="T150" s="393"/>
      <c r="U150" s="394"/>
    </row>
    <row r="151" spans="2:21" x14ac:dyDescent="0.2">
      <c r="B151" s="426">
        <v>45445</v>
      </c>
      <c r="C151" s="394">
        <v>360.6</v>
      </c>
      <c r="D151" s="420">
        <f t="shared" si="4"/>
        <v>4.4568245125349293E-3</v>
      </c>
      <c r="E151" s="394"/>
      <c r="F151" s="418">
        <v>23290.15</v>
      </c>
      <c r="G151" s="420">
        <f t="shared" si="5"/>
        <v>3.3707341538434354E-2</v>
      </c>
      <c r="H151" s="397"/>
      <c r="I151" s="397"/>
      <c r="J151" s="397"/>
      <c r="K151" s="394"/>
      <c r="L151" s="396"/>
      <c r="T151" s="393"/>
      <c r="U151" s="394"/>
    </row>
    <row r="152" spans="2:21" x14ac:dyDescent="0.2">
      <c r="B152" s="426">
        <v>45452</v>
      </c>
      <c r="C152" s="394">
        <v>368.45</v>
      </c>
      <c r="D152" s="420">
        <f t="shared" si="4"/>
        <v>2.1769273433166925E-2</v>
      </c>
      <c r="E152" s="394"/>
      <c r="F152" s="418">
        <v>23465.599999999999</v>
      </c>
      <c r="G152" s="420">
        <f t="shared" si="5"/>
        <v>7.5332275661599279E-3</v>
      </c>
      <c r="H152" s="397"/>
      <c r="I152" s="397"/>
      <c r="J152" s="397"/>
      <c r="K152" s="394"/>
      <c r="L152" s="396"/>
      <c r="T152" s="393"/>
      <c r="U152" s="394"/>
    </row>
    <row r="153" spans="2:21" x14ac:dyDescent="0.2">
      <c r="B153" s="426">
        <v>45459</v>
      </c>
      <c r="C153" s="394">
        <v>359.8</v>
      </c>
      <c r="D153" s="420">
        <f t="shared" si="4"/>
        <v>-2.3476726828606242E-2</v>
      </c>
      <c r="E153" s="394"/>
      <c r="F153" s="418">
        <v>23501.1</v>
      </c>
      <c r="G153" s="420">
        <f t="shared" si="5"/>
        <v>1.5128528569481325E-3</v>
      </c>
      <c r="H153" s="397"/>
      <c r="I153" s="397"/>
      <c r="J153" s="397"/>
      <c r="K153" s="394"/>
      <c r="L153" s="396"/>
      <c r="T153" s="393"/>
      <c r="U153" s="394"/>
    </row>
    <row r="154" spans="2:21" x14ac:dyDescent="0.2">
      <c r="B154" s="426">
        <v>45466</v>
      </c>
      <c r="C154" s="394">
        <v>378.35</v>
      </c>
      <c r="D154" s="420">
        <f t="shared" si="4"/>
        <v>5.1556420233463074E-2</v>
      </c>
      <c r="E154" s="394"/>
      <c r="F154" s="418">
        <v>24010.6</v>
      </c>
      <c r="G154" s="420">
        <f t="shared" si="5"/>
        <v>2.1679836262983532E-2</v>
      </c>
      <c r="H154" s="397"/>
      <c r="I154" s="397"/>
      <c r="J154" s="397"/>
      <c r="K154" s="394"/>
      <c r="L154" s="396"/>
      <c r="T154" s="393"/>
      <c r="U154" s="394"/>
    </row>
    <row r="155" spans="2:21" x14ac:dyDescent="0.2">
      <c r="B155" s="426">
        <v>45473</v>
      </c>
      <c r="C155" s="394">
        <v>379.8</v>
      </c>
      <c r="D155" s="420">
        <f t="shared" si="4"/>
        <v>3.8324302894146012E-3</v>
      </c>
      <c r="E155" s="394"/>
      <c r="F155" s="418">
        <v>24323.85</v>
      </c>
      <c r="G155" s="420">
        <f t="shared" si="5"/>
        <v>1.3046321208133094E-2</v>
      </c>
      <c r="H155" s="397"/>
      <c r="I155" s="397"/>
      <c r="J155" s="397"/>
      <c r="K155" s="394"/>
      <c r="L155" s="396"/>
      <c r="T155" s="393"/>
      <c r="U155" s="394"/>
    </row>
    <row r="156" spans="2:21" x14ac:dyDescent="0.2">
      <c r="B156" s="426">
        <v>45480</v>
      </c>
      <c r="C156" s="394">
        <v>377.15</v>
      </c>
      <c r="D156" s="420">
        <f t="shared" si="4"/>
        <v>-6.9773565034229046E-3</v>
      </c>
      <c r="E156" s="394"/>
      <c r="F156" s="418">
        <v>24502.15</v>
      </c>
      <c r="G156" s="420">
        <f t="shared" si="5"/>
        <v>7.3302540510651326E-3</v>
      </c>
      <c r="H156" s="397"/>
      <c r="I156" s="397"/>
      <c r="J156" s="397"/>
      <c r="K156" s="394"/>
      <c r="L156" s="396"/>
      <c r="T156" s="393"/>
      <c r="U156" s="394"/>
    </row>
    <row r="157" spans="2:21" x14ac:dyDescent="0.2">
      <c r="B157" s="426">
        <v>45487</v>
      </c>
      <c r="C157" s="394">
        <v>364.65</v>
      </c>
      <c r="D157" s="420">
        <f t="shared" si="4"/>
        <v>-3.314331167970308E-2</v>
      </c>
      <c r="E157" s="394"/>
      <c r="F157" s="418">
        <v>24530.9</v>
      </c>
      <c r="G157" s="420">
        <f t="shared" si="5"/>
        <v>1.1733664188653403E-3</v>
      </c>
      <c r="H157" s="397"/>
      <c r="I157" s="397"/>
      <c r="J157" s="397"/>
      <c r="K157" s="394"/>
      <c r="L157" s="396"/>
      <c r="T157" s="393"/>
      <c r="U157" s="394"/>
    </row>
    <row r="158" spans="2:21" x14ac:dyDescent="0.2">
      <c r="B158" s="426">
        <v>45494</v>
      </c>
      <c r="C158" s="394">
        <v>396.3</v>
      </c>
      <c r="D158" s="420">
        <f t="shared" si="4"/>
        <v>8.6795557383792854E-2</v>
      </c>
      <c r="E158" s="394"/>
      <c r="F158" s="418">
        <v>24834.85</v>
      </c>
      <c r="G158" s="420">
        <f t="shared" si="5"/>
        <v>1.2390495252925682E-2</v>
      </c>
      <c r="H158" s="397"/>
      <c r="I158" s="397"/>
      <c r="J158" s="397"/>
      <c r="K158" s="394"/>
      <c r="L158" s="396"/>
      <c r="T158" s="393"/>
      <c r="U158" s="394"/>
    </row>
    <row r="159" spans="2:21" x14ac:dyDescent="0.2">
      <c r="B159" s="426">
        <v>45501</v>
      </c>
      <c r="C159" s="394">
        <v>419.7</v>
      </c>
      <c r="D159" s="420">
        <f t="shared" si="4"/>
        <v>5.9046177138531331E-2</v>
      </c>
      <c r="E159" s="394"/>
      <c r="F159" s="418">
        <v>24717.7</v>
      </c>
      <c r="G159" s="420">
        <f t="shared" si="5"/>
        <v>-4.7171615693268887E-3</v>
      </c>
      <c r="H159" s="397"/>
      <c r="I159" s="397"/>
      <c r="J159" s="397"/>
      <c r="K159" s="394"/>
      <c r="L159" s="396"/>
      <c r="T159" s="393"/>
      <c r="U159" s="394"/>
    </row>
    <row r="160" spans="2:21" x14ac:dyDescent="0.2">
      <c r="B160" s="426">
        <v>45508</v>
      </c>
      <c r="C160" s="394">
        <v>410.65</v>
      </c>
      <c r="D160" s="420">
        <f t="shared" si="4"/>
        <v>-2.1563021205623145E-2</v>
      </c>
      <c r="E160" s="394"/>
      <c r="F160" s="418">
        <v>24367.5</v>
      </c>
      <c r="G160" s="420">
        <f t="shared" si="5"/>
        <v>-1.4167984885325113E-2</v>
      </c>
      <c r="H160" s="397"/>
      <c r="I160" s="397"/>
      <c r="J160" s="397"/>
      <c r="K160" s="394"/>
      <c r="L160" s="396"/>
      <c r="T160" s="393"/>
      <c r="U160" s="394"/>
    </row>
    <row r="161" spans="2:21" x14ac:dyDescent="0.2">
      <c r="B161" s="426">
        <v>45515</v>
      </c>
      <c r="C161" s="394">
        <v>398.05</v>
      </c>
      <c r="D161" s="420">
        <f t="shared" si="4"/>
        <v>-3.0683063436016011E-2</v>
      </c>
      <c r="E161" s="394"/>
      <c r="F161" s="418">
        <v>24541.15</v>
      </c>
      <c r="G161" s="420">
        <f t="shared" si="5"/>
        <v>7.1262952703396998E-3</v>
      </c>
      <c r="H161" s="397"/>
      <c r="I161" s="397"/>
      <c r="J161" s="397"/>
      <c r="K161" s="394"/>
      <c r="L161" s="396"/>
      <c r="T161" s="393"/>
      <c r="U161" s="394"/>
    </row>
    <row r="162" spans="2:21" x14ac:dyDescent="0.2">
      <c r="B162" s="426">
        <v>45522</v>
      </c>
      <c r="C162" s="394">
        <v>401.95</v>
      </c>
      <c r="D162" s="420">
        <f t="shared" si="4"/>
        <v>9.7977640999873383E-3</v>
      </c>
      <c r="E162" s="394"/>
      <c r="F162" s="418">
        <v>24823.15</v>
      </c>
      <c r="G162" s="420">
        <f t="shared" si="5"/>
        <v>1.1490904052988471E-2</v>
      </c>
      <c r="H162" s="397"/>
      <c r="I162" s="397"/>
      <c r="J162" s="397"/>
      <c r="K162" s="394"/>
      <c r="L162" s="396"/>
      <c r="T162" s="393"/>
      <c r="U162" s="394"/>
    </row>
    <row r="163" spans="2:21" x14ac:dyDescent="0.2">
      <c r="B163" s="426">
        <v>45529</v>
      </c>
      <c r="C163" s="394">
        <v>416.2</v>
      </c>
      <c r="D163" s="420">
        <f t="shared" si="4"/>
        <v>3.5452170667993554E-2</v>
      </c>
      <c r="E163" s="394"/>
      <c r="F163" s="418">
        <v>25235.9</v>
      </c>
      <c r="G163" s="420">
        <f t="shared" si="5"/>
        <v>1.6627623810837822E-2</v>
      </c>
      <c r="H163" s="397"/>
      <c r="I163" s="397"/>
      <c r="J163" s="397"/>
      <c r="K163" s="394"/>
      <c r="L163" s="396"/>
      <c r="T163" s="393"/>
      <c r="U163" s="394"/>
    </row>
    <row r="164" spans="2:21" x14ac:dyDescent="0.2">
      <c r="B164" s="426">
        <v>45536</v>
      </c>
      <c r="C164" s="394">
        <v>394.8</v>
      </c>
      <c r="D164" s="420">
        <f t="shared" si="4"/>
        <v>-5.1417587698221912E-2</v>
      </c>
      <c r="E164" s="394"/>
      <c r="F164" s="418">
        <v>24852.15</v>
      </c>
      <c r="G164" s="420">
        <f t="shared" si="5"/>
        <v>-1.5206511358818231E-2</v>
      </c>
      <c r="H164" s="397"/>
      <c r="I164" s="397"/>
      <c r="J164" s="397"/>
      <c r="K164" s="394"/>
      <c r="L164" s="396"/>
      <c r="T164" s="393"/>
      <c r="U164" s="394"/>
    </row>
    <row r="165" spans="2:21" x14ac:dyDescent="0.2">
      <c r="B165" s="426">
        <v>45543</v>
      </c>
      <c r="C165" s="394">
        <v>401.4</v>
      </c>
      <c r="D165" s="420">
        <f t="shared" si="4"/>
        <v>1.6717325227963542E-2</v>
      </c>
      <c r="E165" s="394"/>
      <c r="F165" s="418">
        <v>25356.5</v>
      </c>
      <c r="G165" s="420">
        <f t="shared" si="5"/>
        <v>2.0294018827344829E-2</v>
      </c>
      <c r="H165" s="397"/>
      <c r="I165" s="397"/>
      <c r="J165" s="397"/>
      <c r="K165" s="394"/>
      <c r="L165" s="396"/>
      <c r="T165" s="393"/>
      <c r="U165" s="394"/>
    </row>
    <row r="166" spans="2:21" x14ac:dyDescent="0.2">
      <c r="B166" s="426">
        <v>45550</v>
      </c>
      <c r="C166" s="394">
        <v>423.95</v>
      </c>
      <c r="D166" s="420">
        <f t="shared" si="4"/>
        <v>5.61783756851022E-2</v>
      </c>
      <c r="E166" s="394"/>
      <c r="F166" s="418">
        <v>25790.95</v>
      </c>
      <c r="G166" s="420">
        <f t="shared" si="5"/>
        <v>1.7133673811448702E-2</v>
      </c>
      <c r="H166" s="397"/>
      <c r="I166" s="397"/>
      <c r="J166" s="397"/>
      <c r="K166" s="394"/>
      <c r="L166" s="396"/>
      <c r="T166" s="393"/>
      <c r="U166" s="394"/>
    </row>
    <row r="167" spans="2:21" x14ac:dyDescent="0.2">
      <c r="B167" s="426">
        <v>45557</v>
      </c>
      <c r="C167" s="394">
        <v>436.9</v>
      </c>
      <c r="D167" s="420">
        <f t="shared" si="4"/>
        <v>3.0546054959311286E-2</v>
      </c>
      <c r="E167" s="394"/>
      <c r="F167" s="418">
        <v>26178.95</v>
      </c>
      <c r="G167" s="420">
        <f t="shared" si="5"/>
        <v>1.5044036764834123E-2</v>
      </c>
      <c r="H167" s="397"/>
      <c r="I167" s="397"/>
      <c r="J167" s="397"/>
      <c r="K167" s="394"/>
      <c r="L167" s="396"/>
      <c r="T167" s="393"/>
      <c r="U167" s="394"/>
    </row>
    <row r="168" spans="2:21" x14ac:dyDescent="0.2">
      <c r="B168" s="426">
        <v>45564</v>
      </c>
      <c r="C168" s="394">
        <v>430.45</v>
      </c>
      <c r="D168" s="420">
        <f t="shared" si="4"/>
        <v>-1.4763103685053736E-2</v>
      </c>
      <c r="E168" s="394"/>
      <c r="F168" s="418">
        <v>25014.6</v>
      </c>
      <c r="G168" s="420">
        <f t="shared" si="5"/>
        <v>-4.4476573735768743E-2</v>
      </c>
      <c r="H168" s="397"/>
      <c r="I168" s="397"/>
      <c r="J168" s="397"/>
      <c r="K168" s="394"/>
      <c r="L168" s="396"/>
      <c r="T168" s="393"/>
      <c r="U168" s="394"/>
    </row>
    <row r="169" spans="2:21" x14ac:dyDescent="0.2">
      <c r="B169" s="426">
        <v>45571</v>
      </c>
      <c r="C169" s="394">
        <v>422.5</v>
      </c>
      <c r="D169" s="420">
        <f t="shared" si="4"/>
        <v>-1.8469044023696091E-2</v>
      </c>
      <c r="E169" s="394"/>
      <c r="F169" s="418">
        <v>24964.25</v>
      </c>
      <c r="G169" s="420">
        <f t="shared" si="5"/>
        <v>-2.0128245104857889E-3</v>
      </c>
      <c r="H169" s="397"/>
      <c r="I169" s="397"/>
      <c r="J169" s="397"/>
      <c r="K169" s="394"/>
      <c r="L169" s="396"/>
      <c r="T169" s="393"/>
      <c r="U169" s="394"/>
    </row>
    <row r="170" spans="2:21" x14ac:dyDescent="0.2">
      <c r="B170" s="426">
        <v>45578</v>
      </c>
      <c r="C170" s="394">
        <v>424.95</v>
      </c>
      <c r="D170" s="420">
        <f t="shared" si="4"/>
        <v>5.7988165680473713E-3</v>
      </c>
      <c r="E170" s="394"/>
      <c r="F170" s="418">
        <v>24854.05</v>
      </c>
      <c r="G170" s="420">
        <f t="shared" si="5"/>
        <v>-4.4143124668275524E-3</v>
      </c>
      <c r="H170" s="397"/>
      <c r="I170" s="397"/>
      <c r="J170" s="397"/>
      <c r="K170" s="394"/>
      <c r="L170" s="396"/>
      <c r="T170" s="393"/>
      <c r="U170" s="394"/>
    </row>
    <row r="171" spans="2:21" x14ac:dyDescent="0.2">
      <c r="B171" s="426">
        <v>45585</v>
      </c>
      <c r="C171" s="394">
        <v>398.9</v>
      </c>
      <c r="D171" s="420">
        <f t="shared" si="4"/>
        <v>-6.130132956818457E-2</v>
      </c>
      <c r="E171" s="394"/>
      <c r="F171" s="418">
        <v>24180.799999999999</v>
      </c>
      <c r="G171" s="420">
        <f t="shared" si="5"/>
        <v>-2.7088140564616281E-2</v>
      </c>
      <c r="H171" s="397"/>
      <c r="I171" s="397"/>
      <c r="J171" s="397"/>
      <c r="K171" s="394"/>
      <c r="L171" s="396"/>
      <c r="T171" s="393"/>
      <c r="U171" s="394"/>
    </row>
    <row r="172" spans="2:21" x14ac:dyDescent="0.2">
      <c r="B172" s="426">
        <v>45592</v>
      </c>
      <c r="C172" s="394">
        <v>411.35</v>
      </c>
      <c r="D172" s="420">
        <f t="shared" si="4"/>
        <v>3.1210829781900262E-2</v>
      </c>
      <c r="E172" s="394"/>
      <c r="F172" s="418">
        <v>24304.35</v>
      </c>
      <c r="G172" s="420">
        <f t="shared" si="5"/>
        <v>5.1094256600276999E-3</v>
      </c>
      <c r="H172" s="397"/>
      <c r="I172" s="397"/>
      <c r="J172" s="397"/>
      <c r="K172" s="394"/>
      <c r="L172" s="396"/>
      <c r="T172" s="393"/>
      <c r="U172" s="394"/>
    </row>
    <row r="173" spans="2:21" x14ac:dyDescent="0.2">
      <c r="B173" s="426">
        <v>45599</v>
      </c>
      <c r="C173" s="394">
        <v>397.65</v>
      </c>
      <c r="D173" s="420">
        <f t="shared" si="4"/>
        <v>-3.3304971435517361E-2</v>
      </c>
      <c r="E173" s="394"/>
      <c r="F173" s="418">
        <v>24148.2</v>
      </c>
      <c r="G173" s="420">
        <f t="shared" si="5"/>
        <v>-6.4247758117372822E-3</v>
      </c>
      <c r="H173" s="397"/>
      <c r="I173" s="397"/>
      <c r="J173" s="397"/>
      <c r="K173" s="394"/>
      <c r="L173" s="396"/>
      <c r="T173" s="393"/>
      <c r="U173" s="394"/>
    </row>
    <row r="174" spans="2:21" x14ac:dyDescent="0.2">
      <c r="B174" s="426">
        <v>45606</v>
      </c>
      <c r="C174" s="394">
        <v>372.5</v>
      </c>
      <c r="D174" s="420">
        <f t="shared" si="4"/>
        <v>-6.324657362001751E-2</v>
      </c>
      <c r="E174" s="394"/>
      <c r="F174" s="418">
        <v>23532.7</v>
      </c>
      <c r="G174" s="420">
        <f t="shared" si="5"/>
        <v>-2.5488442202731498E-2</v>
      </c>
      <c r="H174" s="397"/>
      <c r="I174" s="397"/>
      <c r="J174" s="397"/>
      <c r="K174" s="394"/>
      <c r="L174" s="396"/>
      <c r="T174" s="393"/>
      <c r="U174" s="394"/>
    </row>
    <row r="175" spans="2:21" x14ac:dyDescent="0.2">
      <c r="B175" s="426">
        <v>45613</v>
      </c>
      <c r="C175" s="394">
        <v>365.45</v>
      </c>
      <c r="D175" s="420">
        <f t="shared" si="4"/>
        <v>-1.8926174496644355E-2</v>
      </c>
      <c r="E175" s="394"/>
      <c r="F175" s="418">
        <v>23907.25</v>
      </c>
      <c r="G175" s="420">
        <f t="shared" si="5"/>
        <v>1.5916150717937061E-2</v>
      </c>
      <c r="H175" s="397"/>
      <c r="I175" s="397"/>
      <c r="J175" s="397"/>
      <c r="K175" s="394"/>
      <c r="L175" s="396"/>
      <c r="T175" s="393"/>
      <c r="U175" s="394"/>
    </row>
    <row r="176" spans="2:21" x14ac:dyDescent="0.2">
      <c r="B176" s="426">
        <v>45620</v>
      </c>
      <c r="C176" s="394">
        <v>363.65</v>
      </c>
      <c r="D176" s="420">
        <f t="shared" si="4"/>
        <v>-4.9254343959502789E-3</v>
      </c>
      <c r="E176" s="394"/>
      <c r="F176" s="418">
        <v>24131.1</v>
      </c>
      <c r="G176" s="420">
        <f t="shared" si="5"/>
        <v>9.3632684645870157E-3</v>
      </c>
      <c r="H176" s="397"/>
      <c r="I176" s="397"/>
      <c r="J176" s="397"/>
      <c r="K176" s="394"/>
      <c r="L176" s="396"/>
      <c r="T176" s="393"/>
      <c r="U176" s="394"/>
    </row>
    <row r="177" spans="2:21" x14ac:dyDescent="0.2">
      <c r="B177" s="426">
        <v>45627</v>
      </c>
      <c r="C177" s="394">
        <v>369.5</v>
      </c>
      <c r="D177" s="420">
        <f t="shared" si="4"/>
        <v>1.6086896741372314E-2</v>
      </c>
      <c r="E177" s="394"/>
      <c r="F177" s="418">
        <v>24677.8</v>
      </c>
      <c r="G177" s="420">
        <f t="shared" si="5"/>
        <v>2.2655411481449228E-2</v>
      </c>
      <c r="H177" s="397"/>
      <c r="I177" s="397"/>
      <c r="J177" s="397"/>
      <c r="K177" s="394"/>
      <c r="L177" s="396"/>
      <c r="T177" s="393"/>
      <c r="U177" s="394"/>
    </row>
    <row r="178" spans="2:21" x14ac:dyDescent="0.2">
      <c r="B178" s="426">
        <v>45634</v>
      </c>
      <c r="C178" s="394">
        <v>357.15</v>
      </c>
      <c r="D178" s="420">
        <f t="shared" si="4"/>
        <v>-3.3423545331529136E-2</v>
      </c>
      <c r="E178" s="394"/>
      <c r="F178" s="418">
        <v>24768.3</v>
      </c>
      <c r="G178" s="420">
        <f t="shared" si="5"/>
        <v>3.6672636944945491E-3</v>
      </c>
      <c r="H178" s="397"/>
      <c r="I178" s="397"/>
      <c r="J178" s="397"/>
      <c r="K178" s="394"/>
      <c r="L178" s="396"/>
      <c r="T178" s="393"/>
      <c r="U178" s="394"/>
    </row>
    <row r="179" spans="2:21" x14ac:dyDescent="0.2">
      <c r="B179" s="426">
        <v>45641</v>
      </c>
      <c r="C179" s="394">
        <v>333.25</v>
      </c>
      <c r="D179" s="420">
        <f t="shared" si="4"/>
        <v>-6.6918661626767406E-2</v>
      </c>
      <c r="E179" s="394"/>
      <c r="F179" s="418">
        <v>23587.5</v>
      </c>
      <c r="G179" s="420">
        <f t="shared" si="5"/>
        <v>-4.7673841159869612E-2</v>
      </c>
      <c r="H179" s="397"/>
      <c r="I179" s="397"/>
      <c r="J179" s="397"/>
      <c r="K179" s="394"/>
      <c r="L179" s="396"/>
      <c r="T179" s="393"/>
      <c r="U179" s="394"/>
    </row>
    <row r="180" spans="2:21" x14ac:dyDescent="0.2">
      <c r="B180" s="426">
        <v>45648</v>
      </c>
      <c r="C180" s="394">
        <v>335</v>
      </c>
      <c r="D180" s="420">
        <f t="shared" si="4"/>
        <v>5.251312828207011E-3</v>
      </c>
      <c r="E180" s="394"/>
      <c r="F180" s="418">
        <v>23813.4</v>
      </c>
      <c r="G180" s="420">
        <f t="shared" si="5"/>
        <v>9.5771065182830295E-3</v>
      </c>
      <c r="H180" s="397"/>
      <c r="I180" s="397"/>
      <c r="J180" s="397"/>
      <c r="K180" s="394"/>
      <c r="L180" s="396"/>
      <c r="T180" s="393"/>
      <c r="U180" s="394"/>
    </row>
    <row r="181" spans="2:21" x14ac:dyDescent="0.2">
      <c r="B181" s="426">
        <v>45655</v>
      </c>
      <c r="C181" s="394">
        <v>339.85</v>
      </c>
      <c r="D181" s="420">
        <f t="shared" si="4"/>
        <v>1.4477611940298507E-2</v>
      </c>
      <c r="E181" s="394"/>
      <c r="F181" s="418">
        <v>24004.75</v>
      </c>
      <c r="G181" s="420">
        <f t="shared" si="5"/>
        <v>8.035391838208783E-3</v>
      </c>
      <c r="H181" s="397"/>
      <c r="I181" s="397"/>
      <c r="J181" s="397"/>
      <c r="K181" s="394"/>
      <c r="L181" s="396"/>
      <c r="T181" s="393"/>
      <c r="U181" s="394"/>
    </row>
    <row r="182" spans="2:21" x14ac:dyDescent="0.2">
      <c r="B182" s="426">
        <v>45662</v>
      </c>
      <c r="C182" s="394">
        <v>308.25</v>
      </c>
      <c r="D182" s="420">
        <f t="shared" si="4"/>
        <v>-9.2982198028542018E-2</v>
      </c>
      <c r="E182" s="394"/>
      <c r="F182" s="418">
        <v>23431.5</v>
      </c>
      <c r="G182" s="420">
        <f t="shared" si="5"/>
        <v>-2.3880690280048689E-2</v>
      </c>
      <c r="H182" s="397"/>
      <c r="I182" s="397"/>
      <c r="J182" s="397"/>
      <c r="K182" s="394"/>
      <c r="L182" s="396"/>
      <c r="T182" s="393"/>
      <c r="U182" s="394"/>
    </row>
    <row r="183" spans="2:21" x14ac:dyDescent="0.2">
      <c r="B183" s="426">
        <v>45669</v>
      </c>
      <c r="C183" s="394">
        <v>326.14999999999998</v>
      </c>
      <c r="D183" s="420">
        <f t="shared" si="4"/>
        <v>5.8069748580697356E-2</v>
      </c>
      <c r="E183" s="394"/>
      <c r="F183" s="418">
        <v>23203.200000000001</v>
      </c>
      <c r="G183" s="420">
        <f t="shared" si="5"/>
        <v>-9.7432942833365344E-3</v>
      </c>
      <c r="H183" s="397"/>
      <c r="I183" s="397"/>
      <c r="J183" s="397"/>
      <c r="K183" s="394"/>
      <c r="L183" s="396"/>
      <c r="T183" s="393"/>
      <c r="U183" s="394"/>
    </row>
    <row r="184" spans="2:21" x14ac:dyDescent="0.2">
      <c r="B184" s="426">
        <v>45676</v>
      </c>
      <c r="C184" s="394">
        <v>323.64999999999998</v>
      </c>
      <c r="D184" s="420">
        <f t="shared" si="4"/>
        <v>-7.6651847309520127E-3</v>
      </c>
      <c r="E184" s="394"/>
      <c r="F184" s="418">
        <v>23092.2</v>
      </c>
      <c r="G184" s="420">
        <f t="shared" si="5"/>
        <v>-4.7838229209764549E-3</v>
      </c>
      <c r="H184" s="397"/>
      <c r="I184" s="397"/>
      <c r="J184" s="397"/>
      <c r="K184" s="394"/>
      <c r="L184" s="396"/>
      <c r="T184" s="393"/>
      <c r="U184" s="394"/>
    </row>
    <row r="185" spans="2:21" x14ac:dyDescent="0.2">
      <c r="B185" s="426">
        <v>45683</v>
      </c>
      <c r="C185" s="394">
        <v>324</v>
      </c>
      <c r="D185" s="420">
        <f t="shared" si="4"/>
        <v>1.0814151089140189E-3</v>
      </c>
      <c r="E185" s="394"/>
      <c r="F185" s="418">
        <v>23508.400000000001</v>
      </c>
      <c r="G185" s="420">
        <f t="shared" si="5"/>
        <v>1.8023401841314346E-2</v>
      </c>
      <c r="H185" s="397"/>
      <c r="I185" s="397"/>
      <c r="J185" s="397"/>
      <c r="K185" s="394"/>
      <c r="L185" s="396"/>
      <c r="T185" s="393"/>
      <c r="U185" s="394"/>
    </row>
    <row r="186" spans="2:21" x14ac:dyDescent="0.2">
      <c r="B186" s="426">
        <v>45690</v>
      </c>
      <c r="C186" s="394">
        <v>316.95</v>
      </c>
      <c r="D186" s="420">
        <f t="shared" si="4"/>
        <v>-2.1759259259259256E-2</v>
      </c>
      <c r="E186" s="394"/>
      <c r="F186" s="418">
        <v>23559.95</v>
      </c>
      <c r="G186" s="420">
        <f t="shared" si="5"/>
        <v>2.1928332000475947E-3</v>
      </c>
      <c r="H186" s="397"/>
      <c r="I186" s="397"/>
      <c r="J186" s="397"/>
      <c r="K186" s="394"/>
      <c r="L186" s="396"/>
      <c r="T186" s="393"/>
      <c r="U186" s="394"/>
    </row>
    <row r="187" spans="2:21" x14ac:dyDescent="0.2">
      <c r="B187" s="426">
        <v>45697</v>
      </c>
      <c r="C187" s="394">
        <v>300.35000000000002</v>
      </c>
      <c r="D187" s="420">
        <f t="shared" si="4"/>
        <v>-5.2374191512856827E-2</v>
      </c>
      <c r="E187" s="394"/>
      <c r="F187" s="418">
        <v>22929.25</v>
      </c>
      <c r="G187" s="420">
        <f t="shared" si="5"/>
        <v>-2.6770005878620329E-2</v>
      </c>
      <c r="H187" s="397"/>
      <c r="I187" s="397"/>
      <c r="J187" s="397"/>
      <c r="K187" s="394"/>
      <c r="L187" s="396"/>
      <c r="T187" s="393"/>
      <c r="U187" s="394"/>
    </row>
    <row r="188" spans="2:21" x14ac:dyDescent="0.2">
      <c r="B188" s="426">
        <v>45704</v>
      </c>
      <c r="C188" s="394">
        <v>326.25</v>
      </c>
      <c r="D188" s="420">
        <f t="shared" si="4"/>
        <v>8.6232728483435883E-2</v>
      </c>
      <c r="E188" s="394"/>
      <c r="F188" s="418">
        <v>22795.9</v>
      </c>
      <c r="G188" s="420">
        <f t="shared" si="5"/>
        <v>-5.8157157342695331E-3</v>
      </c>
      <c r="H188" s="397"/>
      <c r="I188" s="397"/>
      <c r="J188" s="397"/>
      <c r="K188" s="394"/>
      <c r="L188" s="396"/>
      <c r="T188" s="393"/>
      <c r="U188" s="394"/>
    </row>
    <row r="189" spans="2:21" x14ac:dyDescent="0.2">
      <c r="B189" s="426">
        <v>45711</v>
      </c>
      <c r="C189" s="394">
        <v>311.45</v>
      </c>
      <c r="D189" s="420">
        <f t="shared" si="4"/>
        <v>-4.536398467432956E-2</v>
      </c>
      <c r="E189" s="394"/>
      <c r="F189" s="418">
        <v>22124.7</v>
      </c>
      <c r="G189" s="420">
        <f t="shared" si="5"/>
        <v>-2.9443891226053842E-2</v>
      </c>
      <c r="H189" s="397"/>
      <c r="I189" s="397"/>
      <c r="J189" s="397"/>
      <c r="K189" s="394"/>
      <c r="L189" s="396"/>
      <c r="T189" s="393"/>
      <c r="U189" s="394"/>
    </row>
    <row r="190" spans="2:21" x14ac:dyDescent="0.2">
      <c r="B190" s="426">
        <v>45718</v>
      </c>
      <c r="C190" s="394">
        <v>329.55</v>
      </c>
      <c r="D190" s="420">
        <f t="shared" si="4"/>
        <v>5.8115267298121775E-2</v>
      </c>
      <c r="E190" s="394"/>
      <c r="F190" s="418">
        <v>22552.5</v>
      </c>
      <c r="G190" s="420">
        <f t="shared" si="5"/>
        <v>1.9335855401429125E-2</v>
      </c>
      <c r="H190" s="397"/>
      <c r="I190" s="397"/>
      <c r="J190" s="397"/>
      <c r="K190" s="394"/>
      <c r="L190" s="396"/>
      <c r="T190" s="393"/>
      <c r="U190" s="394"/>
    </row>
    <row r="191" spans="2:21" x14ac:dyDescent="0.2">
      <c r="B191" s="426">
        <v>45725</v>
      </c>
      <c r="C191" s="394">
        <v>331.9</v>
      </c>
      <c r="D191" s="420">
        <f t="shared" si="4"/>
        <v>7.1309361250189163E-3</v>
      </c>
      <c r="E191" s="394"/>
      <c r="F191" s="418">
        <v>22397.200000000001</v>
      </c>
      <c r="G191" s="420">
        <f t="shared" si="5"/>
        <v>-6.8861545283227521E-3</v>
      </c>
      <c r="H191" s="397"/>
      <c r="I191" s="397"/>
      <c r="J191" s="397"/>
      <c r="K191" s="394"/>
      <c r="L191" s="396"/>
      <c r="T191" s="393"/>
      <c r="U191" s="394"/>
    </row>
    <row r="192" spans="2:21" x14ac:dyDescent="0.2">
      <c r="B192" s="426">
        <v>45732</v>
      </c>
      <c r="C192" s="394">
        <v>351.3</v>
      </c>
      <c r="D192" s="420">
        <f t="shared" si="4"/>
        <v>5.8451340765290904E-2</v>
      </c>
      <c r="E192" s="394"/>
      <c r="F192" s="418">
        <v>23350.400000000001</v>
      </c>
      <c r="G192" s="420">
        <f t="shared" si="5"/>
        <v>4.2558891289982803E-2</v>
      </c>
      <c r="H192" s="397"/>
      <c r="I192" s="397"/>
      <c r="J192" s="397"/>
      <c r="K192" s="394"/>
      <c r="L192" s="396"/>
      <c r="T192" s="393"/>
      <c r="U192" s="394"/>
    </row>
    <row r="193" spans="2:21" x14ac:dyDescent="0.2">
      <c r="B193" s="426">
        <v>45739</v>
      </c>
      <c r="C193" s="394">
        <v>357.6</v>
      </c>
      <c r="D193" s="420">
        <f t="shared" si="4"/>
        <v>1.7933390264730953E-2</v>
      </c>
      <c r="E193" s="394"/>
      <c r="F193" s="418">
        <v>23519.35</v>
      </c>
      <c r="G193" s="420">
        <f t="shared" si="5"/>
        <v>7.2354220912702605E-3</v>
      </c>
      <c r="H193" s="397"/>
      <c r="I193" s="397"/>
      <c r="J193" s="397"/>
      <c r="K193" s="394"/>
      <c r="L193" s="396"/>
      <c r="T193" s="393"/>
      <c r="U193" s="394"/>
    </row>
    <row r="194" spans="2:21" x14ac:dyDescent="0.2">
      <c r="B194" s="426">
        <v>45746</v>
      </c>
      <c r="C194" s="394">
        <v>350.4</v>
      </c>
      <c r="D194" s="420">
        <f t="shared" si="4"/>
        <v>-2.0134228187919545E-2</v>
      </c>
      <c r="E194" s="394"/>
      <c r="F194" s="418">
        <v>22904.45</v>
      </c>
      <c r="G194" s="420">
        <f t="shared" si="5"/>
        <v>-2.6144430011883713E-2</v>
      </c>
      <c r="H194" s="397"/>
      <c r="I194" s="397"/>
      <c r="J194" s="397"/>
      <c r="K194" s="394"/>
      <c r="L194" s="396"/>
      <c r="T194" s="393"/>
      <c r="U194" s="394"/>
    </row>
    <row r="195" spans="2:21" x14ac:dyDescent="0.2">
      <c r="B195" s="426">
        <v>45753</v>
      </c>
      <c r="C195" s="394">
        <v>360.1</v>
      </c>
      <c r="D195" s="420">
        <f t="shared" si="4"/>
        <v>2.7682648401826659E-2</v>
      </c>
      <c r="E195" s="394"/>
      <c r="F195" s="418">
        <v>22828.55</v>
      </c>
      <c r="G195" s="420">
        <f t="shared" si="5"/>
        <v>-3.3137665388167648E-3</v>
      </c>
      <c r="H195" s="397"/>
      <c r="I195" s="397"/>
      <c r="J195" s="397"/>
      <c r="K195" s="394"/>
      <c r="L195" s="396"/>
      <c r="T195" s="393"/>
      <c r="U195" s="394"/>
    </row>
    <row r="196" spans="2:21" x14ac:dyDescent="0.2">
      <c r="B196" s="426">
        <v>45760</v>
      </c>
      <c r="C196" s="394">
        <v>364</v>
      </c>
      <c r="D196" s="420">
        <f t="shared" si="4"/>
        <v>1.0830324909747224E-2</v>
      </c>
      <c r="E196" s="394"/>
      <c r="F196" s="418">
        <v>23851.65</v>
      </c>
      <c r="G196" s="420">
        <f t="shared" si="5"/>
        <v>4.4816687875489425E-2</v>
      </c>
      <c r="H196" s="397"/>
      <c r="I196" s="397"/>
      <c r="J196" s="397"/>
      <c r="K196" s="394"/>
      <c r="L196" s="396"/>
      <c r="T196" s="393"/>
      <c r="U196" s="394"/>
    </row>
    <row r="197" spans="2:21" x14ac:dyDescent="0.2">
      <c r="B197" s="426">
        <v>45767</v>
      </c>
      <c r="C197" s="394">
        <v>356.45</v>
      </c>
      <c r="D197" s="420">
        <f t="shared" si="4"/>
        <v>-2.0741758241758279E-2</v>
      </c>
      <c r="E197" s="394"/>
      <c r="F197" s="418">
        <v>24039.35</v>
      </c>
      <c r="G197" s="420">
        <f t="shared" si="5"/>
        <v>7.86947653516612E-3</v>
      </c>
      <c r="H197" s="397"/>
      <c r="I197" s="397"/>
      <c r="J197" s="397"/>
      <c r="K197" s="394"/>
      <c r="L197" s="396"/>
      <c r="T197" s="393"/>
      <c r="U197" s="394"/>
    </row>
    <row r="198" spans="2:21" x14ac:dyDescent="0.2">
      <c r="B198" s="426">
        <v>45774</v>
      </c>
      <c r="C198" s="394">
        <v>348.45</v>
      </c>
      <c r="D198" s="420">
        <f t="shared" si="4"/>
        <v>-2.2443540468508938E-2</v>
      </c>
      <c r="E198" s="394"/>
      <c r="F198" s="418">
        <v>24346.7</v>
      </c>
      <c r="G198" s="420">
        <f t="shared" si="5"/>
        <v>1.2785287455775673E-2</v>
      </c>
      <c r="H198" s="397"/>
      <c r="I198" s="397"/>
      <c r="J198" s="397"/>
      <c r="K198" s="394"/>
      <c r="L198" s="396"/>
      <c r="T198" s="393"/>
      <c r="U198" s="394"/>
    </row>
    <row r="199" spans="2:21" x14ac:dyDescent="0.2">
      <c r="B199" s="426">
        <v>45781</v>
      </c>
      <c r="C199" s="394">
        <v>334.75</v>
      </c>
      <c r="D199" s="420">
        <f t="shared" si="4"/>
        <v>-3.9316975175778368E-2</v>
      </c>
      <c r="E199" s="394"/>
      <c r="F199" s="418">
        <v>24008</v>
      </c>
      <c r="G199" s="420">
        <f t="shared" si="5"/>
        <v>-1.391153626569519E-2</v>
      </c>
      <c r="H199" s="397"/>
      <c r="I199" s="397"/>
      <c r="J199" s="397"/>
      <c r="K199" s="394"/>
      <c r="L199" s="396"/>
      <c r="T199" s="393"/>
      <c r="U199" s="394"/>
    </row>
    <row r="200" spans="2:21" x14ac:dyDescent="0.2">
      <c r="B200" s="426">
        <v>45788</v>
      </c>
      <c r="C200" s="394">
        <v>343.1</v>
      </c>
      <c r="D200" s="420">
        <f t="shared" si="4"/>
        <v>2.4943988050784238E-2</v>
      </c>
      <c r="E200" s="394"/>
      <c r="F200" s="418">
        <v>25019.8</v>
      </c>
      <c r="G200" s="420">
        <f t="shared" si="5"/>
        <v>4.2144285238253865E-2</v>
      </c>
      <c r="H200" s="397"/>
      <c r="I200" s="397"/>
      <c r="J200" s="397"/>
      <c r="K200" s="394"/>
      <c r="L200" s="396"/>
      <c r="T200" s="393"/>
      <c r="U200" s="394"/>
    </row>
    <row r="201" spans="2:21" x14ac:dyDescent="0.2">
      <c r="B201" s="426">
        <v>45795</v>
      </c>
      <c r="C201" s="394">
        <v>344.6</v>
      </c>
      <c r="D201" s="420">
        <f t="shared" si="4"/>
        <v>4.3719032352083076E-3</v>
      </c>
      <c r="E201" s="394"/>
      <c r="F201" s="418">
        <v>24853.15</v>
      </c>
      <c r="G201" s="420">
        <f t="shared" si="5"/>
        <v>-6.660724706032739E-3</v>
      </c>
      <c r="H201" s="397"/>
      <c r="I201" s="397"/>
      <c r="J201" s="397"/>
      <c r="K201" s="394"/>
      <c r="L201" s="396"/>
      <c r="T201" s="393"/>
      <c r="U201" s="394"/>
    </row>
    <row r="202" spans="2:21" x14ac:dyDescent="0.2">
      <c r="B202" s="426">
        <v>45802</v>
      </c>
      <c r="C202" s="394">
        <v>333.9</v>
      </c>
      <c r="D202" s="420">
        <f t="shared" si="4"/>
        <v>-3.1050493325595063E-2</v>
      </c>
      <c r="E202" s="394"/>
      <c r="F202" s="418">
        <v>24750.7</v>
      </c>
      <c r="G202" s="420">
        <f t="shared" si="5"/>
        <v>-4.1222138843567402E-3</v>
      </c>
      <c r="H202" s="397"/>
      <c r="I202" s="397"/>
      <c r="J202" s="397"/>
      <c r="K202" s="394"/>
      <c r="L202" s="396"/>
      <c r="T202" s="393"/>
      <c r="U202" s="394"/>
    </row>
    <row r="203" spans="2:21" x14ac:dyDescent="0.2">
      <c r="B203" s="426">
        <v>45809</v>
      </c>
      <c r="C203" s="394">
        <v>332.85</v>
      </c>
      <c r="D203" s="420">
        <f t="shared" ref="D203:D266" si="6">C203/C202-1</f>
        <v>-3.1446540880502027E-3</v>
      </c>
      <c r="E203" s="394"/>
      <c r="F203" s="418">
        <v>25003.05</v>
      </c>
      <c r="G203" s="420">
        <f t="shared" si="5"/>
        <v>1.0195671233540704E-2</v>
      </c>
      <c r="H203" s="397"/>
      <c r="I203" s="397"/>
      <c r="J203" s="397"/>
      <c r="K203" s="394"/>
      <c r="L203" s="396"/>
      <c r="T203" s="393"/>
      <c r="U203" s="394"/>
    </row>
    <row r="204" spans="2:21" x14ac:dyDescent="0.2">
      <c r="B204" s="426">
        <v>45816</v>
      </c>
      <c r="C204" s="394">
        <v>331.95</v>
      </c>
      <c r="D204" s="420">
        <f t="shared" si="6"/>
        <v>-2.7039206849933661E-3</v>
      </c>
      <c r="E204" s="394"/>
      <c r="F204" s="418">
        <v>24718.6</v>
      </c>
      <c r="G204" s="420">
        <f t="shared" ref="G204:G267" si="7">F204/F203-1</f>
        <v>-1.1376612053329516E-2</v>
      </c>
      <c r="H204" s="397"/>
      <c r="I204" s="397"/>
      <c r="J204" s="397"/>
      <c r="K204" s="394"/>
      <c r="L204" s="396"/>
      <c r="T204" s="393"/>
      <c r="U204" s="394"/>
    </row>
    <row r="205" spans="2:21" x14ac:dyDescent="0.2">
      <c r="B205" s="426">
        <v>45823</v>
      </c>
      <c r="C205" s="394">
        <v>335.2</v>
      </c>
      <c r="D205" s="420">
        <f t="shared" si="6"/>
        <v>9.7906311191444662E-3</v>
      </c>
      <c r="E205" s="394"/>
      <c r="F205" s="418">
        <v>25112.400000000001</v>
      </c>
      <c r="G205" s="420">
        <f t="shared" si="7"/>
        <v>1.5931322971365791E-2</v>
      </c>
      <c r="H205" s="397"/>
      <c r="I205" s="397"/>
      <c r="J205" s="397"/>
      <c r="K205" s="394"/>
      <c r="L205" s="396"/>
      <c r="T205" s="393"/>
      <c r="U205" s="394"/>
    </row>
    <row r="206" spans="2:21" x14ac:dyDescent="0.2">
      <c r="B206" s="426">
        <v>45830</v>
      </c>
      <c r="C206" s="394">
        <v>338.3</v>
      </c>
      <c r="D206" s="420">
        <f t="shared" si="6"/>
        <v>9.2482100238664433E-3</v>
      </c>
      <c r="E206" s="394"/>
      <c r="F206" s="418">
        <v>25637.8</v>
      </c>
      <c r="G206" s="420">
        <f t="shared" si="7"/>
        <v>2.092193498032846E-2</v>
      </c>
      <c r="H206" s="397"/>
      <c r="I206" s="397"/>
      <c r="J206" s="397"/>
      <c r="K206" s="394"/>
      <c r="L206" s="396"/>
      <c r="T206" s="393"/>
      <c r="U206" s="394"/>
    </row>
    <row r="207" spans="2:21" x14ac:dyDescent="0.2">
      <c r="B207" s="426">
        <v>45837</v>
      </c>
      <c r="C207" s="394">
        <v>335.5</v>
      </c>
      <c r="D207" s="420">
        <f t="shared" si="6"/>
        <v>-8.2766775051729136E-3</v>
      </c>
      <c r="E207" s="394"/>
      <c r="F207" s="418">
        <v>25461</v>
      </c>
      <c r="G207" s="420">
        <f t="shared" si="7"/>
        <v>-6.8960675252947023E-3</v>
      </c>
      <c r="H207" s="397"/>
      <c r="I207" s="397"/>
      <c r="J207" s="397"/>
      <c r="K207" s="394"/>
      <c r="L207" s="396"/>
      <c r="T207" s="393"/>
      <c r="U207" s="394"/>
    </row>
    <row r="208" spans="2:21" x14ac:dyDescent="0.2">
      <c r="B208" s="426">
        <v>45844</v>
      </c>
      <c r="C208" s="394">
        <v>342.7</v>
      </c>
      <c r="D208" s="420">
        <f t="shared" si="6"/>
        <v>2.1460506706408422E-2</v>
      </c>
      <c r="E208" s="394"/>
      <c r="F208" s="418">
        <v>25149.85</v>
      </c>
      <c r="G208" s="420">
        <f t="shared" si="7"/>
        <v>-1.2220651192019205E-2</v>
      </c>
      <c r="H208" s="397"/>
      <c r="I208" s="397"/>
      <c r="J208" s="397"/>
      <c r="K208" s="394"/>
      <c r="L208" s="396"/>
      <c r="T208" s="393"/>
      <c r="U208" s="394"/>
    </row>
    <row r="209" spans="2:21" x14ac:dyDescent="0.2">
      <c r="B209" s="426">
        <v>45851</v>
      </c>
      <c r="C209" s="394">
        <v>342.1</v>
      </c>
      <c r="D209" s="420">
        <f t="shared" si="6"/>
        <v>-1.7508024511233566E-3</v>
      </c>
      <c r="E209" s="394"/>
      <c r="F209" s="418">
        <v>24968.400000000001</v>
      </c>
      <c r="G209" s="420">
        <f t="shared" si="7"/>
        <v>-7.214754759968578E-3</v>
      </c>
      <c r="H209" s="397"/>
      <c r="I209" s="397"/>
      <c r="J209" s="397"/>
      <c r="K209" s="394"/>
      <c r="L209" s="396"/>
      <c r="T209" s="393"/>
      <c r="U209" s="394"/>
    </row>
    <row r="210" spans="2:21" x14ac:dyDescent="0.2">
      <c r="B210" s="426">
        <v>45858</v>
      </c>
      <c r="C210" s="394">
        <v>333.2</v>
      </c>
      <c r="D210" s="420">
        <f t="shared" si="6"/>
        <v>-2.6015784858228641E-2</v>
      </c>
      <c r="E210" s="394"/>
      <c r="F210" s="418">
        <v>24837</v>
      </c>
      <c r="G210" s="420">
        <f t="shared" si="7"/>
        <v>-5.2626519921180615E-3</v>
      </c>
      <c r="H210" s="397"/>
      <c r="I210" s="397"/>
      <c r="J210" s="397"/>
      <c r="K210" s="394"/>
      <c r="L210" s="396"/>
      <c r="T210" s="393"/>
      <c r="U210" s="394"/>
    </row>
    <row r="211" spans="2:21" x14ac:dyDescent="0.2">
      <c r="B211" s="426">
        <v>45865</v>
      </c>
      <c r="C211" s="394">
        <v>330.9</v>
      </c>
      <c r="D211" s="420">
        <f t="shared" si="6"/>
        <v>-6.902761104441768E-3</v>
      </c>
      <c r="E211" s="394"/>
      <c r="F211" s="418">
        <v>24565.35</v>
      </c>
      <c r="G211" s="420">
        <f t="shared" si="7"/>
        <v>-1.0937311269477057E-2</v>
      </c>
      <c r="H211" s="397"/>
      <c r="I211" s="397"/>
      <c r="J211" s="397"/>
      <c r="K211" s="394"/>
      <c r="L211" s="396"/>
      <c r="T211" s="393"/>
      <c r="U211" s="394"/>
    </row>
    <row r="212" spans="2:21" x14ac:dyDescent="0.2">
      <c r="B212" s="426">
        <v>45872</v>
      </c>
      <c r="C212" s="394">
        <v>334.75</v>
      </c>
      <c r="D212" s="420">
        <f t="shared" si="6"/>
        <v>1.1634935025687687E-2</v>
      </c>
      <c r="E212" s="394"/>
      <c r="F212" s="418">
        <v>24363.3</v>
      </c>
      <c r="G212" s="420">
        <f t="shared" si="7"/>
        <v>-8.2249998473459263E-3</v>
      </c>
      <c r="H212" s="397"/>
      <c r="I212" s="397"/>
      <c r="J212" s="397"/>
      <c r="K212" s="394"/>
      <c r="L212" s="396"/>
      <c r="T212" s="393"/>
      <c r="U212" s="394"/>
    </row>
    <row r="213" spans="2:21" x14ac:dyDescent="0.2">
      <c r="B213" s="426">
        <v>45879</v>
      </c>
      <c r="C213" s="394">
        <v>339.35</v>
      </c>
      <c r="D213" s="420">
        <f t="shared" si="6"/>
        <v>1.3741598207617667E-2</v>
      </c>
      <c r="E213" s="394"/>
      <c r="F213" s="418">
        <v>24631.3</v>
      </c>
      <c r="G213" s="420">
        <f t="shared" si="7"/>
        <v>1.100015186776826E-2</v>
      </c>
      <c r="H213" s="397"/>
      <c r="I213" s="397"/>
      <c r="J213" s="397"/>
      <c r="K213" s="394"/>
      <c r="L213" s="396"/>
      <c r="T213" s="393"/>
      <c r="U213" s="394"/>
    </row>
    <row r="214" spans="2:21" x14ac:dyDescent="0.2">
      <c r="B214" s="426">
        <v>45886</v>
      </c>
      <c r="C214" s="394">
        <v>337</v>
      </c>
      <c r="D214" s="420">
        <f t="shared" si="6"/>
        <v>-6.925003683512676E-3</v>
      </c>
      <c r="E214" s="394"/>
      <c r="F214" s="418">
        <v>24870.1</v>
      </c>
      <c r="G214" s="420">
        <f t="shared" si="7"/>
        <v>9.6949815884666002E-3</v>
      </c>
      <c r="H214" s="397"/>
      <c r="I214" s="397"/>
      <c r="J214" s="397"/>
      <c r="K214" s="394"/>
      <c r="L214" s="396"/>
      <c r="T214" s="393"/>
      <c r="U214" s="394"/>
    </row>
    <row r="215" spans="2:21" x14ac:dyDescent="0.2">
      <c r="B215" s="426">
        <v>45893</v>
      </c>
      <c r="C215" s="394">
        <v>327.55</v>
      </c>
      <c r="D215" s="420">
        <f t="shared" si="6"/>
        <v>-2.804154302670625E-2</v>
      </c>
      <c r="E215" s="394"/>
      <c r="F215" s="418">
        <v>24426.85</v>
      </c>
      <c r="G215" s="420">
        <f t="shared" si="7"/>
        <v>-1.7822606262138052E-2</v>
      </c>
      <c r="H215" s="397"/>
      <c r="I215" s="397"/>
      <c r="J215" s="397"/>
      <c r="K215" s="394"/>
      <c r="L215" s="396"/>
      <c r="T215" s="393"/>
      <c r="U215" s="394"/>
    </row>
    <row r="216" spans="2:21" x14ac:dyDescent="0.2">
      <c r="B216" s="426">
        <v>45900</v>
      </c>
      <c r="C216" s="394">
        <v>328.7</v>
      </c>
      <c r="D216" s="420">
        <f t="shared" si="6"/>
        <v>3.5109143642191309E-3</v>
      </c>
      <c r="E216" s="394"/>
      <c r="F216" s="418">
        <v>24741</v>
      </c>
      <c r="G216" s="420">
        <f t="shared" si="7"/>
        <v>1.2860847796584585E-2</v>
      </c>
      <c r="H216" s="397"/>
      <c r="I216" s="397"/>
      <c r="J216" s="397"/>
      <c r="K216" s="394"/>
      <c r="L216" s="396"/>
      <c r="T216" s="393"/>
      <c r="U216" s="394"/>
    </row>
    <row r="217" spans="2:21" x14ac:dyDescent="0.2">
      <c r="B217" s="426">
        <v>45907</v>
      </c>
      <c r="C217" s="394">
        <v>331.7</v>
      </c>
      <c r="D217" s="420">
        <f t="shared" si="6"/>
        <v>9.1268634012777738E-3</v>
      </c>
      <c r="E217" s="394"/>
      <c r="F217" s="418">
        <v>25114</v>
      </c>
      <c r="G217" s="420">
        <f t="shared" si="7"/>
        <v>1.5076189321369338E-2</v>
      </c>
      <c r="H217" s="397"/>
      <c r="I217" s="397"/>
      <c r="J217" s="397"/>
      <c r="K217" s="394"/>
      <c r="L217" s="396"/>
      <c r="T217" s="393"/>
      <c r="U217" s="394"/>
    </row>
    <row r="218" spans="2:21" x14ac:dyDescent="0.2">
      <c r="B218" s="426">
        <v>45914</v>
      </c>
      <c r="C218" s="394">
        <v>338.65</v>
      </c>
      <c r="D218" s="420">
        <f t="shared" si="6"/>
        <v>2.0952668073560332E-2</v>
      </c>
      <c r="E218" s="394"/>
      <c r="F218" s="418">
        <v>25327.05</v>
      </c>
      <c r="G218" s="420">
        <f t="shared" si="7"/>
        <v>8.4833160786812467E-3</v>
      </c>
      <c r="H218" s="397"/>
      <c r="I218" s="397"/>
      <c r="J218" s="397"/>
      <c r="K218" s="394"/>
      <c r="L218" s="396"/>
      <c r="T218" s="393"/>
      <c r="U218" s="394"/>
    </row>
    <row r="219" spans="2:21" x14ac:dyDescent="0.2">
      <c r="B219" s="426">
        <v>45921</v>
      </c>
      <c r="C219" s="394">
        <v>337.9</v>
      </c>
      <c r="D219" s="420">
        <f t="shared" si="6"/>
        <v>-2.2146759190905252E-3</v>
      </c>
      <c r="E219" s="394"/>
      <c r="F219" s="418">
        <v>24654.7</v>
      </c>
      <c r="G219" s="420">
        <f t="shared" si="7"/>
        <v>-2.6546715863079107E-2</v>
      </c>
      <c r="H219" s="397"/>
      <c r="I219" s="397"/>
      <c r="J219" s="397"/>
      <c r="K219" s="394"/>
      <c r="L219" s="396"/>
      <c r="T219" s="393"/>
      <c r="U219" s="394"/>
    </row>
    <row r="220" spans="2:21" x14ac:dyDescent="0.2">
      <c r="B220" s="426">
        <v>45928</v>
      </c>
      <c r="C220" s="394">
        <v>342</v>
      </c>
      <c r="D220" s="420">
        <f t="shared" si="6"/>
        <v>1.2133767386800942E-2</v>
      </c>
      <c r="E220" s="394"/>
      <c r="F220" s="418">
        <v>24894.25</v>
      </c>
      <c r="G220" s="420">
        <f t="shared" si="7"/>
        <v>9.7162001565624934E-3</v>
      </c>
      <c r="H220" s="397"/>
      <c r="I220" s="397"/>
      <c r="J220" s="397"/>
      <c r="K220" s="394"/>
      <c r="L220" s="396"/>
      <c r="T220" s="393"/>
      <c r="U220" s="394"/>
    </row>
    <row r="221" spans="2:21" x14ac:dyDescent="0.2">
      <c r="B221" s="426">
        <v>45935</v>
      </c>
      <c r="C221" s="394">
        <v>339.7</v>
      </c>
      <c r="D221" s="420">
        <f t="shared" si="6"/>
        <v>-6.7251461988304673E-3</v>
      </c>
      <c r="E221" s="394"/>
      <c r="F221" s="418">
        <v>25285.35</v>
      </c>
      <c r="G221" s="420">
        <f t="shared" si="7"/>
        <v>1.5710455225604214E-2</v>
      </c>
      <c r="H221" s="397"/>
      <c r="I221" s="397"/>
      <c r="J221" s="397"/>
      <c r="K221" s="394"/>
      <c r="L221" s="396"/>
      <c r="T221" s="393"/>
      <c r="U221" s="394"/>
    </row>
    <row r="222" spans="2:21" x14ac:dyDescent="0.2">
      <c r="B222" s="426">
        <v>45942</v>
      </c>
      <c r="C222" s="394">
        <v>341</v>
      </c>
      <c r="D222" s="420">
        <f t="shared" si="6"/>
        <v>3.8269060936120258E-3</v>
      </c>
      <c r="E222" s="394"/>
      <c r="F222" s="418">
        <v>25709.85</v>
      </c>
      <c r="G222" s="420">
        <f t="shared" si="7"/>
        <v>1.6788377459675319E-2</v>
      </c>
      <c r="H222" s="397"/>
      <c r="I222" s="397"/>
      <c r="J222" s="397"/>
      <c r="K222" s="394"/>
      <c r="L222" s="396"/>
      <c r="T222" s="393"/>
      <c r="U222" s="394"/>
    </row>
    <row r="223" spans="2:21" x14ac:dyDescent="0.2">
      <c r="B223" s="426">
        <v>45949</v>
      </c>
      <c r="C223" s="394">
        <v>339.6</v>
      </c>
      <c r="D223" s="420">
        <f t="shared" si="6"/>
        <v>-4.1055718475072611E-3</v>
      </c>
      <c r="E223" s="394"/>
      <c r="F223" s="418">
        <v>25795.15</v>
      </c>
      <c r="G223" s="420">
        <f t="shared" si="7"/>
        <v>3.3177945417808274E-3</v>
      </c>
      <c r="H223" s="397"/>
      <c r="I223" s="397"/>
      <c r="J223" s="397"/>
      <c r="K223" s="394"/>
      <c r="L223" s="396"/>
      <c r="T223" s="393"/>
      <c r="U223" s="394"/>
    </row>
    <row r="224" spans="2:21" x14ac:dyDescent="0.2">
      <c r="B224" s="426">
        <v>45956</v>
      </c>
      <c r="C224" s="394">
        <v>336.95</v>
      </c>
      <c r="D224" s="420">
        <f t="shared" si="6"/>
        <v>-7.8032979976443428E-3</v>
      </c>
      <c r="E224" s="394"/>
      <c r="F224" s="418">
        <v>25722.1</v>
      </c>
      <c r="G224" s="420">
        <f t="shared" si="7"/>
        <v>-2.8319277073404203E-3</v>
      </c>
      <c r="H224" s="397"/>
      <c r="I224" s="397"/>
      <c r="J224" s="397"/>
      <c r="K224" s="394"/>
      <c r="L224" s="396"/>
      <c r="T224" s="393"/>
      <c r="U224" s="394"/>
    </row>
    <row r="225" spans="2:21" x14ac:dyDescent="0.2">
      <c r="B225" s="426">
        <v>45963</v>
      </c>
      <c r="C225" s="394">
        <v>326.10000000000002</v>
      </c>
      <c r="D225" s="420">
        <f t="shared" si="6"/>
        <v>-3.2200623237868986E-2</v>
      </c>
      <c r="E225" s="394"/>
      <c r="F225" s="418">
        <v>25492.3</v>
      </c>
      <c r="G225" s="420">
        <f t="shared" si="7"/>
        <v>-8.9339517379996014E-3</v>
      </c>
      <c r="H225" s="397"/>
      <c r="I225" s="397"/>
      <c r="J225" s="397"/>
      <c r="K225" s="394"/>
      <c r="L225" s="396"/>
      <c r="T225" s="393"/>
      <c r="U225" s="394"/>
    </row>
    <row r="226" spans="2:21" x14ac:dyDescent="0.2">
      <c r="B226" s="426">
        <v>45970</v>
      </c>
      <c r="C226" s="394">
        <v>328.45</v>
      </c>
      <c r="D226" s="420">
        <f t="shared" si="6"/>
        <v>7.2063784115301566E-3</v>
      </c>
      <c r="E226" s="394"/>
      <c r="F226" s="418">
        <v>25910.05</v>
      </c>
      <c r="G226" s="420">
        <f t="shared" si="7"/>
        <v>1.6387301263518728E-2</v>
      </c>
      <c r="H226" s="397"/>
      <c r="I226" s="397"/>
      <c r="J226" s="397"/>
      <c r="K226" s="394"/>
      <c r="L226" s="396"/>
      <c r="T226" s="393"/>
      <c r="U226" s="394"/>
    </row>
    <row r="227" spans="2:21" x14ac:dyDescent="0.2">
      <c r="B227" s="426">
        <v>45977</v>
      </c>
      <c r="C227" s="394">
        <v>326.64999999999998</v>
      </c>
      <c r="D227" s="420">
        <f t="shared" si="6"/>
        <v>-5.4802861927234492E-3</v>
      </c>
      <c r="E227" s="394"/>
      <c r="F227" s="418">
        <v>26068.15</v>
      </c>
      <c r="G227" s="420">
        <f t="shared" si="7"/>
        <v>6.1018793865701415E-3</v>
      </c>
      <c r="H227" s="397"/>
      <c r="I227" s="397"/>
      <c r="J227" s="397"/>
      <c r="K227" s="394"/>
      <c r="L227" s="396"/>
      <c r="T227" s="393"/>
      <c r="U227" s="394"/>
    </row>
    <row r="228" spans="2:21" x14ac:dyDescent="0.2">
      <c r="B228" s="426">
        <v>45984</v>
      </c>
      <c r="C228" s="394">
        <v>326.45</v>
      </c>
      <c r="D228" s="420">
        <f t="shared" si="6"/>
        <v>-6.1227613653758173E-4</v>
      </c>
      <c r="E228" s="394"/>
      <c r="F228" s="418">
        <v>26202.95</v>
      </c>
      <c r="G228" s="420">
        <f t="shared" si="7"/>
        <v>5.1710612375637233E-3</v>
      </c>
      <c r="H228" s="397"/>
      <c r="I228" s="397"/>
      <c r="J228" s="397"/>
      <c r="K228" s="394"/>
      <c r="L228" s="396"/>
      <c r="T228" s="393"/>
      <c r="U228" s="394"/>
    </row>
    <row r="229" spans="2:21" x14ac:dyDescent="0.2">
      <c r="B229" s="426">
        <v>45991</v>
      </c>
      <c r="C229" s="394">
        <v>323.3</v>
      </c>
      <c r="D229" s="420">
        <f t="shared" si="6"/>
        <v>-9.6492571603613575E-3</v>
      </c>
      <c r="E229" s="394"/>
      <c r="F229" s="418">
        <v>26186.45</v>
      </c>
      <c r="G229" s="420">
        <f t="shared" si="7"/>
        <v>-6.297000910202577E-4</v>
      </c>
      <c r="H229" s="397"/>
      <c r="I229" s="397"/>
      <c r="J229" s="397"/>
      <c r="K229" s="394"/>
      <c r="L229" s="396"/>
      <c r="T229" s="393"/>
      <c r="U229" s="394"/>
    </row>
    <row r="230" spans="2:21" x14ac:dyDescent="0.2">
      <c r="B230" s="426">
        <v>45998</v>
      </c>
      <c r="C230" s="394">
        <v>325.05</v>
      </c>
      <c r="D230" s="420">
        <f t="shared" si="6"/>
        <v>5.4129291679554381E-3</v>
      </c>
      <c r="E230" s="394"/>
      <c r="F230" s="418">
        <v>26046.95</v>
      </c>
      <c r="G230" s="420">
        <f t="shared" si="7"/>
        <v>-5.3271825696113995E-3</v>
      </c>
      <c r="H230" s="397"/>
      <c r="I230" s="397"/>
      <c r="J230" s="397"/>
      <c r="K230" s="394"/>
      <c r="L230" s="396"/>
      <c r="T230" s="393"/>
      <c r="U230" s="394"/>
    </row>
    <row r="231" spans="2:21" x14ac:dyDescent="0.2">
      <c r="B231" s="426">
        <v>46005</v>
      </c>
      <c r="C231" s="394">
        <v>319.89999999999998</v>
      </c>
      <c r="D231" s="420">
        <f t="shared" si="6"/>
        <v>-1.5843716351330639E-2</v>
      </c>
      <c r="E231" s="394"/>
      <c r="F231" s="418">
        <v>25966.400000000001</v>
      </c>
      <c r="G231" s="420">
        <f t="shared" si="7"/>
        <v>-3.0924925951022475E-3</v>
      </c>
      <c r="H231" s="397"/>
      <c r="I231" s="397"/>
      <c r="J231" s="397"/>
      <c r="K231" s="394"/>
      <c r="L231" s="396"/>
      <c r="T231" s="393"/>
      <c r="U231" s="394"/>
    </row>
    <row r="232" spans="2:21" x14ac:dyDescent="0.2">
      <c r="B232" s="426">
        <v>46012</v>
      </c>
      <c r="C232" s="394">
        <v>324.10000000000002</v>
      </c>
      <c r="D232" s="420">
        <f t="shared" si="6"/>
        <v>1.3129102844639196E-2</v>
      </c>
      <c r="E232" s="394"/>
      <c r="F232" s="418">
        <v>26042.3</v>
      </c>
      <c r="G232" s="420">
        <f t="shared" si="7"/>
        <v>2.9230081952060782E-3</v>
      </c>
      <c r="H232" s="397"/>
      <c r="I232" s="397"/>
      <c r="J232" s="397"/>
      <c r="K232" s="394"/>
      <c r="L232" s="396"/>
      <c r="T232" s="393"/>
      <c r="U232" s="394"/>
    </row>
    <row r="233" spans="2:21" x14ac:dyDescent="0.2">
      <c r="B233" s="426">
        <v>46019</v>
      </c>
      <c r="C233" s="394">
        <v>352.1</v>
      </c>
      <c r="D233" s="420">
        <f t="shared" si="6"/>
        <v>8.6393088552915831E-2</v>
      </c>
      <c r="E233" s="394"/>
      <c r="F233" s="418">
        <v>26328.55</v>
      </c>
      <c r="G233" s="420">
        <f t="shared" si="7"/>
        <v>1.0991732681061128E-2</v>
      </c>
      <c r="H233" s="397"/>
      <c r="I233" s="397"/>
      <c r="J233" s="397"/>
      <c r="K233" s="394"/>
      <c r="L233" s="396"/>
      <c r="T233" s="393"/>
      <c r="U233" s="394"/>
    </row>
    <row r="234" spans="2:21" x14ac:dyDescent="0.2">
      <c r="B234" s="426">
        <v>46026</v>
      </c>
      <c r="C234" s="394">
        <v>336</v>
      </c>
      <c r="D234" s="420">
        <f t="shared" si="6"/>
        <v>-4.5725646123260466E-2</v>
      </c>
      <c r="E234" s="394"/>
      <c r="F234" s="418">
        <v>25683.3</v>
      </c>
      <c r="G234" s="420">
        <f t="shared" si="7"/>
        <v>-2.4507616256877029E-2</v>
      </c>
      <c r="H234" s="397"/>
      <c r="I234" s="397"/>
      <c r="J234" s="397"/>
      <c r="K234" s="394"/>
      <c r="L234" s="396"/>
      <c r="T234" s="393"/>
      <c r="U234" s="394"/>
    </row>
    <row r="235" spans="2:21" x14ac:dyDescent="0.2">
      <c r="B235" s="426">
        <v>46033</v>
      </c>
      <c r="C235" s="394">
        <v>346.35</v>
      </c>
      <c r="D235" s="420">
        <f t="shared" si="6"/>
        <v>3.0803571428571486E-2</v>
      </c>
      <c r="E235" s="394"/>
      <c r="F235" s="418">
        <v>25694.35</v>
      </c>
      <c r="G235" s="420">
        <f t="shared" si="7"/>
        <v>4.3024066222008273E-4</v>
      </c>
      <c r="H235" s="397"/>
      <c r="I235" s="397"/>
      <c r="J235" s="397"/>
      <c r="K235" s="394"/>
      <c r="L235" s="396"/>
      <c r="T235" s="393"/>
      <c r="U235" s="394"/>
    </row>
    <row r="236" spans="2:21" x14ac:dyDescent="0.2">
      <c r="B236" s="426">
        <v>46040</v>
      </c>
      <c r="C236" s="394">
        <v>336.7</v>
      </c>
      <c r="D236" s="420">
        <f t="shared" si="6"/>
        <v>-2.786198931716477E-2</v>
      </c>
      <c r="E236" s="394"/>
      <c r="F236" s="418">
        <v>25048.65</v>
      </c>
      <c r="G236" s="420">
        <f t="shared" si="7"/>
        <v>-2.5130038315816394E-2</v>
      </c>
      <c r="H236" s="397"/>
      <c r="I236" s="397"/>
      <c r="J236" s="397"/>
      <c r="K236" s="394"/>
      <c r="L236" s="396"/>
      <c r="T236" s="393"/>
      <c r="U236" s="394"/>
    </row>
    <row r="237" spans="2:21" x14ac:dyDescent="0.2">
      <c r="B237" s="426">
        <v>46047</v>
      </c>
      <c r="C237" s="394">
        <v>356</v>
      </c>
      <c r="D237" s="420">
        <f t="shared" si="6"/>
        <v>5.7321057321057411E-2</v>
      </c>
      <c r="E237" s="394"/>
      <c r="F237" s="418">
        <v>25320.65</v>
      </c>
      <c r="G237" s="420">
        <f t="shared" si="7"/>
        <v>1.0858868641623332E-2</v>
      </c>
      <c r="H237" s="397"/>
      <c r="I237" s="397"/>
      <c r="J237" s="397"/>
      <c r="K237" s="394"/>
      <c r="L237" s="396"/>
      <c r="T237" s="393"/>
      <c r="U237" s="394"/>
    </row>
    <row r="238" spans="2:21" x14ac:dyDescent="0.2">
      <c r="B238" s="426">
        <v>46054</v>
      </c>
      <c r="C238" s="394">
        <v>365.05</v>
      </c>
      <c r="D238" s="420">
        <f t="shared" si="6"/>
        <v>2.5421348314606851E-2</v>
      </c>
      <c r="E238" s="394"/>
      <c r="F238" s="418">
        <v>25693.7</v>
      </c>
      <c r="G238" s="420">
        <f t="shared" si="7"/>
        <v>1.4733034104574605E-2</v>
      </c>
      <c r="H238" s="397"/>
      <c r="I238" s="397"/>
      <c r="J238" s="397"/>
      <c r="K238" s="394"/>
      <c r="L238" s="396"/>
      <c r="T238" s="393"/>
      <c r="U238" s="394"/>
    </row>
    <row r="239" spans="2:21" x14ac:dyDescent="0.2">
      <c r="B239" s="426">
        <v>46061</v>
      </c>
      <c r="C239" s="394">
        <v>363</v>
      </c>
      <c r="D239" s="420">
        <f t="shared" si="6"/>
        <v>-5.6156690864265224E-3</v>
      </c>
      <c r="E239" s="394"/>
      <c r="F239" s="418">
        <v>25471.1</v>
      </c>
      <c r="G239" s="420">
        <f t="shared" si="7"/>
        <v>-8.6636023616685209E-3</v>
      </c>
      <c r="H239" s="397"/>
      <c r="I239" s="397"/>
      <c r="J239" s="397"/>
      <c r="K239" s="394"/>
      <c r="L239" s="396"/>
      <c r="T239" s="393"/>
      <c r="U239" s="394"/>
    </row>
    <row r="240" spans="2:21" x14ac:dyDescent="0.2">
      <c r="B240" s="426">
        <v>46068</v>
      </c>
      <c r="C240" s="394">
        <v>372.95</v>
      </c>
      <c r="D240" s="420">
        <f t="shared" si="6"/>
        <v>2.7410468319559289E-2</v>
      </c>
      <c r="E240" s="394"/>
      <c r="F240" s="418">
        <v>25571.25</v>
      </c>
      <c r="G240" s="420">
        <f t="shared" si="7"/>
        <v>3.9319071418195684E-3</v>
      </c>
      <c r="H240" s="397"/>
      <c r="I240" s="397"/>
      <c r="J240" s="397"/>
      <c r="K240" s="394"/>
      <c r="L240" s="396"/>
      <c r="T240" s="393"/>
      <c r="U240" s="394"/>
    </row>
    <row r="241" spans="2:21" x14ac:dyDescent="0.2">
      <c r="B241" s="426">
        <v>46075</v>
      </c>
      <c r="C241" s="394">
        <v>381.9</v>
      </c>
      <c r="D241" s="420">
        <f t="shared" si="6"/>
        <v>2.3997854940340568E-2</v>
      </c>
      <c r="E241" s="394"/>
      <c r="F241" s="418">
        <v>25178.65</v>
      </c>
      <c r="G241" s="420">
        <f t="shared" si="7"/>
        <v>-1.5353179840641329E-2</v>
      </c>
      <c r="H241" s="397"/>
      <c r="I241" s="397"/>
      <c r="J241" s="397"/>
      <c r="K241" s="394"/>
      <c r="L241" s="396"/>
      <c r="T241" s="393"/>
      <c r="U241" s="394"/>
    </row>
    <row r="242" spans="2:21" x14ac:dyDescent="0.2">
      <c r="B242" s="426">
        <v>46082</v>
      </c>
      <c r="C242" s="394">
        <v>380.6</v>
      </c>
      <c r="D242" s="420">
        <f t="shared" si="6"/>
        <v>-3.4040324692327095E-3</v>
      </c>
      <c r="E242" s="394"/>
      <c r="F242" s="418">
        <v>24450.45</v>
      </c>
      <c r="G242" s="420">
        <f t="shared" si="7"/>
        <v>-2.892132818876314E-2</v>
      </c>
      <c r="H242" s="397"/>
      <c r="I242" s="397"/>
      <c r="J242" s="397"/>
      <c r="K242" s="394"/>
      <c r="L242" s="396"/>
      <c r="T242" s="393"/>
      <c r="U242" s="394"/>
    </row>
    <row r="243" spans="2:21" x14ac:dyDescent="0.2">
      <c r="B243" s="426">
        <v>46089</v>
      </c>
      <c r="C243" s="394">
        <v>384.45</v>
      </c>
      <c r="D243" s="420">
        <f t="shared" si="6"/>
        <v>1.0115606936416111E-2</v>
      </c>
      <c r="E243" s="394"/>
      <c r="F243" s="418">
        <v>23151.1</v>
      </c>
      <c r="G243" s="420">
        <f t="shared" si="7"/>
        <v>-5.3142171207482991E-2</v>
      </c>
      <c r="H243" s="397"/>
      <c r="I243" s="397"/>
      <c r="J243" s="397"/>
      <c r="K243" s="394"/>
      <c r="L243" s="396"/>
      <c r="T243" s="393"/>
      <c r="U243" s="394"/>
    </row>
    <row r="244" spans="2:21" x14ac:dyDescent="0.2">
      <c r="B244" s="426">
        <v>46096</v>
      </c>
      <c r="C244" s="394">
        <v>380.95</v>
      </c>
      <c r="D244" s="420">
        <f t="shared" si="6"/>
        <v>-9.1039146833138407E-3</v>
      </c>
      <c r="E244" s="394"/>
      <c r="F244" s="418">
        <v>23114.5</v>
      </c>
      <c r="G244" s="420">
        <f t="shared" si="7"/>
        <v>-1.5809184012853805E-3</v>
      </c>
      <c r="H244" s="397"/>
      <c r="I244" s="397"/>
      <c r="J244" s="397"/>
      <c r="K244" s="394"/>
      <c r="L244" s="396"/>
      <c r="T244" s="393"/>
      <c r="U244" s="394"/>
    </row>
    <row r="245" spans="2:21" x14ac:dyDescent="0.2">
      <c r="B245" s="426">
        <v>46103</v>
      </c>
      <c r="C245" s="394">
        <v>375.65</v>
      </c>
      <c r="D245" s="420">
        <f t="shared" si="6"/>
        <v>-1.3912586953668482E-2</v>
      </c>
      <c r="E245" s="394"/>
      <c r="F245" s="418">
        <v>22819.599999999999</v>
      </c>
      <c r="G245" s="420">
        <f t="shared" si="7"/>
        <v>-1.275822535637805E-2</v>
      </c>
      <c r="H245" s="397"/>
      <c r="I245" s="397"/>
      <c r="J245" s="397"/>
      <c r="K245" s="394"/>
      <c r="L245" s="396"/>
      <c r="T245" s="393"/>
      <c r="U245" s="394"/>
    </row>
    <row r="246" spans="2:21" x14ac:dyDescent="0.2">
      <c r="B246" s="426">
        <v>46110</v>
      </c>
      <c r="C246" s="394">
        <v>359.65</v>
      </c>
      <c r="D246" s="420">
        <f t="shared" si="6"/>
        <v>-4.2592839078929856E-2</v>
      </c>
      <c r="E246" s="394"/>
      <c r="F246" s="418">
        <v>22713.1</v>
      </c>
      <c r="G246" s="420">
        <f t="shared" si="7"/>
        <v>-4.6670406142088616E-3</v>
      </c>
      <c r="H246" s="397"/>
      <c r="I246" s="397"/>
      <c r="J246" s="397"/>
      <c r="K246" s="394"/>
      <c r="L246" s="396"/>
      <c r="T246" s="393"/>
      <c r="U246" s="394"/>
    </row>
    <row r="247" spans="2:21" x14ac:dyDescent="0.2">
      <c r="B247" s="426">
        <v>46117</v>
      </c>
      <c r="C247" s="394">
        <v>380.15</v>
      </c>
      <c r="D247" s="420">
        <f t="shared" si="6"/>
        <v>5.699986097594878E-2</v>
      </c>
      <c r="E247" s="394"/>
      <c r="F247" s="418">
        <v>24050.6</v>
      </c>
      <c r="G247" s="420">
        <f t="shared" si="7"/>
        <v>5.8886721759689342E-2</v>
      </c>
      <c r="H247" s="397"/>
      <c r="I247" s="397"/>
      <c r="J247" s="397"/>
      <c r="K247" s="394"/>
      <c r="L247" s="396"/>
      <c r="T247" s="393"/>
      <c r="U247" s="394"/>
    </row>
    <row r="248" spans="2:21" x14ac:dyDescent="0.2">
      <c r="B248" s="426">
        <v>46124</v>
      </c>
      <c r="C248" s="394">
        <v>393.6</v>
      </c>
      <c r="D248" s="420">
        <f t="shared" si="6"/>
        <v>3.5380770748388857E-2</v>
      </c>
      <c r="E248" s="394"/>
      <c r="F248" s="418">
        <v>24353.55</v>
      </c>
      <c r="G248" s="420">
        <f t="shared" si="7"/>
        <v>1.2596359342386565E-2</v>
      </c>
      <c r="H248" s="397"/>
      <c r="I248" s="397"/>
      <c r="J248" s="397"/>
      <c r="K248" s="394"/>
      <c r="L248" s="396"/>
      <c r="T248" s="393"/>
      <c r="U248" s="394"/>
    </row>
    <row r="249" spans="2:21" x14ac:dyDescent="0.2">
      <c r="B249" s="426">
        <v>46131</v>
      </c>
      <c r="C249" s="394">
        <v>401.85</v>
      </c>
      <c r="D249" s="420">
        <f t="shared" si="6"/>
        <v>2.0960365853658569E-2</v>
      </c>
      <c r="E249" s="394"/>
      <c r="F249" s="418">
        <v>23897.95</v>
      </c>
      <c r="G249" s="420">
        <f t="shared" si="7"/>
        <v>-1.8707744866764742E-2</v>
      </c>
      <c r="H249" s="397"/>
      <c r="I249" s="397"/>
      <c r="J249" s="397"/>
      <c r="K249" s="394"/>
      <c r="L249" s="396"/>
      <c r="T249" s="393"/>
      <c r="U249" s="394"/>
    </row>
    <row r="250" spans="2:21" x14ac:dyDescent="0.2">
      <c r="B250" s="426">
        <v>46138</v>
      </c>
      <c r="C250" s="394">
        <v>399.15</v>
      </c>
      <c r="D250" s="420">
        <f t="shared" si="6"/>
        <v>-6.7189249720045474E-3</v>
      </c>
      <c r="E250" s="394"/>
      <c r="F250" s="418">
        <v>23997.55</v>
      </c>
      <c r="G250" s="420">
        <f t="shared" si="7"/>
        <v>4.167721499124255E-3</v>
      </c>
      <c r="H250" s="397"/>
      <c r="I250" s="397"/>
      <c r="J250" s="397"/>
      <c r="K250" s="394"/>
      <c r="L250" s="396"/>
      <c r="T250" s="393"/>
      <c r="U250" s="394"/>
    </row>
    <row r="251" spans="2:21" x14ac:dyDescent="0.2">
      <c r="B251" s="426">
        <v>46145</v>
      </c>
      <c r="C251" s="394">
        <v>402.15</v>
      </c>
      <c r="D251" s="420">
        <f t="shared" si="6"/>
        <v>7.5159714393084887E-3</v>
      </c>
      <c r="E251" s="394"/>
      <c r="F251" s="418">
        <v>24176.15</v>
      </c>
      <c r="G251" s="420">
        <f t="shared" si="7"/>
        <v>7.4424264143633234E-3</v>
      </c>
      <c r="H251" s="397"/>
      <c r="I251" s="397"/>
      <c r="J251" s="397"/>
      <c r="K251" s="394"/>
      <c r="L251" s="396"/>
      <c r="T251" s="393"/>
      <c r="U251" s="394"/>
    </row>
    <row r="252" spans="2:21" x14ac:dyDescent="0.2">
      <c r="B252" s="426">
        <v>46152</v>
      </c>
      <c r="C252" s="394">
        <v>395.25</v>
      </c>
      <c r="D252" s="420">
        <f t="shared" si="6"/>
        <v>-1.7157776948899639E-2</v>
      </c>
      <c r="E252" s="394"/>
      <c r="F252" s="418">
        <v>23643.5</v>
      </c>
      <c r="G252" s="420">
        <f t="shared" si="7"/>
        <v>-2.2032043977225579E-2</v>
      </c>
      <c r="H252" s="397"/>
      <c r="I252" s="397"/>
      <c r="J252" s="397"/>
      <c r="K252" s="394"/>
      <c r="L252" s="396"/>
      <c r="T252" s="393"/>
      <c r="U252" s="394"/>
    </row>
    <row r="253" spans="2:21" x14ac:dyDescent="0.2">
      <c r="B253" s="426">
        <v>46159</v>
      </c>
      <c r="C253" s="394">
        <v>388.65</v>
      </c>
      <c r="D253" s="420">
        <f t="shared" si="6"/>
        <v>-1.6698292220113875E-2</v>
      </c>
      <c r="E253" s="394"/>
      <c r="F253" s="418">
        <v>23719.3</v>
      </c>
      <c r="G253" s="420">
        <f t="shared" si="7"/>
        <v>3.2059551250871454E-3</v>
      </c>
      <c r="H253" s="397"/>
      <c r="I253" s="397"/>
      <c r="J253" s="397"/>
      <c r="K253" s="394"/>
      <c r="L253" s="396"/>
      <c r="T253" s="393"/>
      <c r="U253" s="394"/>
    </row>
    <row r="254" spans="2:21" x14ac:dyDescent="0.2">
      <c r="B254" s="426">
        <v>46166</v>
      </c>
      <c r="C254" s="394">
        <v>386.9</v>
      </c>
      <c r="D254" s="420">
        <f t="shared" si="6"/>
        <v>-4.5027659848192458E-3</v>
      </c>
      <c r="E254" s="394"/>
      <c r="F254" s="418">
        <v>23547.75</v>
      </c>
      <c r="G254" s="420">
        <f t="shared" si="7"/>
        <v>-7.2325068615008981E-3</v>
      </c>
      <c r="H254" s="397"/>
      <c r="I254" s="397"/>
      <c r="J254" s="397"/>
      <c r="K254" s="394"/>
      <c r="L254" s="396"/>
      <c r="T254" s="393"/>
      <c r="U254" s="394"/>
    </row>
    <row r="255" spans="2:21" x14ac:dyDescent="0.2">
      <c r="B255" s="426">
        <v>46173</v>
      </c>
      <c r="C255" s="394">
        <v>361.65</v>
      </c>
      <c r="D255" s="420">
        <f t="shared" si="6"/>
        <v>-6.5262341690359271E-2</v>
      </c>
      <c r="E255" s="394"/>
      <c r="F255" s="418">
        <v>23366.7</v>
      </c>
      <c r="G255" s="420">
        <f t="shared" si="7"/>
        <v>-7.6886326719113329E-3</v>
      </c>
      <c r="H255" s="397"/>
      <c r="I255" s="397"/>
      <c r="J255" s="397"/>
      <c r="K255" s="394"/>
      <c r="L255" s="396"/>
      <c r="T255" s="393"/>
      <c r="U255" s="394"/>
    </row>
    <row r="256" spans="2:21" x14ac:dyDescent="0.2">
      <c r="B256" s="426">
        <v>46180</v>
      </c>
      <c r="C256" s="394">
        <v>353.9</v>
      </c>
      <c r="D256" s="420">
        <f t="shared" si="6"/>
        <v>-2.142955896585097E-2</v>
      </c>
      <c r="E256" s="394"/>
      <c r="F256" s="418">
        <v>23622.9</v>
      </c>
      <c r="G256" s="420">
        <f t="shared" si="7"/>
        <v>1.0964321020940027E-2</v>
      </c>
      <c r="H256" s="397"/>
      <c r="I256" s="397"/>
      <c r="J256" s="397"/>
      <c r="K256" s="394"/>
      <c r="L256" s="396"/>
      <c r="T256" s="393"/>
      <c r="U256" s="394"/>
    </row>
    <row r="257" spans="2:21" x14ac:dyDescent="0.2">
      <c r="B257" s="426">
        <v>46187</v>
      </c>
      <c r="C257" s="394">
        <v>365.8</v>
      </c>
      <c r="D257" s="420">
        <f t="shared" si="6"/>
        <v>3.3625317886408768E-2</v>
      </c>
      <c r="E257" s="394"/>
      <c r="F257" s="418">
        <v>24013.1</v>
      </c>
      <c r="G257" s="420">
        <f t="shared" si="7"/>
        <v>1.6517870371546062E-2</v>
      </c>
      <c r="H257" s="397"/>
      <c r="I257" s="397"/>
      <c r="J257" s="397"/>
      <c r="K257" s="394"/>
      <c r="L257" s="396"/>
      <c r="T257" s="393"/>
      <c r="U257" s="394"/>
    </row>
    <row r="258" spans="2:21" x14ac:dyDescent="0.2">
      <c r="B258" s="426">
        <v>46194</v>
      </c>
      <c r="C258" s="394">
        <v>352.05</v>
      </c>
      <c r="D258" s="420">
        <f t="shared" si="6"/>
        <v>-3.7588846364133399E-2</v>
      </c>
      <c r="E258" s="394"/>
      <c r="F258" s="418">
        <v>24056</v>
      </c>
      <c r="G258" s="420">
        <f t="shared" si="7"/>
        <v>1.7865248551833801E-3</v>
      </c>
      <c r="H258" s="397"/>
      <c r="I258" s="397"/>
      <c r="J258" s="397"/>
      <c r="K258" s="394"/>
      <c r="L258" s="396"/>
      <c r="T258" s="393"/>
      <c r="U258" s="394"/>
    </row>
    <row r="259" spans="2:21" x14ac:dyDescent="0.2">
      <c r="B259" s="426">
        <v>46201</v>
      </c>
      <c r="C259" s="394">
        <v>356.45</v>
      </c>
      <c r="D259" s="420">
        <f t="shared" si="6"/>
        <v>1.2498224683993753E-2</v>
      </c>
      <c r="E259" s="394"/>
      <c r="F259" s="418">
        <v>24270.85</v>
      </c>
      <c r="G259" s="420">
        <f t="shared" si="7"/>
        <v>8.9312437645492349E-3</v>
      </c>
      <c r="H259" s="397"/>
      <c r="I259" s="397"/>
      <c r="J259" s="397"/>
      <c r="K259" s="394"/>
      <c r="L259" s="396"/>
      <c r="T259" s="393"/>
      <c r="U259" s="394"/>
    </row>
    <row r="260" spans="2:21" x14ac:dyDescent="0.2">
      <c r="B260" s="426">
        <v>46208</v>
      </c>
      <c r="C260" s="394">
        <v>344.55</v>
      </c>
      <c r="D260" s="420">
        <f t="shared" si="6"/>
        <v>-3.3384766446906911E-2</v>
      </c>
      <c r="E260" s="394"/>
      <c r="F260" s="418">
        <v>24206.9</v>
      </c>
      <c r="G260" s="420">
        <f t="shared" si="7"/>
        <v>-2.6348479760699428E-3</v>
      </c>
      <c r="H260" s="397"/>
      <c r="I260" s="397"/>
      <c r="J260" s="397"/>
      <c r="K260" s="394"/>
      <c r="L260" s="396"/>
      <c r="T260" s="393"/>
      <c r="U260" s="394"/>
    </row>
    <row r="261" spans="2:21" x14ac:dyDescent="0.2">
      <c r="B261" s="426">
        <v>46215</v>
      </c>
      <c r="C261" s="394">
        <v>341.85</v>
      </c>
      <c r="D261" s="420">
        <f t="shared" si="6"/>
        <v>-7.8363082281236451E-3</v>
      </c>
      <c r="E261" s="394"/>
      <c r="F261" s="418">
        <v>24334.3</v>
      </c>
      <c r="G261" s="420">
        <f t="shared" si="7"/>
        <v>5.262962213253175E-3</v>
      </c>
      <c r="H261" s="397"/>
      <c r="I261" s="397"/>
      <c r="J261" s="397"/>
      <c r="K261" s="394"/>
      <c r="L261" s="396"/>
      <c r="T261" s="393"/>
      <c r="U261" s="394"/>
    </row>
    <row r="262" spans="2:21" x14ac:dyDescent="0.2">
      <c r="B262" s="426">
        <v>46222</v>
      </c>
      <c r="C262" s="394">
        <v>347.2</v>
      </c>
      <c r="D262" s="420">
        <f t="shared" si="6"/>
        <v>1.5650138949831804E-2</v>
      </c>
      <c r="E262" s="394"/>
      <c r="F262" s="418">
        <v>23767.45</v>
      </c>
      <c r="G262" s="420">
        <f t="shared" si="7"/>
        <v>-2.3294280090242925E-2</v>
      </c>
      <c r="H262" s="397"/>
      <c r="I262" s="397"/>
      <c r="J262" s="397"/>
      <c r="K262" s="394"/>
      <c r="L262" s="396"/>
      <c r="T262" s="393"/>
      <c r="U262" s="394"/>
    </row>
    <row r="263" spans="2:21" x14ac:dyDescent="0.2">
      <c r="B263" s="426">
        <v>46229</v>
      </c>
      <c r="C263" s="394">
        <v>347.25</v>
      </c>
      <c r="D263" s="420">
        <f t="shared" si="6"/>
        <v>1.4400921658985766E-4</v>
      </c>
      <c r="E263" s="394"/>
      <c r="F263" s="418">
        <v>24383.599999999999</v>
      </c>
      <c r="G263" s="420">
        <f t="shared" si="7"/>
        <v>2.5924110495656683E-2</v>
      </c>
      <c r="H263" s="397"/>
      <c r="I263" s="397"/>
      <c r="J263" s="397"/>
      <c r="K263" s="394"/>
      <c r="L263" s="396"/>
      <c r="T263" s="393"/>
      <c r="U263" s="394"/>
    </row>
    <row r="264" spans="2:21" x14ac:dyDescent="0.2">
      <c r="B264" s="426">
        <v>46236</v>
      </c>
      <c r="C264" s="394">
        <v>342.5</v>
      </c>
      <c r="D264" s="420">
        <f t="shared" si="6"/>
        <v>-1.367890568754504E-2</v>
      </c>
      <c r="E264" s="394"/>
      <c r="F264" s="418">
        <v>24570.65</v>
      </c>
      <c r="G264" s="420">
        <f t="shared" si="7"/>
        <v>7.6711396184321323E-3</v>
      </c>
      <c r="H264" s="397"/>
      <c r="I264" s="397"/>
      <c r="J264" s="397"/>
      <c r="K264" s="394"/>
      <c r="L264" s="396"/>
      <c r="T264" s="393"/>
      <c r="U264" s="394"/>
    </row>
    <row r="265" spans="2:21" x14ac:dyDescent="0.2">
      <c r="B265" s="426">
        <v>46243</v>
      </c>
      <c r="C265" s="394">
        <v>340</v>
      </c>
      <c r="D265" s="420">
        <f t="shared" si="6"/>
        <v>-7.2992700729926918E-3</v>
      </c>
      <c r="E265" s="394"/>
      <c r="F265" s="418">
        <v>24366</v>
      </c>
      <c r="G265" s="420">
        <f t="shared" si="7"/>
        <v>-8.3290429842108882E-3</v>
      </c>
      <c r="H265" s="397"/>
      <c r="I265" s="397"/>
      <c r="J265" s="397"/>
      <c r="K265" s="394"/>
      <c r="L265" s="396"/>
      <c r="T265" s="393"/>
      <c r="U265" s="394"/>
    </row>
    <row r="266" spans="2:21" x14ac:dyDescent="0.2">
      <c r="B266" s="426">
        <v>46250</v>
      </c>
      <c r="C266" s="394">
        <v>340</v>
      </c>
      <c r="D266" s="420">
        <f t="shared" si="6"/>
        <v>0</v>
      </c>
      <c r="E266" s="394"/>
      <c r="F266" s="418">
        <v>24252</v>
      </c>
      <c r="G266" s="420">
        <f t="shared" si="7"/>
        <v>-4.6786505786752253E-3</v>
      </c>
      <c r="H266" s="397"/>
      <c r="I266" s="397"/>
      <c r="J266" s="397"/>
      <c r="K266" s="394"/>
      <c r="L266" s="396"/>
      <c r="T266" s="393"/>
      <c r="U266" s="394"/>
    </row>
    <row r="267" spans="2:21" x14ac:dyDescent="0.2">
      <c r="B267" s="426">
        <v>46257</v>
      </c>
      <c r="C267" s="394">
        <v>330.05</v>
      </c>
      <c r="D267" s="420">
        <f t="shared" ref="D267:D270" si="8">C267/C266-1</f>
        <v>-2.9264705882352859E-2</v>
      </c>
      <c r="E267" s="394"/>
      <c r="F267" s="418">
        <v>24175.65</v>
      </c>
      <c r="G267" s="420">
        <f t="shared" si="7"/>
        <v>-3.1481939633843936E-3</v>
      </c>
      <c r="H267" s="397"/>
      <c r="I267" s="397"/>
      <c r="J267" s="397"/>
      <c r="K267" s="394"/>
      <c r="L267" s="396"/>
      <c r="T267" s="393"/>
      <c r="U267" s="394"/>
    </row>
    <row r="268" spans="2:21" x14ac:dyDescent="0.2">
      <c r="B268" s="426">
        <v>46264</v>
      </c>
      <c r="C268" s="394">
        <v>332.5</v>
      </c>
      <c r="D268" s="420">
        <f t="shared" si="8"/>
        <v>7.4231177094379319E-3</v>
      </c>
      <c r="E268" s="394"/>
      <c r="F268" s="418">
        <v>23897.7</v>
      </c>
      <c r="G268" s="420">
        <f t="shared" ref="G268:G270" si="9">F268/F267-1</f>
        <v>-1.1497105558692322E-2</v>
      </c>
      <c r="H268" s="397"/>
      <c r="I268" s="397"/>
      <c r="J268" s="397"/>
      <c r="K268" s="394"/>
      <c r="L268" s="396"/>
      <c r="T268" s="393"/>
      <c r="U268" s="394"/>
    </row>
    <row r="269" spans="2:21" x14ac:dyDescent="0.2">
      <c r="B269" s="426">
        <v>46271</v>
      </c>
      <c r="C269" s="394">
        <v>333.4</v>
      </c>
      <c r="D269" s="420">
        <f t="shared" si="8"/>
        <v>2.7067669172931019E-3</v>
      </c>
      <c r="E269" s="394"/>
      <c r="F269" s="418">
        <v>23398.1</v>
      </c>
      <c r="G269" s="420">
        <f t="shared" si="9"/>
        <v>-2.0905777543445692E-2</v>
      </c>
      <c r="H269" s="397"/>
      <c r="I269" s="397"/>
      <c r="J269" s="397"/>
      <c r="K269" s="394"/>
      <c r="L269" s="396"/>
      <c r="T269" s="393"/>
      <c r="U269" s="394"/>
    </row>
    <row r="270" spans="2:21" x14ac:dyDescent="0.2">
      <c r="B270" s="427">
        <v>46278</v>
      </c>
      <c r="C270" s="428">
        <v>329.5</v>
      </c>
      <c r="D270" s="422">
        <f t="shared" si="8"/>
        <v>-1.1697660467906323E-2</v>
      </c>
      <c r="E270" s="394"/>
      <c r="F270" s="421">
        <v>23118.6</v>
      </c>
      <c r="G270" s="422">
        <f t="shared" si="9"/>
        <v>-1.1945414371252405E-2</v>
      </c>
      <c r="H270" s="397"/>
      <c r="I270" s="397"/>
      <c r="J270" s="397"/>
      <c r="T270" s="393"/>
      <c r="U270" s="394"/>
    </row>
    <row r="273" customFormat="1" x14ac:dyDescent="0.2"/>
    <row r="274" customFormat="1" x14ac:dyDescent="0.2"/>
    <row r="275" customFormat="1" x14ac:dyDescent="0.2"/>
  </sheetData>
  <pageMargins left="0.7" right="0.7" top="0.75" bottom="0.75" header="0.3" footer="0.3"/>
  <pageSetup paperSize="9" scale="46" orientation="portrait" horizontalDpi="0" verticalDpi="0"/>
  <rowBreaks count="1" manualBreakCount="1">
    <brk id="39"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00A76-DB7E-A44B-9FB5-BCDE435CDC2E}">
  <dimension ref="A1:U275"/>
  <sheetViews>
    <sheetView showGridLines="0" view="pageBreakPreview" zoomScale="60" zoomScaleNormal="100" workbookViewId="0">
      <selection activeCell="B1" sqref="B1"/>
    </sheetView>
  </sheetViews>
  <sheetFormatPr baseColWidth="10" defaultRowHeight="15" x14ac:dyDescent="0.2"/>
  <cols>
    <col min="1" max="1" width="3.83203125" customWidth="1"/>
    <col min="4" max="4" width="15.83203125" customWidth="1"/>
    <col min="5" max="5" width="5.83203125" customWidth="1"/>
    <col min="8" max="8" width="5.83203125" customWidth="1"/>
    <col min="9" max="9" width="15.83203125" customWidth="1"/>
  </cols>
  <sheetData>
    <row r="1" spans="1:21" ht="21" x14ac:dyDescent="0.25">
      <c r="B1" s="381" t="s">
        <v>526</v>
      </c>
      <c r="C1" s="5"/>
      <c r="D1" s="5"/>
      <c r="E1" s="5"/>
      <c r="F1" s="5"/>
      <c r="G1" s="5"/>
      <c r="H1" s="5"/>
      <c r="I1" s="5"/>
      <c r="J1" s="5"/>
      <c r="K1" s="5"/>
      <c r="L1" s="5"/>
      <c r="M1" s="5"/>
      <c r="N1" s="5"/>
      <c r="O1" s="5"/>
      <c r="P1" s="5"/>
      <c r="Q1" s="5"/>
    </row>
    <row r="2" spans="1:21" ht="19" x14ac:dyDescent="0.25">
      <c r="B2" s="492" t="s">
        <v>508</v>
      </c>
      <c r="C2" s="491"/>
      <c r="D2" s="491"/>
      <c r="E2" s="491"/>
      <c r="F2" s="491"/>
      <c r="G2" s="491"/>
      <c r="H2" s="491"/>
      <c r="I2" s="491"/>
      <c r="J2" s="491"/>
      <c r="K2" s="491"/>
      <c r="L2" s="491"/>
      <c r="M2" s="491"/>
      <c r="N2" s="491"/>
      <c r="O2" s="491"/>
      <c r="P2" s="491"/>
      <c r="Q2" s="491"/>
    </row>
    <row r="3" spans="1:21" ht="3" customHeight="1" thickBot="1" x14ac:dyDescent="0.25">
      <c r="B3" s="208"/>
      <c r="C3" s="208"/>
      <c r="D3" s="208"/>
      <c r="E3" s="208"/>
      <c r="F3" s="208"/>
      <c r="G3" s="208"/>
      <c r="H3" s="208"/>
      <c r="I3" s="208"/>
      <c r="J3" s="208"/>
      <c r="K3" s="208"/>
      <c r="L3" s="208"/>
      <c r="M3" s="208"/>
      <c r="N3" s="208"/>
      <c r="O3" s="208"/>
      <c r="P3" s="208"/>
      <c r="Q3" s="208"/>
    </row>
    <row r="4" spans="1:21" ht="16" thickTop="1" x14ac:dyDescent="0.2"/>
    <row r="5" spans="1:21" x14ac:dyDescent="0.2">
      <c r="B5" s="410" t="s">
        <v>471</v>
      </c>
      <c r="C5" s="423"/>
      <c r="D5" s="411"/>
      <c r="F5" s="410" t="s">
        <v>475</v>
      </c>
      <c r="G5" s="411"/>
      <c r="I5" s="410" t="s">
        <v>502</v>
      </c>
      <c r="J5" s="411"/>
      <c r="K5" s="398"/>
    </row>
    <row r="6" spans="1:21" ht="3" customHeight="1" x14ac:dyDescent="0.2">
      <c r="A6" s="58"/>
      <c r="B6" s="7"/>
      <c r="C6" s="7"/>
      <c r="D6" s="7"/>
      <c r="F6" s="7"/>
      <c r="G6" s="7"/>
      <c r="I6" s="7"/>
      <c r="J6" s="7"/>
    </row>
    <row r="7" spans="1:21" ht="3" customHeight="1" x14ac:dyDescent="0.2">
      <c r="A7" s="58"/>
      <c r="B7" s="8"/>
      <c r="C7" s="8"/>
      <c r="D7" s="8"/>
      <c r="F7" s="8"/>
      <c r="G7" s="8"/>
      <c r="I7" s="8"/>
      <c r="J7" s="8"/>
    </row>
    <row r="8" spans="1:21" ht="3" customHeight="1" x14ac:dyDescent="0.2">
      <c r="A8" s="58"/>
      <c r="B8" s="9"/>
      <c r="C8" s="9"/>
      <c r="D8" s="9"/>
      <c r="F8" s="9"/>
      <c r="G8" s="9"/>
      <c r="I8" s="9"/>
      <c r="J8" s="9"/>
    </row>
    <row r="9" spans="1:21" x14ac:dyDescent="0.2">
      <c r="B9" s="424" t="s">
        <v>472</v>
      </c>
      <c r="C9" s="403" t="s">
        <v>473</v>
      </c>
      <c r="D9" s="425" t="s">
        <v>474</v>
      </c>
      <c r="E9" s="402"/>
      <c r="F9" s="416" t="s">
        <v>473</v>
      </c>
      <c r="G9" s="417" t="s">
        <v>476</v>
      </c>
      <c r="H9" s="392"/>
      <c r="I9" s="58" t="s">
        <v>503</v>
      </c>
      <c r="J9" s="429">
        <f>J17</f>
        <v>1.2766096184922635</v>
      </c>
      <c r="L9" s="397"/>
      <c r="S9" s="392"/>
      <c r="T9" s="392"/>
      <c r="U9" s="392"/>
    </row>
    <row r="10" spans="1:21" x14ac:dyDescent="0.2">
      <c r="B10" s="426">
        <v>44458</v>
      </c>
      <c r="C10" s="394">
        <v>139.1</v>
      </c>
      <c r="D10" s="419">
        <v>0</v>
      </c>
      <c r="E10" s="394"/>
      <c r="F10" s="418">
        <v>17853.2</v>
      </c>
      <c r="G10" s="419">
        <v>0</v>
      </c>
      <c r="H10" s="397"/>
      <c r="I10" s="58" t="s">
        <v>504</v>
      </c>
      <c r="J10" s="413">
        <v>0.75</v>
      </c>
      <c r="L10" s="397"/>
      <c r="S10" s="393"/>
      <c r="T10" s="394"/>
      <c r="U10" s="394"/>
    </row>
    <row r="11" spans="1:21" x14ac:dyDescent="0.2">
      <c r="B11" s="426">
        <v>44465</v>
      </c>
      <c r="C11" s="394">
        <v>163.75</v>
      </c>
      <c r="D11" s="420">
        <f t="shared" ref="D11:D74" si="0">C11/C10-1</f>
        <v>0.17721063982746221</v>
      </c>
      <c r="E11" s="394"/>
      <c r="F11" s="418">
        <v>17532.05</v>
      </c>
      <c r="G11" s="420">
        <f>F11/F10-1</f>
        <v>-1.7988371832500683E-2</v>
      </c>
      <c r="H11" s="397"/>
      <c r="I11" s="58" t="s">
        <v>505</v>
      </c>
      <c r="J11" s="414">
        <v>1</v>
      </c>
      <c r="L11" s="397"/>
      <c r="S11" s="393"/>
      <c r="T11" s="394"/>
      <c r="U11" s="394"/>
    </row>
    <row r="12" spans="1:21" x14ac:dyDescent="0.2">
      <c r="B12" s="426">
        <v>44472</v>
      </c>
      <c r="C12" s="394">
        <v>176.85</v>
      </c>
      <c r="D12" s="420">
        <f t="shared" si="0"/>
        <v>8.0000000000000071E-2</v>
      </c>
      <c r="E12" s="394"/>
      <c r="F12" s="418">
        <v>17895.2</v>
      </c>
      <c r="G12" s="420">
        <f t="shared" ref="G12:G75" si="1">F12/F11-1</f>
        <v>2.0713493288006868E-2</v>
      </c>
      <c r="H12" s="397"/>
      <c r="I12" s="58" t="s">
        <v>506</v>
      </c>
      <c r="J12" s="413">
        <v>0.25</v>
      </c>
      <c r="L12" s="397"/>
      <c r="S12" s="393"/>
      <c r="T12" s="394"/>
      <c r="U12" s="394"/>
    </row>
    <row r="13" spans="1:21" x14ac:dyDescent="0.2">
      <c r="B13" s="426">
        <v>44479</v>
      </c>
      <c r="C13" s="394">
        <v>222.6</v>
      </c>
      <c r="D13" s="420">
        <f t="shared" si="0"/>
        <v>0.25869380831212885</v>
      </c>
      <c r="E13" s="394"/>
      <c r="F13" s="418">
        <v>18338.55</v>
      </c>
      <c r="G13" s="420">
        <f t="shared" si="1"/>
        <v>2.4774799946354342E-2</v>
      </c>
      <c r="H13" s="397"/>
      <c r="I13" s="58"/>
      <c r="J13" s="22"/>
      <c r="L13" s="397"/>
      <c r="S13" s="393"/>
      <c r="T13" s="394"/>
      <c r="U13" s="394"/>
    </row>
    <row r="14" spans="1:21" x14ac:dyDescent="0.2">
      <c r="B14" s="426">
        <v>44486</v>
      </c>
      <c r="C14" s="394">
        <v>222</v>
      </c>
      <c r="D14" s="420">
        <f t="shared" si="0"/>
        <v>-2.6954177897573484E-3</v>
      </c>
      <c r="E14" s="394"/>
      <c r="F14" s="418">
        <v>18114.900000000001</v>
      </c>
      <c r="G14" s="420">
        <f t="shared" si="1"/>
        <v>-1.2195620700655052E-2</v>
      </c>
      <c r="H14" s="397"/>
      <c r="I14" s="431" t="s">
        <v>507</v>
      </c>
      <c r="J14" s="432">
        <f>(J9*J10)+(J11*J12)</f>
        <v>1.2074572138691977</v>
      </c>
      <c r="L14" s="397"/>
      <c r="S14" s="393"/>
      <c r="T14" s="394"/>
      <c r="U14" s="394"/>
    </row>
    <row r="15" spans="1:21" x14ac:dyDescent="0.2">
      <c r="B15" s="426">
        <v>44493</v>
      </c>
      <c r="C15" s="394">
        <v>214.3</v>
      </c>
      <c r="D15" s="420">
        <f t="shared" si="0"/>
        <v>-3.4684684684684663E-2</v>
      </c>
      <c r="E15" s="394"/>
      <c r="F15" s="418">
        <v>17671.650000000001</v>
      </c>
      <c r="G15" s="420">
        <f t="shared" si="1"/>
        <v>-2.4468807445804264E-2</v>
      </c>
      <c r="H15" s="397"/>
      <c r="L15" s="397"/>
      <c r="S15" s="393"/>
      <c r="T15" s="394"/>
      <c r="U15" s="394"/>
    </row>
    <row r="16" spans="1:21" x14ac:dyDescent="0.2">
      <c r="B16" s="426">
        <v>44500</v>
      </c>
      <c r="C16" s="394">
        <v>231.35</v>
      </c>
      <c r="D16" s="420">
        <f t="shared" si="0"/>
        <v>7.9561362575828243E-2</v>
      </c>
      <c r="E16" s="394"/>
      <c r="F16" s="418">
        <v>17916.8</v>
      </c>
      <c r="G16" s="420">
        <f t="shared" si="1"/>
        <v>1.3872502001793796E-2</v>
      </c>
      <c r="H16" s="397"/>
      <c r="L16" s="397"/>
      <c r="S16" s="393"/>
      <c r="T16" s="394"/>
      <c r="U16" s="394"/>
    </row>
    <row r="17" spans="2:21" ht="17" x14ac:dyDescent="0.2">
      <c r="B17" s="426">
        <v>44507</v>
      </c>
      <c r="C17" s="394">
        <v>239.85</v>
      </c>
      <c r="D17" s="420">
        <f t="shared" si="0"/>
        <v>3.6740868813486038E-2</v>
      </c>
      <c r="E17" s="394"/>
      <c r="F17" s="418">
        <v>18102.75</v>
      </c>
      <c r="G17" s="420">
        <f t="shared" si="1"/>
        <v>1.0378527415610073E-2</v>
      </c>
      <c r="H17" s="397"/>
      <c r="I17" s="433" t="s">
        <v>509</v>
      </c>
      <c r="J17" s="430">
        <f>J36</f>
        <v>1.2766096184922635</v>
      </c>
      <c r="K17" s="267"/>
      <c r="L17" s="404"/>
      <c r="M17" s="267"/>
      <c r="N17" s="267"/>
      <c r="O17" s="267"/>
      <c r="P17" s="267"/>
      <c r="Q17" s="405"/>
      <c r="S17" s="393"/>
      <c r="T17" s="394"/>
      <c r="U17" s="394"/>
    </row>
    <row r="18" spans="2:21" x14ac:dyDescent="0.2">
      <c r="B18" s="426">
        <v>44514</v>
      </c>
      <c r="C18" s="394">
        <v>237.1</v>
      </c>
      <c r="D18" s="420">
        <f t="shared" si="0"/>
        <v>-1.1465499270377322E-2</v>
      </c>
      <c r="E18" s="394"/>
      <c r="F18" s="418">
        <v>17764.8</v>
      </c>
      <c r="G18" s="420">
        <f t="shared" si="1"/>
        <v>-1.8668434353896535E-2</v>
      </c>
      <c r="H18" s="397"/>
      <c r="I18" s="58"/>
      <c r="L18" s="397"/>
      <c r="Q18" s="22"/>
      <c r="S18" s="393"/>
      <c r="T18" s="394"/>
      <c r="U18" s="394"/>
    </row>
    <row r="19" spans="2:21" x14ac:dyDescent="0.2">
      <c r="B19" s="426">
        <v>44521</v>
      </c>
      <c r="C19" s="394">
        <v>227.35</v>
      </c>
      <c r="D19" s="420">
        <f t="shared" si="0"/>
        <v>-4.1121889498102027E-2</v>
      </c>
      <c r="E19" s="394"/>
      <c r="F19" s="418">
        <v>17026.45</v>
      </c>
      <c r="G19" s="420">
        <f t="shared" si="1"/>
        <v>-4.1562528145546174E-2</v>
      </c>
      <c r="H19" s="397"/>
      <c r="I19" s="58" t="s">
        <v>477</v>
      </c>
      <c r="Q19" s="22"/>
      <c r="S19" s="393"/>
      <c r="T19" s="394"/>
      <c r="U19" s="394"/>
    </row>
    <row r="20" spans="2:21" ht="16" thickBot="1" x14ac:dyDescent="0.25">
      <c r="B20" s="426">
        <v>44528</v>
      </c>
      <c r="C20" s="394">
        <v>225.6</v>
      </c>
      <c r="D20" s="420">
        <f t="shared" si="0"/>
        <v>-7.6973828898174723E-3</v>
      </c>
      <c r="E20" s="394"/>
      <c r="F20" s="418">
        <v>17196.7</v>
      </c>
      <c r="G20" s="420">
        <f t="shared" si="1"/>
        <v>9.9991483838381967E-3</v>
      </c>
      <c r="H20" s="397"/>
      <c r="I20" s="58"/>
      <c r="Q20" s="22"/>
      <c r="S20" s="393"/>
      <c r="T20" s="394"/>
      <c r="U20" s="394"/>
    </row>
    <row r="21" spans="2:21" x14ac:dyDescent="0.2">
      <c r="B21" s="426">
        <v>44535</v>
      </c>
      <c r="C21" s="394">
        <v>228</v>
      </c>
      <c r="D21" s="420">
        <f t="shared" si="0"/>
        <v>1.0638297872340496E-2</v>
      </c>
      <c r="E21" s="394"/>
      <c r="F21" s="418">
        <v>17511.3</v>
      </c>
      <c r="G21" s="420">
        <f t="shared" si="1"/>
        <v>1.8294207609599322E-2</v>
      </c>
      <c r="H21" s="397"/>
      <c r="I21" s="406" t="s">
        <v>478</v>
      </c>
      <c r="J21" s="401"/>
      <c r="Q21" s="22"/>
      <c r="S21" s="393"/>
      <c r="T21" s="394"/>
      <c r="U21" s="394"/>
    </row>
    <row r="22" spans="2:21" x14ac:dyDescent="0.2">
      <c r="B22" s="426">
        <v>44542</v>
      </c>
      <c r="C22" s="394">
        <v>215.8</v>
      </c>
      <c r="D22" s="420">
        <f t="shared" si="0"/>
        <v>-5.3508771929824506E-2</v>
      </c>
      <c r="E22" s="394"/>
      <c r="F22" s="418">
        <v>16985.2</v>
      </c>
      <c r="G22" s="420">
        <f t="shared" si="1"/>
        <v>-3.004345765305827E-2</v>
      </c>
      <c r="H22" s="397"/>
      <c r="I22" s="58" t="s">
        <v>479</v>
      </c>
      <c r="J22">
        <v>0.52219471348861957</v>
      </c>
      <c r="Q22" s="22"/>
      <c r="S22" s="393"/>
      <c r="T22" s="394"/>
      <c r="U22" s="394"/>
    </row>
    <row r="23" spans="2:21" x14ac:dyDescent="0.2">
      <c r="B23" s="426">
        <v>44549</v>
      </c>
      <c r="C23" s="394">
        <v>216.8</v>
      </c>
      <c r="D23" s="420">
        <f t="shared" si="0"/>
        <v>4.633920296570837E-3</v>
      </c>
      <c r="E23" s="394"/>
      <c r="F23" s="418">
        <v>17003.75</v>
      </c>
      <c r="G23" s="420">
        <f t="shared" si="1"/>
        <v>1.0921272637354207E-3</v>
      </c>
      <c r="H23" s="397"/>
      <c r="I23" s="58" t="s">
        <v>480</v>
      </c>
      <c r="J23">
        <v>0.27268731879546143</v>
      </c>
      <c r="Q23" s="22"/>
      <c r="S23" s="393"/>
      <c r="T23" s="394"/>
      <c r="U23" s="394"/>
    </row>
    <row r="24" spans="2:21" x14ac:dyDescent="0.2">
      <c r="B24" s="426">
        <v>44556</v>
      </c>
      <c r="C24" s="394">
        <v>220.95</v>
      </c>
      <c r="D24" s="420">
        <f t="shared" si="0"/>
        <v>1.9142066420664072E-2</v>
      </c>
      <c r="E24" s="394"/>
      <c r="F24" s="418">
        <v>17354.05</v>
      </c>
      <c r="G24" s="420">
        <f t="shared" si="1"/>
        <v>2.0601337940160169E-2</v>
      </c>
      <c r="H24" s="397"/>
      <c r="I24" s="58" t="s">
        <v>481</v>
      </c>
      <c r="J24">
        <v>0.26986827739544383</v>
      </c>
      <c r="Q24" s="22"/>
      <c r="S24" s="393"/>
      <c r="T24" s="394"/>
      <c r="U24" s="394"/>
    </row>
    <row r="25" spans="2:21" x14ac:dyDescent="0.2">
      <c r="B25" s="426">
        <v>44563</v>
      </c>
      <c r="C25" s="394">
        <v>229.8</v>
      </c>
      <c r="D25" s="420">
        <f t="shared" si="0"/>
        <v>4.0054310930074832E-2</v>
      </c>
      <c r="E25" s="394"/>
      <c r="F25" s="418">
        <v>17812.7</v>
      </c>
      <c r="G25" s="420">
        <f t="shared" si="1"/>
        <v>2.6428989198486796E-2</v>
      </c>
      <c r="H25" s="397"/>
      <c r="I25" s="58" t="s">
        <v>482</v>
      </c>
      <c r="J25">
        <v>3.7807934411505741E-2</v>
      </c>
      <c r="Q25" s="22"/>
      <c r="S25" s="393"/>
      <c r="T25" s="394"/>
      <c r="U25" s="394"/>
    </row>
    <row r="26" spans="2:21" ht="16" thickBot="1" x14ac:dyDescent="0.25">
      <c r="B26" s="426">
        <v>44570</v>
      </c>
      <c r="C26" s="394">
        <v>244.4</v>
      </c>
      <c r="D26" s="420">
        <f t="shared" si="0"/>
        <v>6.3533507397737221E-2</v>
      </c>
      <c r="E26" s="394"/>
      <c r="F26" s="418">
        <v>18255.75</v>
      </c>
      <c r="G26" s="420">
        <f t="shared" si="1"/>
        <v>2.4872703183683509E-2</v>
      </c>
      <c r="H26" s="397"/>
      <c r="I26" s="407" t="s">
        <v>483</v>
      </c>
      <c r="J26" s="399">
        <v>260</v>
      </c>
      <c r="Q26" s="22"/>
      <c r="S26" s="393"/>
      <c r="T26" s="394"/>
      <c r="U26" s="394"/>
    </row>
    <row r="27" spans="2:21" x14ac:dyDescent="0.2">
      <c r="B27" s="426">
        <v>44577</v>
      </c>
      <c r="C27" s="394">
        <v>241.95</v>
      </c>
      <c r="D27" s="420">
        <f t="shared" si="0"/>
        <v>-1.0024549918167036E-2</v>
      </c>
      <c r="E27" s="394"/>
      <c r="F27" s="418">
        <v>17617.150000000001</v>
      </c>
      <c r="G27" s="420">
        <f t="shared" si="1"/>
        <v>-3.4980759486736956E-2</v>
      </c>
      <c r="H27" s="397"/>
      <c r="I27" s="58"/>
      <c r="Q27" s="22"/>
      <c r="S27" s="393"/>
      <c r="T27" s="394"/>
      <c r="U27" s="394"/>
    </row>
    <row r="28" spans="2:21" ht="16" thickBot="1" x14ac:dyDescent="0.25">
      <c r="B28" s="426">
        <v>44584</v>
      </c>
      <c r="C28" s="394">
        <v>244.05</v>
      </c>
      <c r="D28" s="420">
        <f t="shared" si="0"/>
        <v>8.6794792312461233E-3</v>
      </c>
      <c r="E28" s="394"/>
      <c r="F28" s="418">
        <v>17101.95</v>
      </c>
      <c r="G28" s="420">
        <f t="shared" si="1"/>
        <v>-2.9244230763772805E-2</v>
      </c>
      <c r="H28" s="397"/>
      <c r="I28" s="58" t="s">
        <v>484</v>
      </c>
      <c r="Q28" s="22"/>
      <c r="S28" s="393"/>
      <c r="T28" s="394"/>
      <c r="U28" s="394"/>
    </row>
    <row r="29" spans="2:21" x14ac:dyDescent="0.2">
      <c r="B29" s="426">
        <v>44591</v>
      </c>
      <c r="C29" s="394">
        <v>254.35</v>
      </c>
      <c r="D29" s="420">
        <f t="shared" si="0"/>
        <v>4.2204466297889764E-2</v>
      </c>
      <c r="E29" s="394"/>
      <c r="F29" s="418">
        <v>17516.3</v>
      </c>
      <c r="G29" s="420">
        <f t="shared" si="1"/>
        <v>2.4228231283567103E-2</v>
      </c>
      <c r="H29" s="397"/>
      <c r="I29" s="408"/>
      <c r="J29" s="400" t="s">
        <v>489</v>
      </c>
      <c r="K29" s="400" t="s">
        <v>490</v>
      </c>
      <c r="L29" s="400" t="s">
        <v>491</v>
      </c>
      <c r="M29" s="400" t="s">
        <v>492</v>
      </c>
      <c r="N29" s="400" t="s">
        <v>493</v>
      </c>
      <c r="Q29" s="22"/>
      <c r="S29" s="393"/>
      <c r="T29" s="394"/>
      <c r="U29" s="394"/>
    </row>
    <row r="30" spans="2:21" x14ac:dyDescent="0.2">
      <c r="B30" s="426">
        <v>44598</v>
      </c>
      <c r="C30" s="394">
        <v>232.3</v>
      </c>
      <c r="D30" s="420">
        <f t="shared" si="0"/>
        <v>-8.6691566738745784E-2</v>
      </c>
      <c r="E30" s="394"/>
      <c r="F30" s="418">
        <v>17374.75</v>
      </c>
      <c r="G30" s="420">
        <f t="shared" si="1"/>
        <v>-8.0810445128252084E-3</v>
      </c>
      <c r="H30" s="397"/>
      <c r="I30" s="58" t="s">
        <v>485</v>
      </c>
      <c r="J30">
        <v>1</v>
      </c>
      <c r="K30">
        <v>0.13827045424919715</v>
      </c>
      <c r="L30">
        <v>0.13827045424919715</v>
      </c>
      <c r="M30">
        <v>96.730512291788187</v>
      </c>
      <c r="N30">
        <v>1.3663415719693521E-19</v>
      </c>
      <c r="Q30" s="22"/>
      <c r="S30" s="393"/>
      <c r="T30" s="394"/>
      <c r="U30" s="394"/>
    </row>
    <row r="31" spans="2:21" x14ac:dyDescent="0.2">
      <c r="B31" s="426">
        <v>44605</v>
      </c>
      <c r="C31" s="394">
        <v>225.75</v>
      </c>
      <c r="D31" s="420">
        <f t="shared" si="0"/>
        <v>-2.8196297890658695E-2</v>
      </c>
      <c r="E31" s="394"/>
      <c r="F31" s="418">
        <v>17276.3</v>
      </c>
      <c r="G31" s="420">
        <f t="shared" si="1"/>
        <v>-5.6662685794041101E-3</v>
      </c>
      <c r="H31" s="397"/>
      <c r="I31" s="58" t="s">
        <v>486</v>
      </c>
      <c r="J31">
        <v>258</v>
      </c>
      <c r="K31">
        <v>0.36879549535189782</v>
      </c>
      <c r="L31">
        <v>1.4294399044647201E-3</v>
      </c>
      <c r="Q31" s="22"/>
      <c r="S31" s="393"/>
      <c r="T31" s="394"/>
      <c r="U31" s="394"/>
    </row>
    <row r="32" spans="2:21" ht="16" thickBot="1" x14ac:dyDescent="0.25">
      <c r="B32" s="426">
        <v>44612</v>
      </c>
      <c r="C32" s="394">
        <v>220</v>
      </c>
      <c r="D32" s="420">
        <f t="shared" si="0"/>
        <v>-2.5470653377630104E-2</v>
      </c>
      <c r="E32" s="394"/>
      <c r="F32" s="418">
        <v>16658.400000000001</v>
      </c>
      <c r="G32" s="420">
        <f t="shared" si="1"/>
        <v>-3.5765760029635829E-2</v>
      </c>
      <c r="H32" s="397"/>
      <c r="I32" s="407" t="s">
        <v>487</v>
      </c>
      <c r="J32" s="399">
        <v>259</v>
      </c>
      <c r="K32" s="399">
        <v>0.50706594960109497</v>
      </c>
      <c r="L32" s="399"/>
      <c r="M32" s="399"/>
      <c r="N32" s="399"/>
      <c r="Q32" s="22"/>
      <c r="S32" s="393"/>
      <c r="T32" s="394"/>
      <c r="U32" s="394"/>
    </row>
    <row r="33" spans="2:21" ht="16" thickBot="1" x14ac:dyDescent="0.25">
      <c r="B33" s="426">
        <v>44619</v>
      </c>
      <c r="C33" s="394">
        <v>221.45</v>
      </c>
      <c r="D33" s="420">
        <f t="shared" si="0"/>
        <v>6.5909090909090917E-3</v>
      </c>
      <c r="E33" s="394"/>
      <c r="F33" s="418">
        <v>16245.35</v>
      </c>
      <c r="G33" s="420">
        <f t="shared" si="1"/>
        <v>-2.4795298468040183E-2</v>
      </c>
      <c r="H33" s="397"/>
      <c r="I33" s="58"/>
      <c r="Q33" s="22"/>
      <c r="S33" s="393"/>
      <c r="T33" s="394"/>
      <c r="U33" s="394"/>
    </row>
    <row r="34" spans="2:21" x14ac:dyDescent="0.2">
      <c r="B34" s="426">
        <v>44626</v>
      </c>
      <c r="C34" s="394">
        <v>233.15</v>
      </c>
      <c r="D34" s="420">
        <f t="shared" si="0"/>
        <v>5.2833596748701916E-2</v>
      </c>
      <c r="E34" s="394"/>
      <c r="F34" s="418">
        <v>16630.45</v>
      </c>
      <c r="G34" s="420">
        <f t="shared" si="1"/>
        <v>2.3705244885459553E-2</v>
      </c>
      <c r="H34" s="397"/>
      <c r="I34" s="408"/>
      <c r="J34" s="400" t="s">
        <v>494</v>
      </c>
      <c r="K34" s="400" t="s">
        <v>482</v>
      </c>
      <c r="L34" s="400" t="s">
        <v>495</v>
      </c>
      <c r="M34" s="400" t="s">
        <v>496</v>
      </c>
      <c r="N34" s="400" t="s">
        <v>497</v>
      </c>
      <c r="O34" s="400" t="s">
        <v>498</v>
      </c>
      <c r="P34" s="400" t="s">
        <v>499</v>
      </c>
      <c r="Q34" s="409" t="s">
        <v>500</v>
      </c>
      <c r="S34" s="393"/>
      <c r="T34" s="394"/>
      <c r="U34" s="394"/>
    </row>
    <row r="35" spans="2:21" x14ac:dyDescent="0.2">
      <c r="B35" s="426">
        <v>44633</v>
      </c>
      <c r="C35" s="394">
        <v>231.75</v>
      </c>
      <c r="D35" s="420">
        <f t="shared" si="0"/>
        <v>-6.0047179927086303E-3</v>
      </c>
      <c r="E35" s="394"/>
      <c r="F35" s="418">
        <v>17287.05</v>
      </c>
      <c r="G35" s="420">
        <f t="shared" si="1"/>
        <v>3.9481793938227705E-2</v>
      </c>
      <c r="H35" s="397"/>
      <c r="I35" s="58" t="s">
        <v>488</v>
      </c>
      <c r="J35">
        <v>3.122601552219861E-3</v>
      </c>
      <c r="K35">
        <v>2.3499540286522603E-3</v>
      </c>
      <c r="L35">
        <v>1.3287926121732379</v>
      </c>
      <c r="M35">
        <v>0.18509040859747053</v>
      </c>
      <c r="N35">
        <v>-1.5049311785881249E-3</v>
      </c>
      <c r="O35">
        <v>7.7501342830278474E-3</v>
      </c>
      <c r="P35">
        <v>-1.5049311785881249E-3</v>
      </c>
      <c r="Q35" s="22">
        <v>7.7501342830278474E-3</v>
      </c>
      <c r="S35" s="393"/>
      <c r="T35" s="394"/>
      <c r="U35" s="394"/>
    </row>
    <row r="36" spans="2:21" x14ac:dyDescent="0.2">
      <c r="B36" s="426">
        <v>44640</v>
      </c>
      <c r="C36" s="394">
        <v>241.35</v>
      </c>
      <c r="D36" s="420">
        <f t="shared" si="0"/>
        <v>4.1423948220064677E-2</v>
      </c>
      <c r="E36" s="394"/>
      <c r="F36" s="418">
        <v>17153</v>
      </c>
      <c r="G36" s="420">
        <f t="shared" si="1"/>
        <v>-7.7543594771808388E-3</v>
      </c>
      <c r="H36" s="397"/>
      <c r="I36" s="24" t="s">
        <v>501</v>
      </c>
      <c r="J36" s="25">
        <v>1.2766096184922635</v>
      </c>
      <c r="K36" s="25">
        <v>0.12980050087887582</v>
      </c>
      <c r="L36" s="25">
        <v>9.8351671206842273</v>
      </c>
      <c r="M36" s="25">
        <v>1.3663415719693916E-19</v>
      </c>
      <c r="N36" s="25">
        <v>1.0210062922277257</v>
      </c>
      <c r="O36" s="25">
        <v>1.5322129447568014</v>
      </c>
      <c r="P36" s="25">
        <v>1.0210062922277257</v>
      </c>
      <c r="Q36" s="59">
        <v>1.5322129447568014</v>
      </c>
      <c r="S36" s="393"/>
      <c r="T36" s="394"/>
      <c r="U36" s="394"/>
    </row>
    <row r="37" spans="2:21" x14ac:dyDescent="0.2">
      <c r="B37" s="426">
        <v>44647</v>
      </c>
      <c r="C37" s="394">
        <v>245.45</v>
      </c>
      <c r="D37" s="420">
        <f t="shared" si="0"/>
        <v>1.698777708721777E-2</v>
      </c>
      <c r="E37" s="394"/>
      <c r="F37" s="418">
        <v>17670.45</v>
      </c>
      <c r="G37" s="420">
        <f t="shared" si="1"/>
        <v>3.0166734681979834E-2</v>
      </c>
      <c r="H37" s="397"/>
      <c r="S37" s="393"/>
      <c r="T37" s="394"/>
      <c r="U37" s="394"/>
    </row>
    <row r="38" spans="2:21" x14ac:dyDescent="0.2">
      <c r="B38" s="426">
        <v>44654</v>
      </c>
      <c r="C38" s="394">
        <v>278.10000000000002</v>
      </c>
      <c r="D38" s="420">
        <f t="shared" si="0"/>
        <v>0.13302098187003475</v>
      </c>
      <c r="E38" s="394"/>
      <c r="F38" s="418">
        <v>17784.349999999999</v>
      </c>
      <c r="G38" s="420">
        <f t="shared" si="1"/>
        <v>6.4457894394311932E-3</v>
      </c>
      <c r="H38" s="397"/>
      <c r="S38" s="393"/>
      <c r="T38" s="394"/>
      <c r="U38" s="394"/>
    </row>
    <row r="39" spans="2:21" x14ac:dyDescent="0.2">
      <c r="B39" s="426">
        <v>44661</v>
      </c>
      <c r="C39" s="394">
        <v>273.10000000000002</v>
      </c>
      <c r="D39" s="420">
        <f t="shared" si="0"/>
        <v>-1.7979144192736385E-2</v>
      </c>
      <c r="E39" s="394"/>
      <c r="F39" s="418">
        <v>17475.650000000001</v>
      </c>
      <c r="G39" s="420">
        <f t="shared" si="1"/>
        <v>-1.7357957979909133E-2</v>
      </c>
      <c r="H39" s="397"/>
      <c r="S39" s="393"/>
      <c r="T39" s="394"/>
      <c r="U39" s="394"/>
    </row>
    <row r="40" spans="2:21" x14ac:dyDescent="0.2">
      <c r="B40" s="426">
        <v>44668</v>
      </c>
      <c r="C40" s="394">
        <v>253.1</v>
      </c>
      <c r="D40" s="420">
        <f t="shared" si="0"/>
        <v>-7.3233247894544218E-2</v>
      </c>
      <c r="E40" s="394"/>
      <c r="F40" s="418">
        <v>17171.95</v>
      </c>
      <c r="G40" s="420">
        <f t="shared" si="1"/>
        <v>-1.7378466609253462E-2</v>
      </c>
      <c r="H40" s="397"/>
      <c r="I40" s="397"/>
      <c r="J40" s="397"/>
      <c r="K40" s="394"/>
      <c r="L40" s="396"/>
      <c r="S40" s="393"/>
      <c r="T40" s="394"/>
      <c r="U40" s="394"/>
    </row>
    <row r="41" spans="2:21" x14ac:dyDescent="0.2">
      <c r="B41" s="426">
        <v>44675</v>
      </c>
      <c r="C41" s="394">
        <v>242.35</v>
      </c>
      <c r="D41" s="420">
        <f t="shared" si="0"/>
        <v>-4.2473330699328349E-2</v>
      </c>
      <c r="E41" s="394"/>
      <c r="F41" s="418">
        <v>17102.55</v>
      </c>
      <c r="G41" s="420">
        <f t="shared" si="1"/>
        <v>-4.0414746141237412E-3</v>
      </c>
      <c r="H41" s="397"/>
      <c r="I41" s="397"/>
      <c r="J41" s="397"/>
      <c r="K41" s="394"/>
      <c r="L41" s="396"/>
      <c r="S41" s="393"/>
      <c r="T41" s="394"/>
      <c r="U41" s="394"/>
    </row>
    <row r="42" spans="2:21" x14ac:dyDescent="0.2">
      <c r="B42" s="426">
        <v>44682</v>
      </c>
      <c r="C42" s="394">
        <v>245.2</v>
      </c>
      <c r="D42" s="420">
        <f t="shared" si="0"/>
        <v>1.1759851454507864E-2</v>
      </c>
      <c r="E42" s="394"/>
      <c r="F42" s="418">
        <v>16411.25</v>
      </c>
      <c r="G42" s="420">
        <f t="shared" si="1"/>
        <v>-4.0420872910764682E-2</v>
      </c>
      <c r="H42" s="397"/>
      <c r="I42" s="397"/>
      <c r="J42" s="397"/>
      <c r="K42" s="394"/>
      <c r="L42" s="396"/>
      <c r="S42" s="393"/>
      <c r="T42" s="394"/>
      <c r="U42" s="394"/>
    </row>
    <row r="43" spans="2:21" x14ac:dyDescent="0.2">
      <c r="B43" s="426">
        <v>44689</v>
      </c>
      <c r="C43" s="394">
        <v>222.8</v>
      </c>
      <c r="D43" s="420">
        <f t="shared" si="0"/>
        <v>-9.1353996737357224E-2</v>
      </c>
      <c r="E43" s="394"/>
      <c r="F43" s="418">
        <v>15782.15</v>
      </c>
      <c r="G43" s="420">
        <f t="shared" si="1"/>
        <v>-3.8333460278772158E-2</v>
      </c>
      <c r="H43" s="397"/>
      <c r="I43" s="397"/>
      <c r="J43" s="397"/>
      <c r="K43" s="394"/>
      <c r="L43" s="396"/>
      <c r="S43" s="393"/>
      <c r="T43" s="394"/>
      <c r="U43" s="394"/>
    </row>
    <row r="44" spans="2:21" x14ac:dyDescent="0.2">
      <c r="B44" s="426">
        <v>44696</v>
      </c>
      <c r="C44" s="394">
        <v>233.25</v>
      </c>
      <c r="D44" s="420">
        <f t="shared" si="0"/>
        <v>4.6903052064631856E-2</v>
      </c>
      <c r="E44" s="394"/>
      <c r="F44" s="418">
        <v>16266.15</v>
      </c>
      <c r="G44" s="420">
        <f t="shared" si="1"/>
        <v>3.0667557968971249E-2</v>
      </c>
      <c r="H44" s="397"/>
      <c r="I44" s="397"/>
      <c r="J44" s="397"/>
      <c r="K44" s="394"/>
      <c r="L44" s="396"/>
      <c r="S44" s="393"/>
      <c r="T44" s="394"/>
      <c r="U44" s="394"/>
    </row>
    <row r="45" spans="2:21" x14ac:dyDescent="0.2">
      <c r="B45" s="426">
        <v>44703</v>
      </c>
      <c r="C45" s="394">
        <v>224.65</v>
      </c>
      <c r="D45" s="420">
        <f t="shared" si="0"/>
        <v>-3.6870310825294683E-2</v>
      </c>
      <c r="E45" s="394"/>
      <c r="F45" s="418">
        <v>16352.45</v>
      </c>
      <c r="G45" s="420">
        <f t="shared" si="1"/>
        <v>5.3054963835941216E-3</v>
      </c>
      <c r="H45" s="397"/>
      <c r="I45" s="397"/>
      <c r="J45" s="397"/>
      <c r="K45" s="394"/>
      <c r="L45" s="396"/>
      <c r="S45" s="393"/>
      <c r="T45" s="394"/>
      <c r="U45" s="394"/>
    </row>
    <row r="46" spans="2:21" x14ac:dyDescent="0.2">
      <c r="B46" s="426">
        <v>44710</v>
      </c>
      <c r="C46" s="394">
        <v>231.05</v>
      </c>
      <c r="D46" s="420">
        <f t="shared" si="0"/>
        <v>2.8488760293790438E-2</v>
      </c>
      <c r="E46" s="394"/>
      <c r="F46" s="418">
        <v>16584.3</v>
      </c>
      <c r="G46" s="420">
        <f t="shared" si="1"/>
        <v>1.4178303556959371E-2</v>
      </c>
      <c r="H46" s="397"/>
      <c r="I46" s="397"/>
      <c r="J46" s="397"/>
      <c r="K46" s="394"/>
      <c r="L46" s="396"/>
      <c r="S46" s="393"/>
      <c r="T46" s="394"/>
      <c r="U46" s="394"/>
    </row>
    <row r="47" spans="2:21" x14ac:dyDescent="0.2">
      <c r="B47" s="426">
        <v>44717</v>
      </c>
      <c r="C47" s="394">
        <v>230.25</v>
      </c>
      <c r="D47" s="420">
        <f t="shared" si="0"/>
        <v>-3.4624540142826898E-3</v>
      </c>
      <c r="E47" s="394"/>
      <c r="F47" s="418">
        <v>16201.8</v>
      </c>
      <c r="G47" s="420">
        <f t="shared" si="1"/>
        <v>-2.3063982200032584E-2</v>
      </c>
      <c r="H47" s="397"/>
      <c r="I47" s="397"/>
      <c r="J47" s="397"/>
      <c r="K47" s="394"/>
      <c r="L47" s="396"/>
      <c r="S47" s="393"/>
      <c r="T47" s="394"/>
      <c r="U47" s="394"/>
    </row>
    <row r="48" spans="2:21" x14ac:dyDescent="0.2">
      <c r="B48" s="426">
        <v>44724</v>
      </c>
      <c r="C48" s="394">
        <v>210.3</v>
      </c>
      <c r="D48" s="420">
        <f t="shared" si="0"/>
        <v>-8.6644951140065096E-2</v>
      </c>
      <c r="E48" s="394"/>
      <c r="F48" s="418">
        <v>15293.5</v>
      </c>
      <c r="G48" s="420">
        <f t="shared" si="1"/>
        <v>-5.6061672159883447E-2</v>
      </c>
      <c r="H48" s="397"/>
      <c r="I48" s="397"/>
      <c r="J48" s="397"/>
      <c r="K48" s="394"/>
      <c r="L48" s="396"/>
      <c r="S48" s="393"/>
      <c r="T48" s="394"/>
      <c r="U48" s="394"/>
    </row>
    <row r="49" spans="2:21" x14ac:dyDescent="0.2">
      <c r="B49" s="426">
        <v>44731</v>
      </c>
      <c r="C49" s="394">
        <v>207.9</v>
      </c>
      <c r="D49" s="420">
        <f t="shared" si="0"/>
        <v>-1.1412268188302432E-2</v>
      </c>
      <c r="E49" s="394"/>
      <c r="F49" s="418">
        <v>15699.25</v>
      </c>
      <c r="G49" s="420">
        <f t="shared" si="1"/>
        <v>2.6530879131657192E-2</v>
      </c>
      <c r="H49" s="397"/>
      <c r="I49" s="397"/>
      <c r="J49" s="397"/>
      <c r="K49" s="394"/>
      <c r="L49" s="396"/>
      <c r="S49" s="393"/>
      <c r="T49" s="394"/>
      <c r="U49" s="394"/>
    </row>
    <row r="50" spans="2:21" x14ac:dyDescent="0.2">
      <c r="B50" s="426">
        <v>44738</v>
      </c>
      <c r="C50" s="394">
        <v>207</v>
      </c>
      <c r="D50" s="420">
        <f t="shared" si="0"/>
        <v>-4.3290043290044045E-3</v>
      </c>
      <c r="E50" s="394"/>
      <c r="F50" s="418">
        <v>15752.05</v>
      </c>
      <c r="G50" s="420">
        <f t="shared" si="1"/>
        <v>3.3632179881204483E-3</v>
      </c>
      <c r="H50" s="397"/>
      <c r="I50" s="397"/>
      <c r="J50" s="397"/>
      <c r="K50" s="394"/>
      <c r="L50" s="396"/>
      <c r="S50" s="393"/>
      <c r="T50" s="394"/>
      <c r="U50" s="394"/>
    </row>
    <row r="51" spans="2:21" x14ac:dyDescent="0.2">
      <c r="B51" s="426">
        <v>44745</v>
      </c>
      <c r="C51" s="394">
        <v>220.05</v>
      </c>
      <c r="D51" s="420">
        <f t="shared" si="0"/>
        <v>6.3043478260869534E-2</v>
      </c>
      <c r="E51" s="394"/>
      <c r="F51" s="418">
        <v>16220.6</v>
      </c>
      <c r="G51" s="420">
        <f t="shared" si="1"/>
        <v>2.9745334734209372E-2</v>
      </c>
      <c r="H51" s="397"/>
      <c r="I51" s="397"/>
      <c r="J51" s="397"/>
      <c r="K51" s="394"/>
      <c r="L51" s="396"/>
      <c r="S51" s="393"/>
      <c r="T51" s="394"/>
      <c r="U51" s="394"/>
    </row>
    <row r="52" spans="2:21" x14ac:dyDescent="0.2">
      <c r="B52" s="426">
        <v>44752</v>
      </c>
      <c r="C52" s="394">
        <v>225</v>
      </c>
      <c r="D52" s="420">
        <f t="shared" si="0"/>
        <v>2.249488752556239E-2</v>
      </c>
      <c r="E52" s="394"/>
      <c r="F52" s="418">
        <v>16049.2</v>
      </c>
      <c r="G52" s="420">
        <f t="shared" si="1"/>
        <v>-1.0566810105668067E-2</v>
      </c>
      <c r="H52" s="397"/>
      <c r="I52" s="397"/>
      <c r="J52" s="397"/>
      <c r="K52" s="394"/>
      <c r="L52" s="396"/>
      <c r="S52" s="393"/>
      <c r="T52" s="394"/>
      <c r="U52" s="394"/>
    </row>
    <row r="53" spans="2:21" x14ac:dyDescent="0.2">
      <c r="B53" s="426">
        <v>44759</v>
      </c>
      <c r="C53" s="394">
        <v>230.85</v>
      </c>
      <c r="D53" s="420">
        <f t="shared" si="0"/>
        <v>2.6000000000000023E-2</v>
      </c>
      <c r="E53" s="394"/>
      <c r="F53" s="418">
        <v>16719.45</v>
      </c>
      <c r="G53" s="420">
        <f t="shared" si="1"/>
        <v>4.1762206215886222E-2</v>
      </c>
      <c r="H53" s="397"/>
      <c r="I53" s="397"/>
      <c r="J53" s="397"/>
      <c r="K53" s="394"/>
      <c r="L53" s="396"/>
      <c r="S53" s="393"/>
      <c r="T53" s="394"/>
      <c r="U53" s="394"/>
    </row>
    <row r="54" spans="2:21" x14ac:dyDescent="0.2">
      <c r="B54" s="426">
        <v>44766</v>
      </c>
      <c r="C54" s="394">
        <v>221.9</v>
      </c>
      <c r="D54" s="420">
        <f t="shared" si="0"/>
        <v>-3.8769763915962652E-2</v>
      </c>
      <c r="E54" s="394"/>
      <c r="F54" s="418">
        <v>17158.25</v>
      </c>
      <c r="G54" s="420">
        <f t="shared" si="1"/>
        <v>2.6244882457257868E-2</v>
      </c>
      <c r="H54" s="397"/>
      <c r="I54" s="397"/>
      <c r="J54" s="397"/>
      <c r="K54" s="394"/>
      <c r="L54" s="396"/>
      <c r="S54" s="393"/>
      <c r="T54" s="394"/>
      <c r="U54" s="394"/>
    </row>
    <row r="55" spans="2:21" x14ac:dyDescent="0.2">
      <c r="B55" s="426">
        <v>44773</v>
      </c>
      <c r="C55" s="394">
        <v>232.1</v>
      </c>
      <c r="D55" s="420">
        <f t="shared" si="0"/>
        <v>4.5966651644885115E-2</v>
      </c>
      <c r="E55" s="394"/>
      <c r="F55" s="418">
        <v>17397.5</v>
      </c>
      <c r="G55" s="420">
        <f t="shared" si="1"/>
        <v>1.3943729692713402E-2</v>
      </c>
      <c r="H55" s="397"/>
      <c r="I55" s="397"/>
      <c r="J55" s="397"/>
      <c r="K55" s="394"/>
      <c r="L55" s="396"/>
      <c r="S55" s="393"/>
      <c r="T55" s="394"/>
      <c r="U55" s="394"/>
    </row>
    <row r="56" spans="2:21" x14ac:dyDescent="0.2">
      <c r="B56" s="426">
        <v>44780</v>
      </c>
      <c r="C56" s="394">
        <v>232.4</v>
      </c>
      <c r="D56" s="420">
        <f t="shared" si="0"/>
        <v>1.2925463162429818E-3</v>
      </c>
      <c r="E56" s="394"/>
      <c r="F56" s="418">
        <v>17698.150000000001</v>
      </c>
      <c r="G56" s="420">
        <f t="shared" si="1"/>
        <v>1.7281218565885936E-2</v>
      </c>
      <c r="H56" s="397"/>
      <c r="I56" s="397"/>
      <c r="J56" s="397"/>
      <c r="K56" s="394"/>
      <c r="L56" s="396"/>
      <c r="S56" s="393"/>
      <c r="T56" s="394"/>
      <c r="U56" s="394"/>
    </row>
    <row r="57" spans="2:21" x14ac:dyDescent="0.2">
      <c r="B57" s="426">
        <v>44787</v>
      </c>
      <c r="C57" s="394">
        <v>232.65</v>
      </c>
      <c r="D57" s="420">
        <f t="shared" si="0"/>
        <v>1.0757314974183529E-3</v>
      </c>
      <c r="E57" s="394"/>
      <c r="F57" s="418">
        <v>17758.45</v>
      </c>
      <c r="G57" s="420">
        <f t="shared" si="1"/>
        <v>3.4071357740781405E-3</v>
      </c>
      <c r="H57" s="397"/>
      <c r="I57" s="397"/>
      <c r="J57" s="397"/>
      <c r="K57" s="394"/>
      <c r="L57" s="396"/>
      <c r="S57" s="393"/>
      <c r="T57" s="394"/>
      <c r="U57" s="394"/>
    </row>
    <row r="58" spans="2:21" x14ac:dyDescent="0.2">
      <c r="B58" s="426">
        <v>44794</v>
      </c>
      <c r="C58" s="394">
        <v>235.1</v>
      </c>
      <c r="D58" s="420">
        <f t="shared" si="0"/>
        <v>1.0530840318074386E-2</v>
      </c>
      <c r="E58" s="394"/>
      <c r="F58" s="418">
        <v>17558.900000000001</v>
      </c>
      <c r="G58" s="420">
        <f t="shared" si="1"/>
        <v>-1.1236904121699753E-2</v>
      </c>
      <c r="H58" s="397"/>
      <c r="I58" s="397"/>
      <c r="J58" s="397"/>
      <c r="K58" s="394"/>
      <c r="L58" s="396"/>
      <c r="S58" s="393"/>
      <c r="T58" s="394"/>
      <c r="U58" s="394"/>
    </row>
    <row r="59" spans="2:21" x14ac:dyDescent="0.2">
      <c r="B59" s="426">
        <v>44801</v>
      </c>
      <c r="C59" s="394">
        <v>235.2</v>
      </c>
      <c r="D59" s="420">
        <f t="shared" si="0"/>
        <v>4.2535091450446316E-4</v>
      </c>
      <c r="E59" s="394"/>
      <c r="F59" s="418">
        <v>17539.45</v>
      </c>
      <c r="G59" s="420">
        <f t="shared" si="1"/>
        <v>-1.1077003684741848E-3</v>
      </c>
      <c r="H59" s="397"/>
      <c r="I59" s="397"/>
      <c r="J59" s="397"/>
      <c r="K59" s="394"/>
      <c r="L59" s="396"/>
      <c r="S59" s="393"/>
      <c r="T59" s="394"/>
      <c r="U59" s="394"/>
    </row>
    <row r="60" spans="2:21" x14ac:dyDescent="0.2">
      <c r="B60" s="426">
        <v>44808</v>
      </c>
      <c r="C60" s="394">
        <v>242.35</v>
      </c>
      <c r="D60" s="420">
        <f t="shared" si="0"/>
        <v>3.039965986394555E-2</v>
      </c>
      <c r="E60" s="394"/>
      <c r="F60" s="418">
        <v>17833.349999999999</v>
      </c>
      <c r="G60" s="420">
        <f t="shared" si="1"/>
        <v>1.6756511749228098E-2</v>
      </c>
      <c r="H60" s="397"/>
      <c r="I60" s="397"/>
      <c r="J60" s="397"/>
      <c r="K60" s="394"/>
      <c r="L60" s="396"/>
      <c r="S60" s="393"/>
      <c r="T60" s="394"/>
      <c r="U60" s="394"/>
    </row>
    <row r="61" spans="2:21" x14ac:dyDescent="0.2">
      <c r="B61" s="426">
        <v>44815</v>
      </c>
      <c r="C61" s="394">
        <v>236.3</v>
      </c>
      <c r="D61" s="420">
        <f t="shared" si="0"/>
        <v>-2.4963895192902763E-2</v>
      </c>
      <c r="E61" s="394"/>
      <c r="F61" s="418">
        <v>17530.849999999999</v>
      </c>
      <c r="G61" s="420">
        <f t="shared" si="1"/>
        <v>-1.6962600969531838E-2</v>
      </c>
      <c r="H61" s="397"/>
      <c r="I61" s="397"/>
      <c r="J61" s="397"/>
      <c r="K61" s="394"/>
      <c r="L61" s="396"/>
      <c r="S61" s="393"/>
      <c r="T61" s="394"/>
      <c r="U61" s="394"/>
    </row>
    <row r="62" spans="2:21" x14ac:dyDescent="0.2">
      <c r="B62" s="426">
        <v>44822</v>
      </c>
      <c r="C62" s="394">
        <v>224.5</v>
      </c>
      <c r="D62" s="420">
        <f t="shared" si="0"/>
        <v>-4.9936521371138465E-2</v>
      </c>
      <c r="E62" s="394"/>
      <c r="F62" s="418">
        <v>17327.349999999999</v>
      </c>
      <c r="G62" s="420">
        <f t="shared" si="1"/>
        <v>-1.1608107992481798E-2</v>
      </c>
      <c r="H62" s="397"/>
      <c r="I62" s="397"/>
      <c r="J62" s="397"/>
      <c r="K62" s="394"/>
      <c r="L62" s="396"/>
      <c r="S62" s="393"/>
      <c r="T62" s="394"/>
      <c r="U62" s="394"/>
    </row>
    <row r="63" spans="2:21" x14ac:dyDescent="0.2">
      <c r="B63" s="426">
        <v>44829</v>
      </c>
      <c r="C63" s="394">
        <v>216.5</v>
      </c>
      <c r="D63" s="420">
        <f t="shared" si="0"/>
        <v>-3.563474387527843E-2</v>
      </c>
      <c r="E63" s="394"/>
      <c r="F63" s="418">
        <v>17094.349999999999</v>
      </c>
      <c r="G63" s="420">
        <f t="shared" si="1"/>
        <v>-1.3446949475828696E-2</v>
      </c>
      <c r="H63" s="397"/>
      <c r="I63" s="397"/>
      <c r="J63" s="397"/>
      <c r="K63" s="394"/>
      <c r="L63" s="396"/>
      <c r="S63" s="393"/>
      <c r="T63" s="394"/>
      <c r="U63" s="394"/>
    </row>
    <row r="64" spans="2:21" x14ac:dyDescent="0.2">
      <c r="B64" s="426">
        <v>44836</v>
      </c>
      <c r="C64" s="394">
        <v>222.5</v>
      </c>
      <c r="D64" s="420">
        <f t="shared" si="0"/>
        <v>2.7713625866050862E-2</v>
      </c>
      <c r="E64" s="394"/>
      <c r="F64" s="418">
        <v>17314.650000000001</v>
      </c>
      <c r="G64" s="420">
        <f t="shared" si="1"/>
        <v>1.2887299019851861E-2</v>
      </c>
      <c r="H64" s="397"/>
      <c r="I64" s="397"/>
      <c r="J64" s="397"/>
      <c r="K64" s="394"/>
      <c r="L64" s="396"/>
      <c r="S64" s="393"/>
      <c r="T64" s="394"/>
      <c r="U64" s="394"/>
    </row>
    <row r="65" spans="2:21" x14ac:dyDescent="0.2">
      <c r="B65" s="426">
        <v>44843</v>
      </c>
      <c r="C65" s="394">
        <v>215.9</v>
      </c>
      <c r="D65" s="420">
        <f t="shared" si="0"/>
        <v>-2.9662921348314608E-2</v>
      </c>
      <c r="E65" s="394"/>
      <c r="F65" s="418">
        <v>17185.7</v>
      </c>
      <c r="G65" s="420">
        <f t="shared" si="1"/>
        <v>-7.4474505693156168E-3</v>
      </c>
      <c r="H65" s="397"/>
      <c r="I65" s="397"/>
      <c r="J65" s="397"/>
      <c r="K65" s="394"/>
      <c r="L65" s="396"/>
      <c r="S65" s="393"/>
      <c r="T65" s="394"/>
      <c r="U65" s="394"/>
    </row>
    <row r="66" spans="2:21" x14ac:dyDescent="0.2">
      <c r="B66" s="426">
        <v>44850</v>
      </c>
      <c r="C66" s="394">
        <v>218.6</v>
      </c>
      <c r="D66" s="420">
        <f t="shared" si="0"/>
        <v>1.2505789717461635E-2</v>
      </c>
      <c r="E66" s="394"/>
      <c r="F66" s="418">
        <v>17576.3</v>
      </c>
      <c r="G66" s="420">
        <f t="shared" si="1"/>
        <v>2.2728198444055048E-2</v>
      </c>
      <c r="H66" s="397"/>
      <c r="I66" s="397"/>
      <c r="J66" s="397"/>
      <c r="K66" s="394"/>
      <c r="L66" s="396"/>
      <c r="S66" s="393"/>
      <c r="T66" s="394"/>
      <c r="U66" s="394"/>
    </row>
    <row r="67" spans="2:21" x14ac:dyDescent="0.2">
      <c r="B67" s="426">
        <v>44857</v>
      </c>
      <c r="C67" s="394">
        <v>225.05</v>
      </c>
      <c r="D67" s="420">
        <f t="shared" si="0"/>
        <v>2.9505946935041161E-2</v>
      </c>
      <c r="E67" s="394"/>
      <c r="F67" s="418">
        <v>17786.8</v>
      </c>
      <c r="G67" s="420">
        <f t="shared" si="1"/>
        <v>1.1976354522851729E-2</v>
      </c>
      <c r="H67" s="397"/>
      <c r="I67" s="397"/>
      <c r="J67" s="397"/>
      <c r="K67" s="394"/>
      <c r="L67" s="396"/>
      <c r="S67" s="393"/>
      <c r="T67" s="394"/>
      <c r="U67" s="394"/>
    </row>
    <row r="68" spans="2:21" x14ac:dyDescent="0.2">
      <c r="B68" s="426">
        <v>44864</v>
      </c>
      <c r="C68" s="394">
        <v>228.3</v>
      </c>
      <c r="D68" s="420">
        <f t="shared" si="0"/>
        <v>1.444123528104857E-2</v>
      </c>
      <c r="E68" s="394"/>
      <c r="F68" s="418">
        <v>18117.150000000001</v>
      </c>
      <c r="G68" s="420">
        <f t="shared" si="1"/>
        <v>1.8572761823374861E-2</v>
      </c>
      <c r="H68" s="397"/>
      <c r="I68" s="397"/>
      <c r="J68" s="397"/>
      <c r="K68" s="394"/>
      <c r="L68" s="396"/>
      <c r="S68" s="393"/>
      <c r="T68" s="394"/>
      <c r="U68" s="394"/>
    </row>
    <row r="69" spans="2:21" x14ac:dyDescent="0.2">
      <c r="B69" s="426">
        <v>44871</v>
      </c>
      <c r="C69" s="394">
        <v>229.75</v>
      </c>
      <c r="D69" s="420">
        <f t="shared" si="0"/>
        <v>6.3512921594393035E-3</v>
      </c>
      <c r="E69" s="394"/>
      <c r="F69" s="418">
        <v>18349.7</v>
      </c>
      <c r="G69" s="420">
        <f t="shared" si="1"/>
        <v>1.2835904101914375E-2</v>
      </c>
      <c r="H69" s="397"/>
      <c r="I69" s="397"/>
      <c r="J69" s="397"/>
      <c r="K69" s="394"/>
      <c r="L69" s="396"/>
      <c r="S69" s="393"/>
      <c r="T69" s="394"/>
      <c r="U69" s="394"/>
    </row>
    <row r="70" spans="2:21" x14ac:dyDescent="0.2">
      <c r="B70" s="426">
        <v>44878</v>
      </c>
      <c r="C70" s="394">
        <v>220.45</v>
      </c>
      <c r="D70" s="420">
        <f t="shared" si="0"/>
        <v>-4.0478781284004395E-2</v>
      </c>
      <c r="E70" s="394"/>
      <c r="F70" s="418">
        <v>18307.650000000001</v>
      </c>
      <c r="G70" s="420">
        <f t="shared" si="1"/>
        <v>-2.2915905982113793E-3</v>
      </c>
      <c r="H70" s="397"/>
      <c r="I70" s="397"/>
      <c r="J70" s="397"/>
      <c r="K70" s="394"/>
      <c r="L70" s="396"/>
      <c r="S70" s="393"/>
      <c r="T70" s="394"/>
      <c r="U70" s="394"/>
    </row>
    <row r="71" spans="2:21" x14ac:dyDescent="0.2">
      <c r="B71" s="426">
        <v>44885</v>
      </c>
      <c r="C71" s="394">
        <v>224.1</v>
      </c>
      <c r="D71" s="420">
        <f t="shared" si="0"/>
        <v>1.6557042413245737E-2</v>
      </c>
      <c r="E71" s="394"/>
      <c r="F71" s="418">
        <v>18512.75</v>
      </c>
      <c r="G71" s="420">
        <f t="shared" si="1"/>
        <v>1.1202967065680136E-2</v>
      </c>
      <c r="H71" s="397"/>
      <c r="I71" s="397"/>
      <c r="J71" s="397"/>
      <c r="K71" s="394"/>
      <c r="L71" s="396"/>
      <c r="S71" s="393"/>
      <c r="T71" s="394"/>
      <c r="U71" s="394"/>
    </row>
    <row r="72" spans="2:21" x14ac:dyDescent="0.2">
      <c r="B72" s="426">
        <v>44892</v>
      </c>
      <c r="C72" s="394">
        <v>225.25</v>
      </c>
      <c r="D72" s="420">
        <f t="shared" si="0"/>
        <v>5.1316376617580595E-3</v>
      </c>
      <c r="E72" s="394"/>
      <c r="F72" s="418">
        <v>18696.099999999999</v>
      </c>
      <c r="G72" s="420">
        <f t="shared" si="1"/>
        <v>9.9039850913558158E-3</v>
      </c>
      <c r="H72" s="397"/>
      <c r="I72" s="397"/>
      <c r="J72" s="397"/>
      <c r="K72" s="394"/>
      <c r="L72" s="396"/>
      <c r="S72" s="393"/>
      <c r="T72" s="394"/>
      <c r="U72" s="394"/>
    </row>
    <row r="73" spans="2:21" x14ac:dyDescent="0.2">
      <c r="B73" s="426">
        <v>44899</v>
      </c>
      <c r="C73" s="394">
        <v>219.4</v>
      </c>
      <c r="D73" s="420">
        <f t="shared" si="0"/>
        <v>-2.5971143174250755E-2</v>
      </c>
      <c r="E73" s="394"/>
      <c r="F73" s="418">
        <v>18496.599999999999</v>
      </c>
      <c r="G73" s="420">
        <f t="shared" si="1"/>
        <v>-1.0670674632677457E-2</v>
      </c>
      <c r="H73" s="397"/>
      <c r="I73" s="397"/>
      <c r="J73" s="397"/>
      <c r="K73" s="394"/>
      <c r="L73" s="396"/>
      <c r="S73" s="393"/>
      <c r="T73" s="394"/>
      <c r="U73" s="394"/>
    </row>
    <row r="74" spans="2:21" x14ac:dyDescent="0.2">
      <c r="B74" s="426">
        <v>44906</v>
      </c>
      <c r="C74" s="394">
        <v>217.35</v>
      </c>
      <c r="D74" s="420">
        <f t="shared" si="0"/>
        <v>-9.3436645396536289E-3</v>
      </c>
      <c r="E74" s="394"/>
      <c r="F74" s="418">
        <v>18269</v>
      </c>
      <c r="G74" s="420">
        <f t="shared" si="1"/>
        <v>-1.2304964155574472E-2</v>
      </c>
      <c r="H74" s="397"/>
      <c r="I74" s="397"/>
      <c r="J74" s="397"/>
      <c r="K74" s="394"/>
      <c r="L74" s="396"/>
      <c r="S74" s="393"/>
      <c r="T74" s="394"/>
      <c r="U74" s="394"/>
    </row>
    <row r="75" spans="2:21" x14ac:dyDescent="0.2">
      <c r="B75" s="426">
        <v>44913</v>
      </c>
      <c r="C75" s="394">
        <v>196.9</v>
      </c>
      <c r="D75" s="420">
        <f t="shared" ref="D75:D138" si="2">C75/C74-1</f>
        <v>-9.4087876696572259E-2</v>
      </c>
      <c r="E75" s="394"/>
      <c r="F75" s="418">
        <v>17806.8</v>
      </c>
      <c r="G75" s="420">
        <f t="shared" si="1"/>
        <v>-2.5299687996058973E-2</v>
      </c>
      <c r="H75" s="397"/>
      <c r="I75" s="397"/>
      <c r="J75" s="397"/>
      <c r="K75" s="394"/>
      <c r="L75" s="396"/>
      <c r="S75" s="393"/>
      <c r="T75" s="394"/>
      <c r="U75" s="394"/>
    </row>
    <row r="76" spans="2:21" x14ac:dyDescent="0.2">
      <c r="B76" s="426">
        <v>44920</v>
      </c>
      <c r="C76" s="394">
        <v>207.7</v>
      </c>
      <c r="D76" s="420">
        <f t="shared" si="2"/>
        <v>5.4850177755205509E-2</v>
      </c>
      <c r="E76" s="394"/>
      <c r="F76" s="418">
        <v>18105.3</v>
      </c>
      <c r="G76" s="420">
        <f t="shared" ref="G76:G139" si="3">F76/F75-1</f>
        <v>1.6763258979715534E-2</v>
      </c>
      <c r="H76" s="397"/>
      <c r="I76" s="397"/>
      <c r="J76" s="397"/>
      <c r="K76" s="394"/>
      <c r="L76" s="396"/>
      <c r="S76" s="393"/>
      <c r="T76" s="394"/>
      <c r="U76" s="394"/>
    </row>
    <row r="77" spans="2:21" x14ac:dyDescent="0.2">
      <c r="B77" s="426">
        <v>44927</v>
      </c>
      <c r="C77" s="394">
        <v>205.4</v>
      </c>
      <c r="D77" s="420">
        <f t="shared" si="2"/>
        <v>-1.1073663938372613E-2</v>
      </c>
      <c r="E77" s="394"/>
      <c r="F77" s="418">
        <v>17859.45</v>
      </c>
      <c r="G77" s="420">
        <f t="shared" si="3"/>
        <v>-1.3578896787128536E-2</v>
      </c>
      <c r="H77" s="397"/>
      <c r="I77" s="397"/>
      <c r="J77" s="397"/>
      <c r="K77" s="394"/>
      <c r="L77" s="396"/>
      <c r="S77" s="393"/>
      <c r="T77" s="394"/>
      <c r="U77" s="394"/>
    </row>
    <row r="78" spans="2:21" x14ac:dyDescent="0.2">
      <c r="B78" s="426">
        <v>44934</v>
      </c>
      <c r="C78" s="394">
        <v>206.45</v>
      </c>
      <c r="D78" s="420">
        <f t="shared" si="2"/>
        <v>5.1119766309639658E-3</v>
      </c>
      <c r="E78" s="394"/>
      <c r="F78" s="418">
        <v>17956.599999999999</v>
      </c>
      <c r="G78" s="420">
        <f t="shared" si="3"/>
        <v>5.4396971911228054E-3</v>
      </c>
      <c r="H78" s="397"/>
      <c r="I78" s="397"/>
      <c r="J78" s="397"/>
      <c r="K78" s="394"/>
      <c r="L78" s="396"/>
      <c r="S78" s="393"/>
      <c r="T78" s="394"/>
      <c r="U78" s="394"/>
    </row>
    <row r="79" spans="2:21" x14ac:dyDescent="0.2">
      <c r="B79" s="426">
        <v>44941</v>
      </c>
      <c r="C79" s="394">
        <v>207.2</v>
      </c>
      <c r="D79" s="420">
        <f t="shared" si="2"/>
        <v>3.6328408815693436E-3</v>
      </c>
      <c r="E79" s="394"/>
      <c r="F79" s="418">
        <v>18027.650000000001</v>
      </c>
      <c r="G79" s="420">
        <f t="shared" si="3"/>
        <v>3.9567624160476988E-3</v>
      </c>
      <c r="H79" s="397"/>
      <c r="I79" s="397"/>
      <c r="J79" s="397"/>
      <c r="K79" s="394"/>
      <c r="L79" s="396"/>
      <c r="S79" s="393"/>
      <c r="T79" s="394"/>
      <c r="U79" s="394"/>
    </row>
    <row r="80" spans="2:21" x14ac:dyDescent="0.2">
      <c r="B80" s="426">
        <v>44948</v>
      </c>
      <c r="C80" s="394">
        <v>202.35</v>
      </c>
      <c r="D80" s="420">
        <f t="shared" si="2"/>
        <v>-2.3407335907335902E-2</v>
      </c>
      <c r="E80" s="394"/>
      <c r="F80" s="418">
        <v>17604.349999999999</v>
      </c>
      <c r="G80" s="420">
        <f t="shared" si="3"/>
        <v>-2.3480597859399488E-2</v>
      </c>
      <c r="H80" s="397"/>
      <c r="I80" s="397"/>
      <c r="J80" s="397"/>
      <c r="K80" s="394"/>
      <c r="L80" s="396"/>
      <c r="S80" s="393"/>
      <c r="T80" s="394"/>
      <c r="U80" s="394"/>
    </row>
    <row r="81" spans="2:21" x14ac:dyDescent="0.2">
      <c r="B81" s="426">
        <v>44955</v>
      </c>
      <c r="C81" s="394">
        <v>205.3</v>
      </c>
      <c r="D81" s="420">
        <f t="shared" si="2"/>
        <v>1.45787002718063E-2</v>
      </c>
      <c r="E81" s="394"/>
      <c r="F81" s="418">
        <v>17854.05</v>
      </c>
      <c r="G81" s="420">
        <f t="shared" si="3"/>
        <v>1.4183994296864233E-2</v>
      </c>
      <c r="H81" s="397"/>
      <c r="I81" s="397"/>
      <c r="J81" s="397"/>
      <c r="K81" s="394"/>
      <c r="L81" s="396"/>
      <c r="S81" s="393"/>
      <c r="T81" s="394"/>
      <c r="U81" s="394"/>
    </row>
    <row r="82" spans="2:21" x14ac:dyDescent="0.2">
      <c r="B82" s="426">
        <v>44962</v>
      </c>
      <c r="C82" s="394">
        <v>204.8</v>
      </c>
      <c r="D82" s="420">
        <f t="shared" si="2"/>
        <v>-2.4354603019970389E-3</v>
      </c>
      <c r="E82" s="394"/>
      <c r="F82" s="418">
        <v>17856.5</v>
      </c>
      <c r="G82" s="420">
        <f t="shared" si="3"/>
        <v>1.372237671564136E-4</v>
      </c>
      <c r="H82" s="397"/>
      <c r="I82" s="397"/>
      <c r="J82" s="397"/>
      <c r="K82" s="394"/>
      <c r="L82" s="396"/>
      <c r="S82" s="393"/>
      <c r="T82" s="394"/>
      <c r="U82" s="394"/>
    </row>
    <row r="83" spans="2:21" x14ac:dyDescent="0.2">
      <c r="B83" s="426">
        <v>44969</v>
      </c>
      <c r="C83" s="394">
        <v>204.7</v>
      </c>
      <c r="D83" s="420">
        <f t="shared" si="2"/>
        <v>-4.8828125000011102E-4</v>
      </c>
      <c r="E83" s="394"/>
      <c r="F83" s="418">
        <v>17944.2</v>
      </c>
      <c r="G83" s="420">
        <f t="shared" si="3"/>
        <v>4.9113768095652155E-3</v>
      </c>
      <c r="H83" s="397"/>
      <c r="I83" s="397"/>
      <c r="J83" s="397"/>
      <c r="K83" s="394"/>
      <c r="L83" s="396"/>
      <c r="S83" s="393"/>
      <c r="T83" s="394"/>
      <c r="U83" s="394"/>
    </row>
    <row r="84" spans="2:21" x14ac:dyDescent="0.2">
      <c r="B84" s="426">
        <v>44976</v>
      </c>
      <c r="C84" s="394">
        <v>202.3</v>
      </c>
      <c r="D84" s="420">
        <f t="shared" si="2"/>
        <v>-1.1724474841230959E-2</v>
      </c>
      <c r="E84" s="394"/>
      <c r="F84" s="418">
        <v>17465.8</v>
      </c>
      <c r="G84" s="420">
        <f t="shared" si="3"/>
        <v>-2.6660425095574092E-2</v>
      </c>
      <c r="H84" s="397"/>
      <c r="I84" s="397"/>
      <c r="J84" s="397"/>
      <c r="K84" s="394"/>
      <c r="L84" s="396"/>
      <c r="S84" s="393"/>
      <c r="T84" s="394"/>
      <c r="U84" s="394"/>
    </row>
    <row r="85" spans="2:21" x14ac:dyDescent="0.2">
      <c r="B85" s="426">
        <v>44983</v>
      </c>
      <c r="C85" s="394">
        <v>207.75</v>
      </c>
      <c r="D85" s="420">
        <f t="shared" si="2"/>
        <v>2.6940187839841867E-2</v>
      </c>
      <c r="E85" s="394"/>
      <c r="F85" s="418">
        <v>17594.349999999999</v>
      </c>
      <c r="G85" s="420">
        <f t="shared" si="3"/>
        <v>7.360098020130712E-3</v>
      </c>
      <c r="H85" s="397"/>
      <c r="I85" s="397"/>
      <c r="J85" s="397"/>
      <c r="K85" s="394"/>
      <c r="L85" s="396"/>
      <c r="S85" s="393"/>
      <c r="T85" s="394"/>
      <c r="U85" s="394"/>
    </row>
    <row r="86" spans="2:21" x14ac:dyDescent="0.2">
      <c r="B86" s="426">
        <v>44990</v>
      </c>
      <c r="C86" s="394">
        <v>208.75</v>
      </c>
      <c r="D86" s="420">
        <f t="shared" si="2"/>
        <v>4.8134777376653837E-3</v>
      </c>
      <c r="E86" s="394"/>
      <c r="F86" s="418">
        <v>17412.900000000001</v>
      </c>
      <c r="G86" s="420">
        <f t="shared" si="3"/>
        <v>-1.0312969788596749E-2</v>
      </c>
      <c r="H86" s="397"/>
      <c r="I86" s="397"/>
      <c r="J86" s="397"/>
      <c r="K86" s="394"/>
      <c r="L86" s="396"/>
      <c r="S86" s="393"/>
      <c r="T86" s="394"/>
      <c r="U86" s="394"/>
    </row>
    <row r="87" spans="2:21" x14ac:dyDescent="0.2">
      <c r="B87" s="426">
        <v>44997</v>
      </c>
      <c r="C87" s="394">
        <v>205.15</v>
      </c>
      <c r="D87" s="420">
        <f t="shared" si="2"/>
        <v>-1.7245508982035918E-2</v>
      </c>
      <c r="E87" s="394"/>
      <c r="F87" s="418">
        <v>17100.05</v>
      </c>
      <c r="G87" s="420">
        <f t="shared" si="3"/>
        <v>-1.796656501788918E-2</v>
      </c>
      <c r="H87" s="397"/>
      <c r="I87" s="397"/>
      <c r="J87" s="397"/>
      <c r="K87" s="394"/>
      <c r="L87" s="396"/>
      <c r="S87" s="393"/>
      <c r="T87" s="394"/>
      <c r="U87" s="394"/>
    </row>
    <row r="88" spans="2:21" x14ac:dyDescent="0.2">
      <c r="B88" s="426">
        <v>45004</v>
      </c>
      <c r="C88" s="394">
        <v>192.75</v>
      </c>
      <c r="D88" s="420">
        <f t="shared" si="2"/>
        <v>-6.0443577869851328E-2</v>
      </c>
      <c r="E88" s="394"/>
      <c r="F88" s="418">
        <v>16945.05</v>
      </c>
      <c r="G88" s="420">
        <f t="shared" si="3"/>
        <v>-9.0643009815760678E-3</v>
      </c>
      <c r="H88" s="397"/>
      <c r="I88" s="397"/>
      <c r="J88" s="397"/>
      <c r="K88" s="394"/>
      <c r="L88" s="396"/>
      <c r="S88" s="393"/>
      <c r="T88" s="394"/>
      <c r="U88" s="394"/>
    </row>
    <row r="89" spans="2:21" x14ac:dyDescent="0.2">
      <c r="B89" s="426">
        <v>45011</v>
      </c>
      <c r="C89" s="394">
        <v>190.25</v>
      </c>
      <c r="D89" s="420">
        <f t="shared" si="2"/>
        <v>-1.2970168612191912E-2</v>
      </c>
      <c r="E89" s="394"/>
      <c r="F89" s="418">
        <v>17359.75</v>
      </c>
      <c r="G89" s="420">
        <f t="shared" si="3"/>
        <v>2.4473223743807226E-2</v>
      </c>
      <c r="H89" s="397"/>
      <c r="I89" s="397"/>
      <c r="J89" s="397"/>
      <c r="K89" s="394"/>
      <c r="L89" s="396"/>
      <c r="S89" s="393"/>
      <c r="T89" s="394"/>
      <c r="U89" s="394"/>
    </row>
    <row r="90" spans="2:21" x14ac:dyDescent="0.2">
      <c r="B90" s="426">
        <v>45018</v>
      </c>
      <c r="C90" s="394">
        <v>195.25</v>
      </c>
      <c r="D90" s="420">
        <f t="shared" si="2"/>
        <v>2.6281208935611033E-2</v>
      </c>
      <c r="E90" s="394"/>
      <c r="F90" s="418">
        <v>17599.150000000001</v>
      </c>
      <c r="G90" s="420">
        <f t="shared" si="3"/>
        <v>1.3790521176860304E-2</v>
      </c>
      <c r="H90" s="397"/>
      <c r="I90" s="397"/>
      <c r="J90" s="397"/>
      <c r="K90" s="394"/>
      <c r="L90" s="396"/>
      <c r="S90" s="393"/>
      <c r="T90" s="394"/>
      <c r="U90" s="394"/>
    </row>
    <row r="91" spans="2:21" x14ac:dyDescent="0.2">
      <c r="B91" s="426">
        <v>45025</v>
      </c>
      <c r="C91" s="394">
        <v>196.3</v>
      </c>
      <c r="D91" s="420">
        <f t="shared" si="2"/>
        <v>5.3777208706786706E-3</v>
      </c>
      <c r="E91" s="394"/>
      <c r="F91" s="418">
        <v>17828</v>
      </c>
      <c r="G91" s="420">
        <f t="shared" si="3"/>
        <v>1.3003468917532901E-2</v>
      </c>
      <c r="H91" s="397"/>
      <c r="I91" s="397"/>
      <c r="J91" s="397"/>
      <c r="K91" s="394"/>
      <c r="L91" s="396"/>
      <c r="S91" s="393"/>
      <c r="T91" s="394"/>
      <c r="U91" s="394"/>
    </row>
    <row r="92" spans="2:21" x14ac:dyDescent="0.2">
      <c r="B92" s="426">
        <v>45032</v>
      </c>
      <c r="C92" s="394">
        <v>195.7</v>
      </c>
      <c r="D92" s="420">
        <f t="shared" si="2"/>
        <v>-3.0565461029038454E-3</v>
      </c>
      <c r="E92" s="394"/>
      <c r="F92" s="418">
        <v>17624.05</v>
      </c>
      <c r="G92" s="420">
        <f t="shared" si="3"/>
        <v>-1.143986986762402E-2</v>
      </c>
      <c r="H92" s="397"/>
      <c r="I92" s="397"/>
      <c r="J92" s="397"/>
      <c r="K92" s="394"/>
      <c r="L92" s="396"/>
      <c r="S92" s="393"/>
      <c r="T92" s="394"/>
      <c r="U92" s="394"/>
    </row>
    <row r="93" spans="2:21" x14ac:dyDescent="0.2">
      <c r="B93" s="426">
        <v>45039</v>
      </c>
      <c r="C93" s="394">
        <v>201.1</v>
      </c>
      <c r="D93" s="420">
        <f t="shared" si="2"/>
        <v>2.7593254982115623E-2</v>
      </c>
      <c r="E93" s="394"/>
      <c r="F93" s="418">
        <v>18065</v>
      </c>
      <c r="G93" s="420">
        <f t="shared" si="3"/>
        <v>2.5019788300645995E-2</v>
      </c>
      <c r="H93" s="397"/>
      <c r="I93" s="397"/>
      <c r="J93" s="397"/>
      <c r="K93" s="394"/>
      <c r="L93" s="396"/>
      <c r="S93" s="393"/>
      <c r="T93" s="394"/>
      <c r="U93" s="394"/>
    </row>
    <row r="94" spans="2:21" x14ac:dyDescent="0.2">
      <c r="B94" s="426">
        <v>45046</v>
      </c>
      <c r="C94" s="394">
        <v>200.15</v>
      </c>
      <c r="D94" s="420">
        <f t="shared" si="2"/>
        <v>-4.7240179015414219E-3</v>
      </c>
      <c r="E94" s="394"/>
      <c r="F94" s="418">
        <v>18069</v>
      </c>
      <c r="G94" s="420">
        <f t="shared" si="3"/>
        <v>2.2142264046509652E-4</v>
      </c>
      <c r="H94" s="397"/>
      <c r="I94" s="397"/>
      <c r="J94" s="397"/>
      <c r="K94" s="394"/>
      <c r="L94" s="396"/>
      <c r="S94" s="393"/>
      <c r="T94" s="394"/>
      <c r="U94" s="394"/>
    </row>
    <row r="95" spans="2:21" x14ac:dyDescent="0.2">
      <c r="B95" s="426">
        <v>45053</v>
      </c>
      <c r="C95" s="394">
        <v>207.05</v>
      </c>
      <c r="D95" s="420">
        <f t="shared" si="2"/>
        <v>3.4474144391706263E-2</v>
      </c>
      <c r="E95" s="394"/>
      <c r="F95" s="418">
        <v>18314.8</v>
      </c>
      <c r="G95" s="420">
        <f t="shared" si="3"/>
        <v>1.3603409153799317E-2</v>
      </c>
      <c r="H95" s="397"/>
      <c r="I95" s="397"/>
      <c r="J95" s="397"/>
      <c r="K95" s="394"/>
      <c r="L95" s="396"/>
      <c r="S95" s="393"/>
      <c r="T95" s="394"/>
      <c r="U95" s="394"/>
    </row>
    <row r="96" spans="2:21" x14ac:dyDescent="0.2">
      <c r="B96" s="426">
        <v>45060</v>
      </c>
      <c r="C96" s="394">
        <v>205.85</v>
      </c>
      <c r="D96" s="420">
        <f t="shared" si="2"/>
        <v>-5.7957015213717655E-3</v>
      </c>
      <c r="E96" s="394"/>
      <c r="F96" s="418">
        <v>18203.400000000001</v>
      </c>
      <c r="G96" s="420">
        <f t="shared" si="3"/>
        <v>-6.0825125035489647E-3</v>
      </c>
      <c r="H96" s="397"/>
      <c r="I96" s="397"/>
      <c r="J96" s="397"/>
      <c r="K96" s="394"/>
      <c r="L96" s="396"/>
      <c r="S96" s="393"/>
      <c r="T96" s="394"/>
      <c r="U96" s="394"/>
    </row>
    <row r="97" spans="2:21" x14ac:dyDescent="0.2">
      <c r="B97" s="426">
        <v>45067</v>
      </c>
      <c r="C97" s="394">
        <v>212.2</v>
      </c>
      <c r="D97" s="420">
        <f t="shared" si="2"/>
        <v>3.0847704639300533E-2</v>
      </c>
      <c r="E97" s="394"/>
      <c r="F97" s="418">
        <v>18499.349999999999</v>
      </c>
      <c r="G97" s="420">
        <f t="shared" si="3"/>
        <v>1.6257951811200044E-2</v>
      </c>
      <c r="H97" s="397"/>
      <c r="I97" s="397"/>
      <c r="J97" s="397"/>
      <c r="K97" s="394"/>
      <c r="L97" s="396"/>
      <c r="S97" s="393"/>
      <c r="T97" s="394"/>
      <c r="U97" s="394"/>
    </row>
    <row r="98" spans="2:21" x14ac:dyDescent="0.2">
      <c r="B98" s="426">
        <v>45074</v>
      </c>
      <c r="C98" s="394">
        <v>215.65</v>
      </c>
      <c r="D98" s="420">
        <f t="shared" si="2"/>
        <v>1.6258246936852183E-2</v>
      </c>
      <c r="E98" s="394"/>
      <c r="F98" s="418">
        <v>18534.099999999999</v>
      </c>
      <c r="G98" s="420">
        <f t="shared" si="3"/>
        <v>1.8784443777755122E-3</v>
      </c>
      <c r="H98" s="397"/>
      <c r="I98" s="397"/>
      <c r="J98" s="397"/>
      <c r="K98" s="394"/>
      <c r="L98" s="396"/>
      <c r="S98" s="393"/>
      <c r="T98" s="394"/>
      <c r="U98" s="394"/>
    </row>
    <row r="99" spans="2:21" x14ac:dyDescent="0.2">
      <c r="B99" s="426">
        <v>45081</v>
      </c>
      <c r="C99" s="394">
        <v>221.2</v>
      </c>
      <c r="D99" s="420">
        <f t="shared" si="2"/>
        <v>2.5736146533735127E-2</v>
      </c>
      <c r="E99" s="394"/>
      <c r="F99" s="418">
        <v>18563.400000000001</v>
      </c>
      <c r="G99" s="420">
        <f t="shared" si="3"/>
        <v>1.5808698561032841E-3</v>
      </c>
      <c r="H99" s="397"/>
      <c r="I99" s="397"/>
      <c r="J99" s="397"/>
      <c r="K99" s="394"/>
      <c r="L99" s="396"/>
      <c r="S99" s="393"/>
      <c r="T99" s="394"/>
      <c r="U99" s="394"/>
    </row>
    <row r="100" spans="2:21" x14ac:dyDescent="0.2">
      <c r="B100" s="426">
        <v>45088</v>
      </c>
      <c r="C100" s="394">
        <v>222.25</v>
      </c>
      <c r="D100" s="420">
        <f t="shared" si="2"/>
        <v>4.746835443038E-3</v>
      </c>
      <c r="E100" s="394"/>
      <c r="F100" s="418">
        <v>18826</v>
      </c>
      <c r="G100" s="420">
        <f t="shared" si="3"/>
        <v>1.4146115474535925E-2</v>
      </c>
      <c r="H100" s="397"/>
      <c r="I100" s="397"/>
      <c r="J100" s="397"/>
      <c r="K100" s="394"/>
      <c r="L100" s="396"/>
      <c r="S100" s="393"/>
      <c r="T100" s="394"/>
      <c r="U100" s="394"/>
    </row>
    <row r="101" spans="2:21" x14ac:dyDescent="0.2">
      <c r="B101" s="426">
        <v>45095</v>
      </c>
      <c r="C101" s="394">
        <v>218.3</v>
      </c>
      <c r="D101" s="420">
        <f t="shared" si="2"/>
        <v>-1.777277840269964E-2</v>
      </c>
      <c r="E101" s="394"/>
      <c r="F101" s="418">
        <v>18665.5</v>
      </c>
      <c r="G101" s="420">
        <f t="shared" si="3"/>
        <v>-8.5254435355359703E-3</v>
      </c>
      <c r="H101" s="397"/>
      <c r="I101" s="397"/>
      <c r="J101" s="397"/>
      <c r="K101" s="394"/>
      <c r="L101" s="396"/>
      <c r="S101" s="393"/>
      <c r="T101" s="394"/>
      <c r="U101" s="394"/>
    </row>
    <row r="102" spans="2:21" x14ac:dyDescent="0.2">
      <c r="B102" s="426">
        <v>45102</v>
      </c>
      <c r="C102" s="394">
        <v>221.85</v>
      </c>
      <c r="D102" s="420">
        <f t="shared" si="2"/>
        <v>1.6262024736600988E-2</v>
      </c>
      <c r="E102" s="394"/>
      <c r="F102" s="418">
        <v>19189.05</v>
      </c>
      <c r="G102" s="420">
        <f t="shared" si="3"/>
        <v>2.8049074495727355E-2</v>
      </c>
      <c r="H102" s="397"/>
      <c r="I102" s="397"/>
      <c r="J102" s="397"/>
      <c r="K102" s="394"/>
      <c r="L102" s="396"/>
      <c r="S102" s="393"/>
      <c r="T102" s="394"/>
      <c r="U102" s="394"/>
    </row>
    <row r="103" spans="2:21" x14ac:dyDescent="0.2">
      <c r="B103" s="426">
        <v>45109</v>
      </c>
      <c r="C103" s="394">
        <v>228</v>
      </c>
      <c r="D103" s="420">
        <f t="shared" si="2"/>
        <v>2.7721433400946571E-2</v>
      </c>
      <c r="E103" s="394"/>
      <c r="F103" s="418">
        <v>19331.8</v>
      </c>
      <c r="G103" s="420">
        <f t="shared" si="3"/>
        <v>7.4391384669902916E-3</v>
      </c>
      <c r="H103" s="397"/>
      <c r="I103" s="397"/>
      <c r="J103" s="397"/>
      <c r="K103" s="394"/>
      <c r="L103" s="396"/>
      <c r="S103" s="393"/>
      <c r="T103" s="394"/>
      <c r="U103" s="394"/>
    </row>
    <row r="104" spans="2:21" x14ac:dyDescent="0.2">
      <c r="B104" s="426">
        <v>45116</v>
      </c>
      <c r="C104" s="394">
        <v>221.05</v>
      </c>
      <c r="D104" s="420">
        <f t="shared" si="2"/>
        <v>-3.0482456140350833E-2</v>
      </c>
      <c r="E104" s="394"/>
      <c r="F104" s="418">
        <v>19564.5</v>
      </c>
      <c r="G104" s="420">
        <f t="shared" si="3"/>
        <v>1.2037161567986399E-2</v>
      </c>
      <c r="H104" s="397"/>
      <c r="I104" s="397"/>
      <c r="J104" s="397"/>
      <c r="K104" s="394"/>
      <c r="L104" s="396"/>
      <c r="S104" s="393"/>
      <c r="T104" s="394"/>
      <c r="U104" s="394"/>
    </row>
    <row r="105" spans="2:21" x14ac:dyDescent="0.2">
      <c r="B105" s="426">
        <v>45123</v>
      </c>
      <c r="C105" s="394">
        <v>217.4</v>
      </c>
      <c r="D105" s="420">
        <f t="shared" si="2"/>
        <v>-1.6512101334539731E-2</v>
      </c>
      <c r="E105" s="394"/>
      <c r="F105" s="418">
        <v>19745</v>
      </c>
      <c r="G105" s="420">
        <f t="shared" si="3"/>
        <v>9.225893838329613E-3</v>
      </c>
      <c r="H105" s="397"/>
      <c r="I105" s="397"/>
      <c r="J105" s="397"/>
      <c r="K105" s="394"/>
      <c r="L105" s="396"/>
      <c r="S105" s="393"/>
      <c r="T105" s="394"/>
      <c r="U105" s="394"/>
    </row>
    <row r="106" spans="2:21" x14ac:dyDescent="0.2">
      <c r="B106" s="426">
        <v>45130</v>
      </c>
      <c r="C106" s="394">
        <v>234.65</v>
      </c>
      <c r="D106" s="420">
        <f t="shared" si="2"/>
        <v>7.9346826126954983E-2</v>
      </c>
      <c r="E106" s="394"/>
      <c r="F106" s="418">
        <v>19646.05</v>
      </c>
      <c r="G106" s="420">
        <f t="shared" si="3"/>
        <v>-5.0113952899468739E-3</v>
      </c>
      <c r="H106" s="397"/>
      <c r="I106" s="397"/>
      <c r="J106" s="397"/>
      <c r="K106" s="394"/>
      <c r="L106" s="396"/>
      <c r="S106" s="393"/>
      <c r="T106" s="394"/>
      <c r="U106" s="394"/>
    </row>
    <row r="107" spans="2:21" x14ac:dyDescent="0.2">
      <c r="B107" s="426">
        <v>45137</v>
      </c>
      <c r="C107" s="394">
        <v>235.65</v>
      </c>
      <c r="D107" s="420">
        <f t="shared" si="2"/>
        <v>4.2616663115278008E-3</v>
      </c>
      <c r="E107" s="394"/>
      <c r="F107" s="418">
        <v>19517</v>
      </c>
      <c r="G107" s="420">
        <f t="shared" si="3"/>
        <v>-6.568750461288575E-3</v>
      </c>
      <c r="H107" s="397"/>
      <c r="I107" s="397"/>
      <c r="J107" s="397"/>
      <c r="K107" s="394"/>
      <c r="L107" s="396"/>
      <c r="S107" s="393"/>
      <c r="T107" s="394"/>
      <c r="U107" s="394"/>
    </row>
    <row r="108" spans="2:21" x14ac:dyDescent="0.2">
      <c r="B108" s="426">
        <v>45144</v>
      </c>
      <c r="C108" s="394">
        <v>236.2</v>
      </c>
      <c r="D108" s="420">
        <f t="shared" si="2"/>
        <v>2.3339698705706624E-3</v>
      </c>
      <c r="E108" s="394"/>
      <c r="F108" s="418">
        <v>19428.3</v>
      </c>
      <c r="G108" s="420">
        <f t="shared" si="3"/>
        <v>-4.5447558538710409E-3</v>
      </c>
      <c r="H108" s="397"/>
      <c r="I108" s="397"/>
      <c r="J108" s="397"/>
      <c r="K108" s="394"/>
      <c r="L108" s="396"/>
      <c r="S108" s="393"/>
      <c r="T108" s="394"/>
      <c r="U108" s="394"/>
    </row>
    <row r="109" spans="2:21" x14ac:dyDescent="0.2">
      <c r="B109" s="426">
        <v>45151</v>
      </c>
      <c r="C109" s="394">
        <v>230.1</v>
      </c>
      <c r="D109" s="420">
        <f t="shared" si="2"/>
        <v>-2.5825571549534243E-2</v>
      </c>
      <c r="E109" s="394"/>
      <c r="F109" s="418">
        <v>19310.150000000001</v>
      </c>
      <c r="G109" s="420">
        <f t="shared" si="3"/>
        <v>-6.0813349598265454E-3</v>
      </c>
      <c r="H109" s="397"/>
      <c r="I109" s="397"/>
      <c r="J109" s="397"/>
      <c r="K109" s="394"/>
      <c r="L109" s="396"/>
      <c r="S109" s="393"/>
      <c r="T109" s="394"/>
      <c r="U109" s="394"/>
    </row>
    <row r="110" spans="2:21" x14ac:dyDescent="0.2">
      <c r="B110" s="426">
        <v>45158</v>
      </c>
      <c r="C110" s="394">
        <v>245.6</v>
      </c>
      <c r="D110" s="420">
        <f t="shared" si="2"/>
        <v>6.7362016514558976E-2</v>
      </c>
      <c r="E110" s="394"/>
      <c r="F110" s="418">
        <v>19265.8</v>
      </c>
      <c r="G110" s="420">
        <f t="shared" si="3"/>
        <v>-2.2967196008317758E-3</v>
      </c>
      <c r="H110" s="397"/>
      <c r="I110" s="397"/>
      <c r="J110" s="397"/>
      <c r="K110" s="394"/>
      <c r="L110" s="396"/>
      <c r="S110" s="393"/>
      <c r="T110" s="394"/>
      <c r="U110" s="394"/>
    </row>
    <row r="111" spans="2:21" x14ac:dyDescent="0.2">
      <c r="B111" s="426">
        <v>45165</v>
      </c>
      <c r="C111" s="394">
        <v>255.35</v>
      </c>
      <c r="D111" s="420">
        <f t="shared" si="2"/>
        <v>3.9698697068403899E-2</v>
      </c>
      <c r="E111" s="394"/>
      <c r="F111" s="418">
        <v>19435.3</v>
      </c>
      <c r="G111" s="420">
        <f t="shared" si="3"/>
        <v>8.7979736112697715E-3</v>
      </c>
      <c r="H111" s="397"/>
      <c r="I111" s="397"/>
      <c r="J111" s="397"/>
      <c r="K111" s="394"/>
      <c r="L111" s="396"/>
      <c r="S111" s="393"/>
      <c r="T111" s="394"/>
      <c r="U111" s="394"/>
    </row>
    <row r="112" spans="2:21" x14ac:dyDescent="0.2">
      <c r="B112" s="426">
        <v>45172</v>
      </c>
      <c r="C112" s="394">
        <v>268.85000000000002</v>
      </c>
      <c r="D112" s="420">
        <f t="shared" si="2"/>
        <v>5.2868611709418589E-2</v>
      </c>
      <c r="E112" s="394"/>
      <c r="F112" s="418">
        <v>19819.95</v>
      </c>
      <c r="G112" s="420">
        <f t="shared" si="3"/>
        <v>1.9791307569216876E-2</v>
      </c>
      <c r="H112" s="397"/>
      <c r="I112" s="397"/>
      <c r="J112" s="397"/>
      <c r="K112" s="394"/>
      <c r="L112" s="396"/>
      <c r="S112" s="393"/>
      <c r="T112" s="394"/>
      <c r="U112" s="394"/>
    </row>
    <row r="113" spans="2:21" x14ac:dyDescent="0.2">
      <c r="B113" s="426">
        <v>45179</v>
      </c>
      <c r="C113" s="394">
        <v>263.95</v>
      </c>
      <c r="D113" s="420">
        <f t="shared" si="2"/>
        <v>-1.8225776455272569E-2</v>
      </c>
      <c r="E113" s="394"/>
      <c r="F113" s="418">
        <v>20192.349999999999</v>
      </c>
      <c r="G113" s="420">
        <f t="shared" si="3"/>
        <v>1.8789149316723597E-2</v>
      </c>
      <c r="H113" s="397"/>
      <c r="I113" s="397"/>
      <c r="J113" s="397"/>
      <c r="K113" s="394"/>
      <c r="L113" s="396"/>
      <c r="S113" s="393"/>
      <c r="T113" s="394"/>
      <c r="U113" s="394"/>
    </row>
    <row r="114" spans="2:21" x14ac:dyDescent="0.2">
      <c r="B114" s="426">
        <v>45186</v>
      </c>
      <c r="C114" s="394">
        <v>257.10000000000002</v>
      </c>
      <c r="D114" s="420">
        <f t="shared" si="2"/>
        <v>-2.5951884826671545E-2</v>
      </c>
      <c r="E114" s="394"/>
      <c r="F114" s="418">
        <v>19674.25</v>
      </c>
      <c r="G114" s="420">
        <f t="shared" si="3"/>
        <v>-2.5658231954180599E-2</v>
      </c>
      <c r="H114" s="397"/>
      <c r="I114" s="397"/>
      <c r="J114" s="397"/>
      <c r="K114" s="394"/>
      <c r="L114" s="396"/>
      <c r="S114" s="393"/>
      <c r="T114" s="394"/>
      <c r="U114" s="394"/>
    </row>
    <row r="115" spans="2:21" x14ac:dyDescent="0.2">
      <c r="B115" s="426">
        <v>45193</v>
      </c>
      <c r="C115" s="394">
        <v>262.3</v>
      </c>
      <c r="D115" s="420">
        <f t="shared" si="2"/>
        <v>2.0225593154414634E-2</v>
      </c>
      <c r="E115" s="394"/>
      <c r="F115" s="418">
        <v>19638.3</v>
      </c>
      <c r="G115" s="420">
        <f t="shared" si="3"/>
        <v>-1.8272615220402688E-3</v>
      </c>
      <c r="H115" s="397"/>
      <c r="I115" s="397"/>
      <c r="J115" s="397"/>
      <c r="K115" s="394"/>
      <c r="L115" s="396"/>
      <c r="S115" s="393"/>
      <c r="T115" s="394"/>
      <c r="U115" s="394"/>
    </row>
    <row r="116" spans="2:21" x14ac:dyDescent="0.2">
      <c r="B116" s="426">
        <v>45200</v>
      </c>
      <c r="C116" s="394">
        <v>258.75</v>
      </c>
      <c r="D116" s="420">
        <f t="shared" si="2"/>
        <v>-1.3534121235226904E-2</v>
      </c>
      <c r="E116" s="394"/>
      <c r="F116" s="418">
        <v>19653.5</v>
      </c>
      <c r="G116" s="420">
        <f t="shared" si="3"/>
        <v>7.7399774929598486E-4</v>
      </c>
      <c r="H116" s="397"/>
      <c r="I116" s="397"/>
      <c r="J116" s="397"/>
      <c r="K116" s="394"/>
      <c r="L116" s="396"/>
      <c r="S116" s="393"/>
      <c r="T116" s="394"/>
      <c r="U116" s="394"/>
    </row>
    <row r="117" spans="2:21" x14ac:dyDescent="0.2">
      <c r="B117" s="426">
        <v>45207</v>
      </c>
      <c r="C117" s="394">
        <v>254.1</v>
      </c>
      <c r="D117" s="420">
        <f t="shared" si="2"/>
        <v>-1.7971014492753623E-2</v>
      </c>
      <c r="E117" s="394"/>
      <c r="F117" s="418">
        <v>19751.05</v>
      </c>
      <c r="G117" s="420">
        <f t="shared" si="3"/>
        <v>4.9634925076957881E-3</v>
      </c>
      <c r="H117" s="397"/>
      <c r="I117" s="397"/>
      <c r="J117" s="397"/>
      <c r="K117" s="394"/>
      <c r="L117" s="396"/>
      <c r="S117" s="393"/>
      <c r="T117" s="394"/>
      <c r="U117" s="394"/>
    </row>
    <row r="118" spans="2:21" x14ac:dyDescent="0.2">
      <c r="B118" s="426">
        <v>45214</v>
      </c>
      <c r="C118" s="394">
        <v>247.4</v>
      </c>
      <c r="D118" s="420">
        <f t="shared" si="2"/>
        <v>-2.6367571822117242E-2</v>
      </c>
      <c r="E118" s="394"/>
      <c r="F118" s="418">
        <v>19542.650000000001</v>
      </c>
      <c r="G118" s="420">
        <f t="shared" si="3"/>
        <v>-1.0551337776978809E-2</v>
      </c>
      <c r="H118" s="397"/>
      <c r="I118" s="397"/>
      <c r="J118" s="397"/>
      <c r="K118" s="394"/>
      <c r="L118" s="396"/>
      <c r="S118" s="393"/>
      <c r="T118" s="394"/>
      <c r="U118" s="394"/>
    </row>
    <row r="119" spans="2:21" x14ac:dyDescent="0.2">
      <c r="B119" s="426">
        <v>45221</v>
      </c>
      <c r="C119" s="394">
        <v>238.15</v>
      </c>
      <c r="D119" s="420">
        <f t="shared" si="2"/>
        <v>-3.7388843977364639E-2</v>
      </c>
      <c r="E119" s="394"/>
      <c r="F119" s="418">
        <v>19047.25</v>
      </c>
      <c r="G119" s="420">
        <f t="shared" si="3"/>
        <v>-2.5349683896503383E-2</v>
      </c>
      <c r="H119" s="397"/>
      <c r="I119" s="397"/>
      <c r="J119" s="397"/>
      <c r="K119" s="394"/>
      <c r="L119" s="396"/>
      <c r="S119" s="393"/>
      <c r="T119" s="394"/>
      <c r="U119" s="394"/>
    </row>
    <row r="120" spans="2:21" x14ac:dyDescent="0.2">
      <c r="B120" s="426">
        <v>45228</v>
      </c>
      <c r="C120" s="394">
        <v>244.6</v>
      </c>
      <c r="D120" s="420">
        <f t="shared" si="2"/>
        <v>2.7083770732731383E-2</v>
      </c>
      <c r="E120" s="394"/>
      <c r="F120" s="418">
        <v>19230.599999999999</v>
      </c>
      <c r="G120" s="420">
        <f t="shared" si="3"/>
        <v>9.6260615049414966E-3</v>
      </c>
      <c r="H120" s="397"/>
      <c r="I120" s="397"/>
      <c r="J120" s="397"/>
      <c r="K120" s="394"/>
      <c r="L120" s="396"/>
      <c r="S120" s="393"/>
      <c r="T120" s="394"/>
      <c r="U120" s="394"/>
    </row>
    <row r="121" spans="2:21" x14ac:dyDescent="0.2">
      <c r="B121" s="426">
        <v>45235</v>
      </c>
      <c r="C121" s="394">
        <v>251.4</v>
      </c>
      <c r="D121" s="420">
        <f t="shared" si="2"/>
        <v>2.7800490596892935E-2</v>
      </c>
      <c r="E121" s="394"/>
      <c r="F121" s="418">
        <v>19425.349999999999</v>
      </c>
      <c r="G121" s="420">
        <f t="shared" si="3"/>
        <v>1.0127089118384225E-2</v>
      </c>
      <c r="H121" s="397"/>
      <c r="I121" s="397"/>
      <c r="J121" s="397"/>
      <c r="K121" s="394"/>
      <c r="L121" s="396"/>
      <c r="S121" s="393"/>
      <c r="T121" s="394"/>
      <c r="U121" s="394"/>
    </row>
    <row r="122" spans="2:21" x14ac:dyDescent="0.2">
      <c r="B122" s="426">
        <v>45242</v>
      </c>
      <c r="C122" s="394">
        <v>262.64999999999998</v>
      </c>
      <c r="D122" s="420">
        <f t="shared" si="2"/>
        <v>4.474940334128874E-2</v>
      </c>
      <c r="E122" s="394"/>
      <c r="F122" s="418">
        <v>19731.8</v>
      </c>
      <c r="G122" s="420">
        <f t="shared" si="3"/>
        <v>1.5775777527818002E-2</v>
      </c>
      <c r="H122" s="397"/>
      <c r="I122" s="397"/>
      <c r="J122" s="397"/>
      <c r="K122" s="394"/>
      <c r="L122" s="396"/>
      <c r="S122" s="393"/>
      <c r="T122" s="394"/>
      <c r="U122" s="394"/>
    </row>
    <row r="123" spans="2:21" x14ac:dyDescent="0.2">
      <c r="B123" s="426">
        <v>45249</v>
      </c>
      <c r="C123" s="394">
        <v>258.14999999999998</v>
      </c>
      <c r="D123" s="420">
        <f t="shared" si="2"/>
        <v>-1.7133066818960541E-2</v>
      </c>
      <c r="E123" s="394"/>
      <c r="F123" s="418">
        <v>19794.7</v>
      </c>
      <c r="G123" s="420">
        <f t="shared" si="3"/>
        <v>3.1877476966115648E-3</v>
      </c>
      <c r="H123" s="397"/>
      <c r="I123" s="397"/>
      <c r="J123" s="397"/>
      <c r="K123" s="394"/>
      <c r="L123" s="396"/>
      <c r="S123" s="393"/>
      <c r="T123" s="394"/>
      <c r="U123" s="394"/>
    </row>
    <row r="124" spans="2:21" x14ac:dyDescent="0.2">
      <c r="B124" s="426">
        <v>45256</v>
      </c>
      <c r="C124" s="394">
        <v>276</v>
      </c>
      <c r="D124" s="420">
        <f t="shared" si="2"/>
        <v>6.9145845438698617E-2</v>
      </c>
      <c r="E124" s="394"/>
      <c r="F124" s="418">
        <v>20267.900000000001</v>
      </c>
      <c r="G124" s="420">
        <f t="shared" si="3"/>
        <v>2.3905388816198414E-2</v>
      </c>
      <c r="H124" s="397"/>
      <c r="I124" s="397"/>
      <c r="J124" s="397"/>
      <c r="K124" s="394"/>
      <c r="L124" s="396"/>
      <c r="S124" s="393"/>
      <c r="T124" s="394"/>
      <c r="U124" s="394"/>
    </row>
    <row r="125" spans="2:21" x14ac:dyDescent="0.2">
      <c r="B125" s="426">
        <v>45263</v>
      </c>
      <c r="C125" s="394">
        <v>323.55</v>
      </c>
      <c r="D125" s="420">
        <f t="shared" si="2"/>
        <v>0.17228260869565215</v>
      </c>
      <c r="E125" s="394"/>
      <c r="F125" s="418">
        <v>20969.400000000001</v>
      </c>
      <c r="G125" s="420">
        <f t="shared" si="3"/>
        <v>3.4611380557433069E-2</v>
      </c>
      <c r="H125" s="397"/>
      <c r="I125" s="397"/>
      <c r="J125" s="397"/>
      <c r="K125" s="394"/>
      <c r="L125" s="396"/>
      <c r="S125" s="393"/>
      <c r="T125" s="394"/>
      <c r="U125" s="394"/>
    </row>
    <row r="126" spans="2:21" x14ac:dyDescent="0.2">
      <c r="B126" s="426">
        <v>45270</v>
      </c>
      <c r="C126" s="394">
        <v>333.2</v>
      </c>
      <c r="D126" s="420">
        <f t="shared" si="2"/>
        <v>2.9825374748879474E-2</v>
      </c>
      <c r="E126" s="394"/>
      <c r="F126" s="418">
        <v>21456.65</v>
      </c>
      <c r="G126" s="420">
        <f t="shared" si="3"/>
        <v>2.3236239472755438E-2</v>
      </c>
      <c r="H126" s="397"/>
      <c r="I126" s="397"/>
      <c r="J126" s="397"/>
      <c r="K126" s="394"/>
      <c r="L126" s="396"/>
      <c r="S126" s="393"/>
      <c r="T126" s="394"/>
      <c r="U126" s="394"/>
    </row>
    <row r="127" spans="2:21" x14ac:dyDescent="0.2">
      <c r="B127" s="426">
        <v>45277</v>
      </c>
      <c r="C127" s="394">
        <v>326.64999999999998</v>
      </c>
      <c r="D127" s="420">
        <f t="shared" si="2"/>
        <v>-1.9657863145258192E-2</v>
      </c>
      <c r="E127" s="394"/>
      <c r="F127" s="418">
        <v>21349.4</v>
      </c>
      <c r="G127" s="420">
        <f t="shared" si="3"/>
        <v>-4.9984503638732525E-3</v>
      </c>
      <c r="H127" s="397"/>
      <c r="I127" s="397"/>
      <c r="J127" s="397"/>
      <c r="K127" s="394"/>
      <c r="L127" s="396"/>
      <c r="S127" s="393"/>
      <c r="T127" s="394"/>
      <c r="U127" s="394"/>
    </row>
    <row r="128" spans="2:21" x14ac:dyDescent="0.2">
      <c r="B128" s="426">
        <v>45284</v>
      </c>
      <c r="C128" s="394">
        <v>332.15</v>
      </c>
      <c r="D128" s="420">
        <f t="shared" si="2"/>
        <v>1.6837593754783331E-2</v>
      </c>
      <c r="E128" s="394"/>
      <c r="F128" s="418">
        <v>21731.4</v>
      </c>
      <c r="G128" s="420">
        <f t="shared" si="3"/>
        <v>1.7892774504201459E-2</v>
      </c>
      <c r="H128" s="397"/>
      <c r="I128" s="397"/>
      <c r="J128" s="397"/>
      <c r="K128" s="394"/>
      <c r="L128" s="396"/>
      <c r="S128" s="393"/>
      <c r="T128" s="394"/>
      <c r="U128" s="394"/>
    </row>
    <row r="129" spans="2:21" x14ac:dyDescent="0.2">
      <c r="B129" s="426">
        <v>45291</v>
      </c>
      <c r="C129" s="394">
        <v>340.75</v>
      </c>
      <c r="D129" s="420">
        <f t="shared" si="2"/>
        <v>2.589191630287524E-2</v>
      </c>
      <c r="E129" s="394"/>
      <c r="F129" s="418">
        <v>21710.799999999999</v>
      </c>
      <c r="G129" s="420">
        <f t="shared" si="3"/>
        <v>-9.479370864280412E-4</v>
      </c>
      <c r="H129" s="397"/>
      <c r="I129" s="397"/>
      <c r="J129" s="397"/>
      <c r="K129" s="394"/>
      <c r="L129" s="396"/>
      <c r="S129" s="393"/>
      <c r="T129" s="394"/>
      <c r="U129" s="394"/>
    </row>
    <row r="130" spans="2:21" x14ac:dyDescent="0.2">
      <c r="B130" s="426">
        <v>45298</v>
      </c>
      <c r="C130" s="394">
        <v>357.75</v>
      </c>
      <c r="D130" s="420">
        <f t="shared" si="2"/>
        <v>4.9889948642700022E-2</v>
      </c>
      <c r="E130" s="394"/>
      <c r="F130" s="418">
        <v>21894.55</v>
      </c>
      <c r="G130" s="420">
        <f t="shared" si="3"/>
        <v>8.4635296718684749E-3</v>
      </c>
      <c r="H130" s="397"/>
      <c r="I130" s="397"/>
      <c r="J130" s="397"/>
      <c r="K130" s="394"/>
      <c r="L130" s="396"/>
      <c r="S130" s="393"/>
      <c r="T130" s="394"/>
      <c r="U130" s="394"/>
    </row>
    <row r="131" spans="2:21" x14ac:dyDescent="0.2">
      <c r="B131" s="426">
        <v>45305</v>
      </c>
      <c r="C131" s="394">
        <v>348.65</v>
      </c>
      <c r="D131" s="420">
        <f t="shared" si="2"/>
        <v>-2.5436757512229291E-2</v>
      </c>
      <c r="E131" s="394"/>
      <c r="F131" s="418">
        <v>21622.400000000001</v>
      </c>
      <c r="G131" s="420">
        <f t="shared" si="3"/>
        <v>-1.2430033958222397E-2</v>
      </c>
      <c r="H131" s="397"/>
      <c r="I131" s="397"/>
      <c r="J131" s="397"/>
      <c r="K131" s="394"/>
      <c r="L131" s="396"/>
      <c r="S131" s="393"/>
      <c r="T131" s="394"/>
      <c r="U131" s="394"/>
    </row>
    <row r="132" spans="2:21" x14ac:dyDescent="0.2">
      <c r="B132" s="426">
        <v>45312</v>
      </c>
      <c r="C132" s="394">
        <v>365.1</v>
      </c>
      <c r="D132" s="420">
        <f t="shared" si="2"/>
        <v>4.7181987666714553E-2</v>
      </c>
      <c r="E132" s="394"/>
      <c r="F132" s="418">
        <v>21352.6</v>
      </c>
      <c r="G132" s="420">
        <f t="shared" si="3"/>
        <v>-1.2477800799171379E-2</v>
      </c>
      <c r="H132" s="397"/>
      <c r="I132" s="397"/>
      <c r="J132" s="397"/>
      <c r="K132" s="394"/>
      <c r="L132" s="396"/>
      <c r="S132" s="393"/>
      <c r="T132" s="394"/>
      <c r="U132" s="394"/>
    </row>
    <row r="133" spans="2:21" x14ac:dyDescent="0.2">
      <c r="B133" s="426">
        <v>45319</v>
      </c>
      <c r="C133" s="394">
        <v>389.8</v>
      </c>
      <c r="D133" s="420">
        <f t="shared" si="2"/>
        <v>6.7652697890988822E-2</v>
      </c>
      <c r="E133" s="394"/>
      <c r="F133" s="418">
        <v>21853.8</v>
      </c>
      <c r="G133" s="420">
        <f t="shared" si="3"/>
        <v>2.3472551352060167E-2</v>
      </c>
      <c r="H133" s="397"/>
      <c r="I133" s="397"/>
      <c r="J133" s="397"/>
      <c r="K133" s="394"/>
      <c r="L133" s="396"/>
      <c r="S133" s="393"/>
      <c r="T133" s="394"/>
      <c r="U133" s="394"/>
    </row>
    <row r="134" spans="2:21" x14ac:dyDescent="0.2">
      <c r="B134" s="426">
        <v>45326</v>
      </c>
      <c r="C134" s="394">
        <v>392.1</v>
      </c>
      <c r="D134" s="420">
        <f t="shared" si="2"/>
        <v>5.9004617752693722E-3</v>
      </c>
      <c r="E134" s="394"/>
      <c r="F134" s="418">
        <v>21782.5</v>
      </c>
      <c r="G134" s="420">
        <f t="shared" si="3"/>
        <v>-3.2625904876955047E-3</v>
      </c>
      <c r="H134" s="397"/>
      <c r="I134" s="397"/>
      <c r="J134" s="397"/>
      <c r="K134" s="394"/>
      <c r="L134" s="396"/>
      <c r="S134" s="393"/>
      <c r="T134" s="394"/>
      <c r="U134" s="394"/>
    </row>
    <row r="135" spans="2:21" x14ac:dyDescent="0.2">
      <c r="B135" s="426">
        <v>45333</v>
      </c>
      <c r="C135" s="394">
        <v>376.3</v>
      </c>
      <c r="D135" s="420">
        <f t="shared" si="2"/>
        <v>-4.0295842897220102E-2</v>
      </c>
      <c r="E135" s="394"/>
      <c r="F135" s="418">
        <v>22040.7</v>
      </c>
      <c r="G135" s="420">
        <f t="shared" si="3"/>
        <v>1.1853552163433978E-2</v>
      </c>
      <c r="H135" s="397"/>
      <c r="I135" s="397"/>
      <c r="J135" s="397"/>
      <c r="K135" s="394"/>
      <c r="L135" s="396"/>
      <c r="S135" s="393"/>
      <c r="T135" s="394"/>
      <c r="U135" s="394"/>
    </row>
    <row r="136" spans="2:21" x14ac:dyDescent="0.2">
      <c r="B136" s="426">
        <v>45340</v>
      </c>
      <c r="C136" s="394">
        <v>378.4</v>
      </c>
      <c r="D136" s="420">
        <f t="shared" si="2"/>
        <v>5.5806537337230733E-3</v>
      </c>
      <c r="E136" s="394"/>
      <c r="F136" s="418">
        <v>22212.7</v>
      </c>
      <c r="G136" s="420">
        <f t="shared" si="3"/>
        <v>7.8037448901351336E-3</v>
      </c>
      <c r="H136" s="397"/>
      <c r="I136" s="397"/>
      <c r="J136" s="397"/>
      <c r="K136" s="394"/>
      <c r="L136" s="396"/>
      <c r="S136" s="393"/>
      <c r="T136" s="394"/>
      <c r="U136" s="394"/>
    </row>
    <row r="137" spans="2:21" x14ac:dyDescent="0.2">
      <c r="B137" s="426">
        <v>45347</v>
      </c>
      <c r="C137" s="394">
        <v>377.4</v>
      </c>
      <c r="D137" s="420">
        <f t="shared" si="2"/>
        <v>-2.6427061310781985E-3</v>
      </c>
      <c r="E137" s="394"/>
      <c r="F137" s="418">
        <v>22338.75</v>
      </c>
      <c r="G137" s="420">
        <f t="shared" si="3"/>
        <v>5.6746816010659895E-3</v>
      </c>
      <c r="H137" s="397"/>
      <c r="I137" s="397"/>
      <c r="J137" s="397"/>
      <c r="K137" s="394"/>
      <c r="L137" s="396"/>
      <c r="S137" s="393"/>
      <c r="T137" s="394"/>
      <c r="U137" s="394"/>
    </row>
    <row r="138" spans="2:21" x14ac:dyDescent="0.2">
      <c r="B138" s="426">
        <v>45354</v>
      </c>
      <c r="C138" s="394">
        <v>425.25</v>
      </c>
      <c r="D138" s="420">
        <f t="shared" si="2"/>
        <v>0.12678855325914151</v>
      </c>
      <c r="E138" s="394"/>
      <c r="F138" s="418">
        <v>22493.55</v>
      </c>
      <c r="G138" s="420">
        <f t="shared" si="3"/>
        <v>6.929662581836471E-3</v>
      </c>
      <c r="H138" s="397"/>
      <c r="I138" s="397"/>
      <c r="J138" s="397"/>
      <c r="K138" s="394"/>
      <c r="L138" s="396"/>
      <c r="S138" s="393"/>
      <c r="T138" s="394"/>
      <c r="U138" s="394"/>
    </row>
    <row r="139" spans="2:21" x14ac:dyDescent="0.2">
      <c r="B139" s="426">
        <v>45361</v>
      </c>
      <c r="C139" s="394">
        <v>380.75</v>
      </c>
      <c r="D139" s="420">
        <f t="shared" ref="D139:D202" si="4">C139/C138-1</f>
        <v>-0.10464432686654912</v>
      </c>
      <c r="E139" s="394"/>
      <c r="F139" s="418">
        <v>22023.35</v>
      </c>
      <c r="G139" s="420">
        <f t="shared" si="3"/>
        <v>-2.0903770191899484E-2</v>
      </c>
      <c r="H139" s="397"/>
      <c r="I139" s="397"/>
      <c r="J139" s="397"/>
      <c r="K139" s="394"/>
      <c r="L139" s="396"/>
      <c r="S139" s="393"/>
      <c r="T139" s="394"/>
      <c r="U139" s="394"/>
    </row>
    <row r="140" spans="2:21" x14ac:dyDescent="0.2">
      <c r="B140" s="426">
        <v>45368</v>
      </c>
      <c r="C140" s="394">
        <v>390.7</v>
      </c>
      <c r="D140" s="420">
        <f t="shared" si="4"/>
        <v>2.613263296126056E-2</v>
      </c>
      <c r="E140" s="394"/>
      <c r="F140" s="418">
        <v>22096.75</v>
      </c>
      <c r="G140" s="420">
        <f t="shared" ref="G140:G203" si="5">F140/F139-1</f>
        <v>3.3328262957270649E-3</v>
      </c>
      <c r="H140" s="397"/>
      <c r="I140" s="397"/>
      <c r="J140" s="397"/>
      <c r="K140" s="394"/>
      <c r="L140" s="396"/>
      <c r="S140" s="393"/>
      <c r="T140" s="394"/>
      <c r="U140" s="394"/>
    </row>
    <row r="141" spans="2:21" x14ac:dyDescent="0.2">
      <c r="B141" s="426">
        <v>45375</v>
      </c>
      <c r="C141" s="394">
        <v>394.2</v>
      </c>
      <c r="D141" s="420">
        <f t="shared" si="4"/>
        <v>8.9582800102381288E-3</v>
      </c>
      <c r="E141" s="394"/>
      <c r="F141" s="418">
        <v>22326.9</v>
      </c>
      <c r="G141" s="420">
        <f t="shared" si="5"/>
        <v>1.0415558849152129E-2</v>
      </c>
      <c r="H141" s="397"/>
      <c r="I141" s="397"/>
      <c r="J141" s="397"/>
      <c r="K141" s="394"/>
      <c r="L141" s="396"/>
      <c r="S141" s="393"/>
      <c r="T141" s="394"/>
      <c r="U141" s="394"/>
    </row>
    <row r="142" spans="2:21" x14ac:dyDescent="0.2">
      <c r="B142" s="426">
        <v>45382</v>
      </c>
      <c r="C142" s="394">
        <v>414.6</v>
      </c>
      <c r="D142" s="420">
        <f t="shared" si="4"/>
        <v>5.1750380517503913E-2</v>
      </c>
      <c r="E142" s="394"/>
      <c r="F142" s="418">
        <v>22513.7</v>
      </c>
      <c r="G142" s="420">
        <f t="shared" si="5"/>
        <v>8.3665891816597782E-3</v>
      </c>
      <c r="H142" s="397"/>
      <c r="I142" s="397"/>
      <c r="J142" s="397"/>
      <c r="K142" s="394"/>
      <c r="L142" s="396"/>
      <c r="S142" s="393"/>
      <c r="T142" s="394"/>
      <c r="U142" s="394"/>
    </row>
    <row r="143" spans="2:21" x14ac:dyDescent="0.2">
      <c r="B143" s="426">
        <v>45389</v>
      </c>
      <c r="C143" s="394">
        <v>436.95</v>
      </c>
      <c r="D143" s="420">
        <f t="shared" si="4"/>
        <v>5.3907380607814748E-2</v>
      </c>
      <c r="E143" s="394"/>
      <c r="F143" s="418">
        <v>22519.4</v>
      </c>
      <c r="G143" s="420">
        <f t="shared" si="5"/>
        <v>2.5317917534661838E-4</v>
      </c>
      <c r="H143" s="397"/>
      <c r="I143" s="397"/>
      <c r="J143" s="397"/>
      <c r="K143" s="394"/>
      <c r="L143" s="396"/>
      <c r="S143" s="393"/>
      <c r="T143" s="394"/>
      <c r="U143" s="394"/>
    </row>
    <row r="144" spans="2:21" x14ac:dyDescent="0.2">
      <c r="B144" s="426">
        <v>45396</v>
      </c>
      <c r="C144" s="394">
        <v>428.1</v>
      </c>
      <c r="D144" s="420">
        <f t="shared" si="4"/>
        <v>-2.0254033642293057E-2</v>
      </c>
      <c r="E144" s="394"/>
      <c r="F144" s="418">
        <v>22147</v>
      </c>
      <c r="G144" s="420">
        <f t="shared" si="5"/>
        <v>-1.6536852669254087E-2</v>
      </c>
      <c r="H144" s="397"/>
      <c r="I144" s="397"/>
      <c r="J144" s="397"/>
      <c r="K144" s="394"/>
      <c r="L144" s="396"/>
      <c r="S144" s="393"/>
      <c r="T144" s="394"/>
      <c r="U144" s="394"/>
    </row>
    <row r="145" spans="2:21" x14ac:dyDescent="0.2">
      <c r="B145" s="426">
        <v>45403</v>
      </c>
      <c r="C145" s="394">
        <v>436.9</v>
      </c>
      <c r="D145" s="420">
        <f t="shared" si="4"/>
        <v>2.0555944872693299E-2</v>
      </c>
      <c r="E145" s="394"/>
      <c r="F145" s="418">
        <v>22419.95</v>
      </c>
      <c r="G145" s="420">
        <f t="shared" si="5"/>
        <v>1.2324468325281002E-2</v>
      </c>
      <c r="H145" s="397"/>
      <c r="I145" s="397"/>
      <c r="J145" s="397"/>
      <c r="K145" s="394"/>
      <c r="L145" s="396"/>
      <c r="S145" s="393"/>
      <c r="T145" s="394"/>
      <c r="U145" s="394"/>
    </row>
    <row r="146" spans="2:21" x14ac:dyDescent="0.2">
      <c r="B146" s="426">
        <v>45410</v>
      </c>
      <c r="C146" s="394">
        <v>454.75</v>
      </c>
      <c r="D146" s="420">
        <f t="shared" si="4"/>
        <v>4.0856031128404746E-2</v>
      </c>
      <c r="E146" s="394"/>
      <c r="F146" s="418">
        <v>22475.85</v>
      </c>
      <c r="G146" s="420">
        <f t="shared" si="5"/>
        <v>2.4933151055197555E-3</v>
      </c>
      <c r="H146" s="397"/>
      <c r="I146" s="397"/>
      <c r="J146" s="397"/>
      <c r="K146" s="394"/>
      <c r="L146" s="396"/>
      <c r="S146" s="393"/>
      <c r="T146" s="394"/>
      <c r="U146" s="394"/>
    </row>
    <row r="147" spans="2:21" x14ac:dyDescent="0.2">
      <c r="B147" s="426">
        <v>45417</v>
      </c>
      <c r="C147" s="394">
        <v>414.85</v>
      </c>
      <c r="D147" s="420">
        <f t="shared" si="4"/>
        <v>-8.7740516767454646E-2</v>
      </c>
      <c r="E147" s="394"/>
      <c r="F147" s="418">
        <v>22055.200000000001</v>
      </c>
      <c r="G147" s="420">
        <f t="shared" si="5"/>
        <v>-1.8715643679771743E-2</v>
      </c>
      <c r="H147" s="397"/>
      <c r="I147" s="397"/>
      <c r="J147" s="397"/>
      <c r="K147" s="394"/>
      <c r="L147" s="396"/>
      <c r="S147" s="393"/>
      <c r="T147" s="394"/>
      <c r="U147" s="394"/>
    </row>
    <row r="148" spans="2:21" x14ac:dyDescent="0.2">
      <c r="B148" s="426">
        <v>45424</v>
      </c>
      <c r="C148" s="394">
        <v>436.3</v>
      </c>
      <c r="D148" s="420">
        <f t="shared" si="4"/>
        <v>5.170543569965047E-2</v>
      </c>
      <c r="E148" s="394"/>
      <c r="F148" s="418">
        <v>22466.1</v>
      </c>
      <c r="G148" s="420">
        <f t="shared" si="5"/>
        <v>1.8630527041241907E-2</v>
      </c>
      <c r="H148" s="397"/>
      <c r="I148" s="397"/>
      <c r="J148" s="397"/>
      <c r="K148" s="394"/>
      <c r="L148" s="396"/>
      <c r="S148" s="393"/>
      <c r="T148" s="394"/>
      <c r="U148" s="394"/>
    </row>
    <row r="149" spans="2:21" x14ac:dyDescent="0.2">
      <c r="B149" s="426">
        <v>45431</v>
      </c>
      <c r="C149" s="394">
        <v>447.2</v>
      </c>
      <c r="D149" s="420">
        <f t="shared" si="4"/>
        <v>2.4982809993123967E-2</v>
      </c>
      <c r="E149" s="394"/>
      <c r="F149" s="418">
        <v>22957.1</v>
      </c>
      <c r="G149" s="420">
        <f t="shared" si="5"/>
        <v>2.1855150649200406E-2</v>
      </c>
      <c r="H149" s="397"/>
      <c r="I149" s="397"/>
      <c r="J149" s="397"/>
      <c r="K149" s="394"/>
      <c r="L149" s="396"/>
      <c r="S149" s="393"/>
      <c r="T149" s="394"/>
      <c r="U149" s="394"/>
    </row>
    <row r="150" spans="2:21" x14ac:dyDescent="0.2">
      <c r="B150" s="426">
        <v>45438</v>
      </c>
      <c r="C150" s="394">
        <v>436.75</v>
      </c>
      <c r="D150" s="420">
        <f t="shared" si="4"/>
        <v>-2.3367620751341689E-2</v>
      </c>
      <c r="E150" s="394"/>
      <c r="F150" s="418">
        <v>22530.7</v>
      </c>
      <c r="G150" s="420">
        <f t="shared" si="5"/>
        <v>-1.8573774562117951E-2</v>
      </c>
      <c r="H150" s="397"/>
      <c r="I150" s="397"/>
      <c r="J150" s="397"/>
      <c r="K150" s="394"/>
      <c r="L150" s="396"/>
      <c r="S150" s="393"/>
      <c r="T150" s="394"/>
      <c r="U150" s="394"/>
    </row>
    <row r="151" spans="2:21" x14ac:dyDescent="0.2">
      <c r="B151" s="426">
        <v>45445</v>
      </c>
      <c r="C151" s="394">
        <v>443.55</v>
      </c>
      <c r="D151" s="420">
        <f t="shared" si="4"/>
        <v>1.5569547796222105E-2</v>
      </c>
      <c r="E151" s="394"/>
      <c r="F151" s="418">
        <v>23290.15</v>
      </c>
      <c r="G151" s="420">
        <f t="shared" si="5"/>
        <v>3.3707341538434354E-2</v>
      </c>
      <c r="H151" s="397"/>
      <c r="I151" s="397"/>
      <c r="J151" s="397"/>
      <c r="K151" s="394"/>
      <c r="L151" s="396"/>
      <c r="S151" s="393"/>
      <c r="T151" s="394"/>
      <c r="U151" s="394"/>
    </row>
    <row r="152" spans="2:21" x14ac:dyDescent="0.2">
      <c r="B152" s="426">
        <v>45452</v>
      </c>
      <c r="C152" s="394">
        <v>448.65</v>
      </c>
      <c r="D152" s="420">
        <f t="shared" si="4"/>
        <v>1.1498140006763524E-2</v>
      </c>
      <c r="E152" s="394"/>
      <c r="F152" s="418">
        <v>23465.599999999999</v>
      </c>
      <c r="G152" s="420">
        <f t="shared" si="5"/>
        <v>7.5332275661599279E-3</v>
      </c>
      <c r="H152" s="397"/>
      <c r="I152" s="397"/>
      <c r="J152" s="397"/>
      <c r="K152" s="394"/>
      <c r="L152" s="396"/>
      <c r="S152" s="393"/>
      <c r="T152" s="394"/>
      <c r="U152" s="394"/>
    </row>
    <row r="153" spans="2:21" x14ac:dyDescent="0.2">
      <c r="B153" s="426">
        <v>45459</v>
      </c>
      <c r="C153" s="394">
        <v>438.7</v>
      </c>
      <c r="D153" s="420">
        <f t="shared" si="4"/>
        <v>-2.2177644043240852E-2</v>
      </c>
      <c r="E153" s="394"/>
      <c r="F153" s="418">
        <v>23501.1</v>
      </c>
      <c r="G153" s="420">
        <f t="shared" si="5"/>
        <v>1.5128528569481325E-3</v>
      </c>
      <c r="H153" s="397"/>
      <c r="I153" s="397"/>
      <c r="J153" s="397"/>
      <c r="K153" s="394"/>
      <c r="L153" s="396"/>
      <c r="S153" s="393"/>
      <c r="T153" s="394"/>
      <c r="U153" s="394"/>
    </row>
    <row r="154" spans="2:21" x14ac:dyDescent="0.2">
      <c r="B154" s="426">
        <v>45466</v>
      </c>
      <c r="C154" s="394">
        <v>440.6</v>
      </c>
      <c r="D154" s="420">
        <f t="shared" si="4"/>
        <v>4.3309778892182127E-3</v>
      </c>
      <c r="E154" s="394"/>
      <c r="F154" s="418">
        <v>24010.6</v>
      </c>
      <c r="G154" s="420">
        <f t="shared" si="5"/>
        <v>2.1679836262983532E-2</v>
      </c>
      <c r="H154" s="397"/>
      <c r="I154" s="397"/>
      <c r="J154" s="397"/>
      <c r="K154" s="394"/>
      <c r="L154" s="396"/>
      <c r="S154" s="393"/>
      <c r="T154" s="394"/>
      <c r="U154" s="394"/>
    </row>
    <row r="155" spans="2:21" x14ac:dyDescent="0.2">
      <c r="B155" s="426">
        <v>45473</v>
      </c>
      <c r="C155" s="394">
        <v>439.95</v>
      </c>
      <c r="D155" s="420">
        <f t="shared" si="4"/>
        <v>-1.4752610077167772E-3</v>
      </c>
      <c r="E155" s="394"/>
      <c r="F155" s="418">
        <v>24323.85</v>
      </c>
      <c r="G155" s="420">
        <f t="shared" si="5"/>
        <v>1.3046321208133094E-2</v>
      </c>
      <c r="H155" s="397"/>
      <c r="I155" s="397"/>
      <c r="J155" s="397"/>
      <c r="K155" s="394"/>
      <c r="L155" s="396"/>
      <c r="S155" s="393"/>
      <c r="T155" s="394"/>
      <c r="U155" s="394"/>
    </row>
    <row r="156" spans="2:21" x14ac:dyDescent="0.2">
      <c r="B156" s="426">
        <v>45480</v>
      </c>
      <c r="C156" s="394">
        <v>434.05</v>
      </c>
      <c r="D156" s="420">
        <f t="shared" si="4"/>
        <v>-1.3410614842595647E-2</v>
      </c>
      <c r="E156" s="394"/>
      <c r="F156" s="418">
        <v>24502.15</v>
      </c>
      <c r="G156" s="420">
        <f t="shared" si="5"/>
        <v>7.3302540510651326E-3</v>
      </c>
      <c r="H156" s="397"/>
      <c r="I156" s="397"/>
      <c r="J156" s="397"/>
      <c r="K156" s="394"/>
      <c r="L156" s="396"/>
      <c r="S156" s="393"/>
      <c r="T156" s="394"/>
      <c r="U156" s="394"/>
    </row>
    <row r="157" spans="2:21" x14ac:dyDescent="0.2">
      <c r="B157" s="426">
        <v>45487</v>
      </c>
      <c r="C157" s="394">
        <v>414.15</v>
      </c>
      <c r="D157" s="420">
        <f t="shared" si="4"/>
        <v>-4.5847252620665913E-2</v>
      </c>
      <c r="E157" s="394"/>
      <c r="F157" s="418">
        <v>24530.9</v>
      </c>
      <c r="G157" s="420">
        <f t="shared" si="5"/>
        <v>1.1733664188653403E-3</v>
      </c>
      <c r="H157" s="397"/>
      <c r="I157" s="397"/>
      <c r="J157" s="397"/>
      <c r="K157" s="394"/>
      <c r="L157" s="396"/>
      <c r="S157" s="393"/>
      <c r="T157" s="394"/>
      <c r="U157" s="394"/>
    </row>
    <row r="158" spans="2:21" x14ac:dyDescent="0.2">
      <c r="B158" s="426">
        <v>45494</v>
      </c>
      <c r="C158" s="394">
        <v>444.7</v>
      </c>
      <c r="D158" s="420">
        <f t="shared" si="4"/>
        <v>7.3765543885065732E-2</v>
      </c>
      <c r="E158" s="394"/>
      <c r="F158" s="418">
        <v>24834.85</v>
      </c>
      <c r="G158" s="420">
        <f t="shared" si="5"/>
        <v>1.2390495252925682E-2</v>
      </c>
      <c r="H158" s="397"/>
      <c r="I158" s="397"/>
      <c r="J158" s="397"/>
      <c r="K158" s="394"/>
      <c r="L158" s="396"/>
      <c r="S158" s="393"/>
      <c r="T158" s="394"/>
      <c r="U158" s="394"/>
    </row>
    <row r="159" spans="2:21" x14ac:dyDescent="0.2">
      <c r="B159" s="426">
        <v>45501</v>
      </c>
      <c r="C159" s="394">
        <v>460.35</v>
      </c>
      <c r="D159" s="420">
        <f t="shared" si="4"/>
        <v>3.5192264447942545E-2</v>
      </c>
      <c r="E159" s="394"/>
      <c r="F159" s="418">
        <v>24717.7</v>
      </c>
      <c r="G159" s="420">
        <f t="shared" si="5"/>
        <v>-4.7171615693268887E-3</v>
      </c>
      <c r="H159" s="397"/>
      <c r="I159" s="397"/>
      <c r="J159" s="397"/>
      <c r="K159" s="394"/>
      <c r="L159" s="396"/>
      <c r="S159" s="393"/>
      <c r="T159" s="394"/>
      <c r="U159" s="394"/>
    </row>
    <row r="160" spans="2:21" x14ac:dyDescent="0.2">
      <c r="B160" s="426">
        <v>45508</v>
      </c>
      <c r="C160" s="394">
        <v>417.75</v>
      </c>
      <c r="D160" s="420">
        <f t="shared" si="4"/>
        <v>-9.2538286086673249E-2</v>
      </c>
      <c r="E160" s="394"/>
      <c r="F160" s="418">
        <v>24367.5</v>
      </c>
      <c r="G160" s="420">
        <f t="shared" si="5"/>
        <v>-1.4167984885325113E-2</v>
      </c>
      <c r="H160" s="397"/>
      <c r="I160" s="397"/>
      <c r="J160" s="397"/>
      <c r="K160" s="394"/>
      <c r="L160" s="396"/>
      <c r="S160" s="393"/>
      <c r="T160" s="394"/>
      <c r="U160" s="394"/>
    </row>
    <row r="161" spans="2:21" x14ac:dyDescent="0.2">
      <c r="B161" s="426">
        <v>45515</v>
      </c>
      <c r="C161" s="394">
        <v>413.65</v>
      </c>
      <c r="D161" s="420">
        <f t="shared" si="4"/>
        <v>-9.8144823459007657E-3</v>
      </c>
      <c r="E161" s="394"/>
      <c r="F161" s="418">
        <v>24541.15</v>
      </c>
      <c r="G161" s="420">
        <f t="shared" si="5"/>
        <v>7.1262952703396998E-3</v>
      </c>
      <c r="H161" s="397"/>
      <c r="I161" s="397"/>
      <c r="J161" s="397"/>
      <c r="K161" s="394"/>
      <c r="L161" s="396"/>
      <c r="S161" s="393"/>
      <c r="T161" s="394"/>
      <c r="U161" s="394"/>
    </row>
    <row r="162" spans="2:21" x14ac:dyDescent="0.2">
      <c r="B162" s="426">
        <v>45522</v>
      </c>
      <c r="C162" s="394">
        <v>417.95</v>
      </c>
      <c r="D162" s="420">
        <f t="shared" si="4"/>
        <v>1.0395261694669422E-2</v>
      </c>
      <c r="E162" s="394"/>
      <c r="F162" s="418">
        <v>24823.15</v>
      </c>
      <c r="G162" s="420">
        <f t="shared" si="5"/>
        <v>1.1490904052988471E-2</v>
      </c>
      <c r="H162" s="397"/>
      <c r="I162" s="397"/>
      <c r="J162" s="397"/>
      <c r="K162" s="394"/>
      <c r="L162" s="396"/>
      <c r="S162" s="393"/>
      <c r="T162" s="394"/>
      <c r="U162" s="394"/>
    </row>
    <row r="163" spans="2:21" x14ac:dyDescent="0.2">
      <c r="B163" s="426">
        <v>45529</v>
      </c>
      <c r="C163" s="394">
        <v>434.65</v>
      </c>
      <c r="D163" s="420">
        <f t="shared" si="4"/>
        <v>3.995693264744582E-2</v>
      </c>
      <c r="E163" s="394"/>
      <c r="F163" s="418">
        <v>25235.9</v>
      </c>
      <c r="G163" s="420">
        <f t="shared" si="5"/>
        <v>1.6627623810837822E-2</v>
      </c>
      <c r="H163" s="397"/>
      <c r="I163" s="397"/>
      <c r="J163" s="397"/>
      <c r="K163" s="394"/>
      <c r="L163" s="396"/>
      <c r="S163" s="393"/>
      <c r="T163" s="394"/>
      <c r="U163" s="394"/>
    </row>
    <row r="164" spans="2:21" x14ac:dyDescent="0.2">
      <c r="B164" s="426">
        <v>45536</v>
      </c>
      <c r="C164" s="394">
        <v>417</v>
      </c>
      <c r="D164" s="420">
        <f t="shared" si="4"/>
        <v>-4.060738525250196E-2</v>
      </c>
      <c r="E164" s="394"/>
      <c r="F164" s="418">
        <v>24852.15</v>
      </c>
      <c r="G164" s="420">
        <f t="shared" si="5"/>
        <v>-1.5206511358818231E-2</v>
      </c>
      <c r="H164" s="397"/>
      <c r="I164" s="397"/>
      <c r="J164" s="397"/>
      <c r="K164" s="394"/>
      <c r="L164" s="396"/>
      <c r="S164" s="393"/>
      <c r="T164" s="394"/>
      <c r="U164" s="394"/>
    </row>
    <row r="165" spans="2:21" x14ac:dyDescent="0.2">
      <c r="B165" s="426">
        <v>45543</v>
      </c>
      <c r="C165" s="394">
        <v>441.8</v>
      </c>
      <c r="D165" s="420">
        <f t="shared" si="4"/>
        <v>5.947242206235015E-2</v>
      </c>
      <c r="E165" s="394"/>
      <c r="F165" s="418">
        <v>25356.5</v>
      </c>
      <c r="G165" s="420">
        <f t="shared" si="5"/>
        <v>2.0294018827344829E-2</v>
      </c>
      <c r="H165" s="397"/>
      <c r="I165" s="397"/>
      <c r="J165" s="397"/>
      <c r="K165" s="394"/>
      <c r="L165" s="396"/>
      <c r="S165" s="393"/>
      <c r="T165" s="394"/>
      <c r="U165" s="394"/>
    </row>
    <row r="166" spans="2:21" x14ac:dyDescent="0.2">
      <c r="B166" s="426">
        <v>45550</v>
      </c>
      <c r="C166" s="394">
        <v>444.15</v>
      </c>
      <c r="D166" s="420">
        <f t="shared" si="4"/>
        <v>5.3191489361701372E-3</v>
      </c>
      <c r="E166" s="394"/>
      <c r="F166" s="418">
        <v>25790.95</v>
      </c>
      <c r="G166" s="420">
        <f t="shared" si="5"/>
        <v>1.7133673811448702E-2</v>
      </c>
      <c r="H166" s="397"/>
      <c r="I166" s="397"/>
      <c r="J166" s="397"/>
      <c r="K166" s="394"/>
      <c r="L166" s="396"/>
      <c r="S166" s="393"/>
      <c r="T166" s="394"/>
      <c r="U166" s="394"/>
    </row>
    <row r="167" spans="2:21" x14ac:dyDescent="0.2">
      <c r="B167" s="426">
        <v>45557</v>
      </c>
      <c r="C167" s="394">
        <v>485.5</v>
      </c>
      <c r="D167" s="420">
        <f t="shared" si="4"/>
        <v>9.3099178205561239E-2</v>
      </c>
      <c r="E167" s="394"/>
      <c r="F167" s="418">
        <v>26178.95</v>
      </c>
      <c r="G167" s="420">
        <f t="shared" si="5"/>
        <v>1.5044036764834123E-2</v>
      </c>
      <c r="H167" s="397"/>
      <c r="I167" s="397"/>
      <c r="J167" s="397"/>
      <c r="K167" s="394"/>
      <c r="L167" s="396"/>
      <c r="S167" s="393"/>
      <c r="T167" s="394"/>
      <c r="U167" s="394"/>
    </row>
    <row r="168" spans="2:21" x14ac:dyDescent="0.2">
      <c r="B168" s="426">
        <v>45564</v>
      </c>
      <c r="C168" s="394">
        <v>466.65</v>
      </c>
      <c r="D168" s="420">
        <f t="shared" si="4"/>
        <v>-3.8825952626158622E-2</v>
      </c>
      <c r="E168" s="394"/>
      <c r="F168" s="418">
        <v>25014.6</v>
      </c>
      <c r="G168" s="420">
        <f t="shared" si="5"/>
        <v>-4.4476573735768743E-2</v>
      </c>
      <c r="H168" s="397"/>
      <c r="I168" s="397"/>
      <c r="J168" s="397"/>
      <c r="K168" s="394"/>
      <c r="L168" s="396"/>
      <c r="S168" s="393"/>
      <c r="T168" s="394"/>
      <c r="U168" s="394"/>
    </row>
    <row r="169" spans="2:21" x14ac:dyDescent="0.2">
      <c r="B169" s="426">
        <v>45571</v>
      </c>
      <c r="C169" s="394">
        <v>461.15</v>
      </c>
      <c r="D169" s="420">
        <f t="shared" si="4"/>
        <v>-1.1786135219114979E-2</v>
      </c>
      <c r="E169" s="394"/>
      <c r="F169" s="418">
        <v>24964.25</v>
      </c>
      <c r="G169" s="420">
        <f t="shared" si="5"/>
        <v>-2.0128245104857889E-3</v>
      </c>
      <c r="H169" s="397"/>
      <c r="I169" s="397"/>
      <c r="J169" s="397"/>
      <c r="K169" s="394"/>
      <c r="L169" s="396"/>
      <c r="S169" s="393"/>
      <c r="T169" s="394"/>
      <c r="U169" s="394"/>
    </row>
    <row r="170" spans="2:21" x14ac:dyDescent="0.2">
      <c r="B170" s="426">
        <v>45578</v>
      </c>
      <c r="C170" s="394">
        <v>453.55</v>
      </c>
      <c r="D170" s="420">
        <f t="shared" si="4"/>
        <v>-1.6480537785969807E-2</v>
      </c>
      <c r="E170" s="394"/>
      <c r="F170" s="418">
        <v>24854.05</v>
      </c>
      <c r="G170" s="420">
        <f t="shared" si="5"/>
        <v>-4.4143124668275524E-3</v>
      </c>
      <c r="H170" s="397"/>
      <c r="I170" s="397"/>
      <c r="J170" s="397"/>
      <c r="K170" s="394"/>
      <c r="L170" s="396"/>
      <c r="S170" s="393"/>
      <c r="T170" s="394"/>
      <c r="U170" s="394"/>
    </row>
    <row r="171" spans="2:21" x14ac:dyDescent="0.2">
      <c r="B171" s="426">
        <v>45585</v>
      </c>
      <c r="C171" s="394">
        <v>422.1</v>
      </c>
      <c r="D171" s="420">
        <f t="shared" si="4"/>
        <v>-6.9341858670488365E-2</v>
      </c>
      <c r="E171" s="394"/>
      <c r="F171" s="418">
        <v>24180.799999999999</v>
      </c>
      <c r="G171" s="420">
        <f t="shared" si="5"/>
        <v>-2.7088140564616281E-2</v>
      </c>
      <c r="H171" s="397"/>
      <c r="I171" s="397"/>
      <c r="J171" s="397"/>
      <c r="K171" s="394"/>
      <c r="L171" s="396"/>
      <c r="S171" s="393"/>
      <c r="T171" s="394"/>
      <c r="U171" s="394"/>
    </row>
    <row r="172" spans="2:21" x14ac:dyDescent="0.2">
      <c r="B172" s="426">
        <v>45592</v>
      </c>
      <c r="C172" s="394">
        <v>445.45</v>
      </c>
      <c r="D172" s="420">
        <f t="shared" si="4"/>
        <v>5.531864487088356E-2</v>
      </c>
      <c r="E172" s="394"/>
      <c r="F172" s="418">
        <v>24304.35</v>
      </c>
      <c r="G172" s="420">
        <f t="shared" si="5"/>
        <v>5.1094256600276999E-3</v>
      </c>
      <c r="H172" s="397"/>
      <c r="I172" s="397"/>
      <c r="J172" s="397"/>
      <c r="K172" s="394"/>
      <c r="L172" s="396"/>
      <c r="S172" s="393"/>
      <c r="T172" s="394"/>
      <c r="U172" s="394"/>
    </row>
    <row r="173" spans="2:21" x14ac:dyDescent="0.2">
      <c r="B173" s="426">
        <v>45599</v>
      </c>
      <c r="C173" s="394">
        <v>432.75</v>
      </c>
      <c r="D173" s="420">
        <f t="shared" si="4"/>
        <v>-2.8510495005051095E-2</v>
      </c>
      <c r="E173" s="394"/>
      <c r="F173" s="418">
        <v>24148.2</v>
      </c>
      <c r="G173" s="420">
        <f t="shared" si="5"/>
        <v>-6.4247758117372822E-3</v>
      </c>
      <c r="H173" s="397"/>
      <c r="I173" s="397"/>
      <c r="J173" s="397"/>
      <c r="K173" s="394"/>
      <c r="L173" s="396"/>
      <c r="S173" s="393"/>
      <c r="T173" s="394"/>
      <c r="U173" s="394"/>
    </row>
    <row r="174" spans="2:21" x14ac:dyDescent="0.2">
      <c r="B174" s="426">
        <v>45606</v>
      </c>
      <c r="C174" s="394">
        <v>404.65</v>
      </c>
      <c r="D174" s="420">
        <f t="shared" si="4"/>
        <v>-6.4933564413633738E-2</v>
      </c>
      <c r="E174" s="394"/>
      <c r="F174" s="418">
        <v>23532.7</v>
      </c>
      <c r="G174" s="420">
        <f t="shared" si="5"/>
        <v>-2.5488442202731498E-2</v>
      </c>
      <c r="H174" s="397"/>
      <c r="I174" s="397"/>
      <c r="J174" s="397"/>
      <c r="K174" s="394"/>
      <c r="L174" s="396"/>
      <c r="S174" s="393"/>
      <c r="T174" s="394"/>
      <c r="U174" s="394"/>
    </row>
    <row r="175" spans="2:21" x14ac:dyDescent="0.2">
      <c r="B175" s="426">
        <v>45613</v>
      </c>
      <c r="C175" s="394">
        <v>413.75</v>
      </c>
      <c r="D175" s="420">
        <f t="shared" si="4"/>
        <v>2.2488570369455063E-2</v>
      </c>
      <c r="E175" s="394"/>
      <c r="F175" s="418">
        <v>23907.25</v>
      </c>
      <c r="G175" s="420">
        <f t="shared" si="5"/>
        <v>1.5916150717937061E-2</v>
      </c>
      <c r="H175" s="397"/>
      <c r="I175" s="397"/>
      <c r="J175" s="397"/>
      <c r="K175" s="394"/>
      <c r="L175" s="396"/>
      <c r="S175" s="393"/>
      <c r="T175" s="394"/>
      <c r="U175" s="394"/>
    </row>
    <row r="176" spans="2:21" x14ac:dyDescent="0.2">
      <c r="B176" s="426">
        <v>45620</v>
      </c>
      <c r="C176" s="394">
        <v>414.15</v>
      </c>
      <c r="D176" s="420">
        <f t="shared" si="4"/>
        <v>9.6676737160117376E-4</v>
      </c>
      <c r="E176" s="394"/>
      <c r="F176" s="418">
        <v>24131.1</v>
      </c>
      <c r="G176" s="420">
        <f t="shared" si="5"/>
        <v>9.3632684645870157E-3</v>
      </c>
      <c r="H176" s="397"/>
      <c r="I176" s="397"/>
      <c r="J176" s="397"/>
      <c r="K176" s="394"/>
      <c r="L176" s="396"/>
      <c r="S176" s="393"/>
      <c r="T176" s="394"/>
      <c r="U176" s="394"/>
    </row>
    <row r="177" spans="2:21" x14ac:dyDescent="0.2">
      <c r="B177" s="426">
        <v>45627</v>
      </c>
      <c r="C177" s="394">
        <v>439.7</v>
      </c>
      <c r="D177" s="420">
        <f t="shared" si="4"/>
        <v>6.1692623445611439E-2</v>
      </c>
      <c r="E177" s="394"/>
      <c r="F177" s="418">
        <v>24677.8</v>
      </c>
      <c r="G177" s="420">
        <f t="shared" si="5"/>
        <v>2.2655411481449228E-2</v>
      </c>
      <c r="H177" s="397"/>
      <c r="I177" s="397"/>
      <c r="J177" s="397"/>
      <c r="K177" s="394"/>
      <c r="L177" s="396"/>
      <c r="S177" s="393"/>
      <c r="T177" s="394"/>
      <c r="U177" s="394"/>
    </row>
    <row r="178" spans="2:21" x14ac:dyDescent="0.2">
      <c r="B178" s="426">
        <v>45634</v>
      </c>
      <c r="C178" s="394">
        <v>428.45</v>
      </c>
      <c r="D178" s="420">
        <f t="shared" si="4"/>
        <v>-2.5585626563566111E-2</v>
      </c>
      <c r="E178" s="394"/>
      <c r="F178" s="418">
        <v>24768.3</v>
      </c>
      <c r="G178" s="420">
        <f t="shared" si="5"/>
        <v>3.6672636944945491E-3</v>
      </c>
      <c r="H178" s="397"/>
      <c r="I178" s="397"/>
      <c r="J178" s="397"/>
      <c r="K178" s="394"/>
      <c r="L178" s="396"/>
      <c r="S178" s="393"/>
      <c r="T178" s="394"/>
      <c r="U178" s="394"/>
    </row>
    <row r="179" spans="2:21" x14ac:dyDescent="0.2">
      <c r="B179" s="426">
        <v>45641</v>
      </c>
      <c r="C179" s="394">
        <v>401.1</v>
      </c>
      <c r="D179" s="420">
        <f t="shared" si="4"/>
        <v>-6.3834753180067594E-2</v>
      </c>
      <c r="E179" s="394"/>
      <c r="F179" s="418">
        <v>23587.5</v>
      </c>
      <c r="G179" s="420">
        <f t="shared" si="5"/>
        <v>-4.7673841159869612E-2</v>
      </c>
      <c r="H179" s="397"/>
      <c r="I179" s="397"/>
      <c r="J179" s="397"/>
      <c r="K179" s="394"/>
      <c r="L179" s="396"/>
      <c r="S179" s="393"/>
      <c r="T179" s="394"/>
      <c r="U179" s="394"/>
    </row>
    <row r="180" spans="2:21" x14ac:dyDescent="0.2">
      <c r="B180" s="426">
        <v>45648</v>
      </c>
      <c r="C180" s="394">
        <v>399</v>
      </c>
      <c r="D180" s="420">
        <f t="shared" si="4"/>
        <v>-5.2356020942408987E-3</v>
      </c>
      <c r="E180" s="394"/>
      <c r="F180" s="418">
        <v>23813.4</v>
      </c>
      <c r="G180" s="420">
        <f t="shared" si="5"/>
        <v>9.5771065182830295E-3</v>
      </c>
      <c r="H180" s="397"/>
      <c r="I180" s="397"/>
      <c r="J180" s="397"/>
      <c r="K180" s="394"/>
      <c r="L180" s="396"/>
      <c r="S180" s="393"/>
      <c r="T180" s="394"/>
      <c r="U180" s="394"/>
    </row>
    <row r="181" spans="2:21" x14ac:dyDescent="0.2">
      <c r="B181" s="426">
        <v>45655</v>
      </c>
      <c r="C181" s="394">
        <v>396.65</v>
      </c>
      <c r="D181" s="420">
        <f t="shared" si="4"/>
        <v>-5.8897243107769448E-3</v>
      </c>
      <c r="E181" s="394"/>
      <c r="F181" s="418">
        <v>24004.75</v>
      </c>
      <c r="G181" s="420">
        <f t="shared" si="5"/>
        <v>8.035391838208783E-3</v>
      </c>
      <c r="H181" s="397"/>
      <c r="I181" s="397"/>
      <c r="J181" s="397"/>
      <c r="K181" s="394"/>
      <c r="L181" s="396"/>
      <c r="S181" s="393"/>
      <c r="T181" s="394"/>
      <c r="U181" s="394"/>
    </row>
    <row r="182" spans="2:21" x14ac:dyDescent="0.2">
      <c r="B182" s="426">
        <v>45662</v>
      </c>
      <c r="C182" s="394">
        <v>356.35</v>
      </c>
      <c r="D182" s="420">
        <f t="shared" si="4"/>
        <v>-0.10160090760115958</v>
      </c>
      <c r="E182" s="394"/>
      <c r="F182" s="418">
        <v>23431.5</v>
      </c>
      <c r="G182" s="420">
        <f t="shared" si="5"/>
        <v>-2.3880690280048689E-2</v>
      </c>
      <c r="H182" s="397"/>
      <c r="I182" s="397"/>
      <c r="J182" s="397"/>
      <c r="K182" s="394"/>
      <c r="L182" s="396"/>
      <c r="S182" s="393"/>
      <c r="T182" s="394"/>
      <c r="U182" s="394"/>
    </row>
    <row r="183" spans="2:21" x14ac:dyDescent="0.2">
      <c r="B183" s="426">
        <v>45669</v>
      </c>
      <c r="C183" s="394">
        <v>373.6</v>
      </c>
      <c r="D183" s="420">
        <f t="shared" si="4"/>
        <v>4.8407464571348369E-2</v>
      </c>
      <c r="E183" s="394"/>
      <c r="F183" s="418">
        <v>23203.200000000001</v>
      </c>
      <c r="G183" s="420">
        <f t="shared" si="5"/>
        <v>-9.7432942833365344E-3</v>
      </c>
      <c r="H183" s="397"/>
      <c r="I183" s="397"/>
      <c r="J183" s="397"/>
      <c r="K183" s="394"/>
      <c r="L183" s="396"/>
      <c r="S183" s="393"/>
      <c r="T183" s="394"/>
      <c r="U183" s="394"/>
    </row>
    <row r="184" spans="2:21" x14ac:dyDescent="0.2">
      <c r="B184" s="426">
        <v>45676</v>
      </c>
      <c r="C184" s="394">
        <v>363.4</v>
      </c>
      <c r="D184" s="420">
        <f t="shared" si="4"/>
        <v>-2.7301927194860909E-2</v>
      </c>
      <c r="E184" s="394"/>
      <c r="F184" s="418">
        <v>23092.2</v>
      </c>
      <c r="G184" s="420">
        <f t="shared" si="5"/>
        <v>-4.7838229209764549E-3</v>
      </c>
      <c r="H184" s="397"/>
      <c r="I184" s="397"/>
      <c r="J184" s="397"/>
      <c r="K184" s="394"/>
      <c r="L184" s="396"/>
      <c r="S184" s="393"/>
      <c r="T184" s="394"/>
      <c r="U184" s="394"/>
    </row>
    <row r="185" spans="2:21" x14ac:dyDescent="0.2">
      <c r="B185" s="426">
        <v>45683</v>
      </c>
      <c r="C185" s="394">
        <v>364.5</v>
      </c>
      <c r="D185" s="420">
        <f t="shared" si="4"/>
        <v>3.0269675288938647E-3</v>
      </c>
      <c r="E185" s="394"/>
      <c r="F185" s="418">
        <v>23508.400000000001</v>
      </c>
      <c r="G185" s="420">
        <f t="shared" si="5"/>
        <v>1.8023401841314346E-2</v>
      </c>
      <c r="H185" s="397"/>
      <c r="I185" s="397"/>
      <c r="J185" s="397"/>
      <c r="K185" s="394"/>
      <c r="L185" s="396"/>
      <c r="S185" s="393"/>
      <c r="T185" s="394"/>
      <c r="U185" s="394"/>
    </row>
    <row r="186" spans="2:21" x14ac:dyDescent="0.2">
      <c r="B186" s="426">
        <v>45690</v>
      </c>
      <c r="C186" s="394">
        <v>367.1</v>
      </c>
      <c r="D186" s="420">
        <f t="shared" si="4"/>
        <v>7.1330589849107895E-3</v>
      </c>
      <c r="E186" s="394"/>
      <c r="F186" s="418">
        <v>23559.95</v>
      </c>
      <c r="G186" s="420">
        <f t="shared" si="5"/>
        <v>2.1928332000475947E-3</v>
      </c>
      <c r="H186" s="397"/>
      <c r="I186" s="397"/>
      <c r="J186" s="397"/>
      <c r="K186" s="394"/>
      <c r="L186" s="396"/>
      <c r="S186" s="393"/>
      <c r="T186" s="394"/>
      <c r="U186" s="394"/>
    </row>
    <row r="187" spans="2:21" x14ac:dyDescent="0.2">
      <c r="B187" s="426">
        <v>45697</v>
      </c>
      <c r="C187" s="394">
        <v>337.15</v>
      </c>
      <c r="D187" s="420">
        <f t="shared" si="4"/>
        <v>-8.1585399073822007E-2</v>
      </c>
      <c r="E187" s="394"/>
      <c r="F187" s="418">
        <v>22929.25</v>
      </c>
      <c r="G187" s="420">
        <f t="shared" si="5"/>
        <v>-2.6770005878620329E-2</v>
      </c>
      <c r="H187" s="397"/>
      <c r="I187" s="397"/>
      <c r="J187" s="397"/>
      <c r="K187" s="394"/>
      <c r="L187" s="396"/>
      <c r="S187" s="393"/>
      <c r="T187" s="394"/>
      <c r="U187" s="394"/>
    </row>
    <row r="188" spans="2:21" x14ac:dyDescent="0.2">
      <c r="B188" s="426">
        <v>45704</v>
      </c>
      <c r="C188" s="394">
        <v>357.2</v>
      </c>
      <c r="D188" s="420">
        <f t="shared" si="4"/>
        <v>5.946907904493548E-2</v>
      </c>
      <c r="E188" s="394"/>
      <c r="F188" s="418">
        <v>22795.9</v>
      </c>
      <c r="G188" s="420">
        <f t="shared" si="5"/>
        <v>-5.8157157342695331E-3</v>
      </c>
      <c r="H188" s="397"/>
      <c r="I188" s="397"/>
      <c r="J188" s="397"/>
      <c r="K188" s="394"/>
      <c r="L188" s="396"/>
      <c r="S188" s="393"/>
      <c r="T188" s="394"/>
      <c r="U188" s="394"/>
    </row>
    <row r="189" spans="2:21" x14ac:dyDescent="0.2">
      <c r="B189" s="426">
        <v>45711</v>
      </c>
      <c r="C189" s="394">
        <v>339.2</v>
      </c>
      <c r="D189" s="420">
        <f t="shared" si="4"/>
        <v>-5.039193729003355E-2</v>
      </c>
      <c r="E189" s="394"/>
      <c r="F189" s="418">
        <v>22124.7</v>
      </c>
      <c r="G189" s="420">
        <f t="shared" si="5"/>
        <v>-2.9443891226053842E-2</v>
      </c>
      <c r="H189" s="397"/>
      <c r="I189" s="397"/>
      <c r="J189" s="397"/>
      <c r="K189" s="394"/>
      <c r="L189" s="396"/>
      <c r="S189" s="393"/>
      <c r="T189" s="394"/>
      <c r="U189" s="394"/>
    </row>
    <row r="190" spans="2:21" x14ac:dyDescent="0.2">
      <c r="B190" s="426">
        <v>45718</v>
      </c>
      <c r="C190" s="394">
        <v>351.45</v>
      </c>
      <c r="D190" s="420">
        <f t="shared" si="4"/>
        <v>3.6114386792452935E-2</v>
      </c>
      <c r="E190" s="394"/>
      <c r="F190" s="418">
        <v>22552.5</v>
      </c>
      <c r="G190" s="420">
        <f t="shared" si="5"/>
        <v>1.9335855401429125E-2</v>
      </c>
      <c r="H190" s="397"/>
      <c r="I190" s="397"/>
      <c r="J190" s="397"/>
      <c r="K190" s="394"/>
      <c r="L190" s="396"/>
      <c r="S190" s="393"/>
      <c r="T190" s="394"/>
      <c r="U190" s="394"/>
    </row>
    <row r="191" spans="2:21" x14ac:dyDescent="0.2">
      <c r="B191" s="426">
        <v>45725</v>
      </c>
      <c r="C191" s="394">
        <v>350.75</v>
      </c>
      <c r="D191" s="420">
        <f t="shared" si="4"/>
        <v>-1.9917484706216682E-3</v>
      </c>
      <c r="E191" s="394"/>
      <c r="F191" s="418">
        <v>22397.200000000001</v>
      </c>
      <c r="G191" s="420">
        <f t="shared" si="5"/>
        <v>-6.8861545283227521E-3</v>
      </c>
      <c r="H191" s="397"/>
      <c r="I191" s="397"/>
      <c r="J191" s="397"/>
      <c r="K191" s="394"/>
      <c r="L191" s="396"/>
      <c r="S191" s="393"/>
      <c r="T191" s="394"/>
      <c r="U191" s="394"/>
    </row>
    <row r="192" spans="2:21" x14ac:dyDescent="0.2">
      <c r="B192" s="426">
        <v>45732</v>
      </c>
      <c r="C192" s="394">
        <v>379.5</v>
      </c>
      <c r="D192" s="420">
        <f t="shared" si="4"/>
        <v>8.1967213114754189E-2</v>
      </c>
      <c r="E192" s="394"/>
      <c r="F192" s="418">
        <v>23350.400000000001</v>
      </c>
      <c r="G192" s="420">
        <f t="shared" si="5"/>
        <v>4.2558891289982803E-2</v>
      </c>
      <c r="H192" s="397"/>
      <c r="I192" s="397"/>
      <c r="J192" s="397"/>
      <c r="K192" s="394"/>
      <c r="L192" s="396"/>
      <c r="S192" s="393"/>
      <c r="T192" s="394"/>
      <c r="U192" s="394"/>
    </row>
    <row r="193" spans="2:21" x14ac:dyDescent="0.2">
      <c r="B193" s="426">
        <v>45739</v>
      </c>
      <c r="C193" s="394">
        <v>375.4</v>
      </c>
      <c r="D193" s="420">
        <f t="shared" si="4"/>
        <v>-1.0803689064558641E-2</v>
      </c>
      <c r="E193" s="394"/>
      <c r="F193" s="418">
        <v>23519.35</v>
      </c>
      <c r="G193" s="420">
        <f t="shared" si="5"/>
        <v>7.2354220912702605E-3</v>
      </c>
      <c r="H193" s="397"/>
      <c r="I193" s="397"/>
      <c r="J193" s="397"/>
      <c r="K193" s="394"/>
      <c r="L193" s="396"/>
      <c r="S193" s="393"/>
      <c r="T193" s="394"/>
      <c r="U193" s="394"/>
    </row>
    <row r="194" spans="2:21" x14ac:dyDescent="0.2">
      <c r="B194" s="426">
        <v>45746</v>
      </c>
      <c r="C194" s="394">
        <v>368.95</v>
      </c>
      <c r="D194" s="420">
        <f t="shared" si="4"/>
        <v>-1.7181672882258914E-2</v>
      </c>
      <c r="E194" s="394"/>
      <c r="F194" s="418">
        <v>22904.45</v>
      </c>
      <c r="G194" s="420">
        <f t="shared" si="5"/>
        <v>-2.6144430011883713E-2</v>
      </c>
      <c r="H194" s="397"/>
      <c r="I194" s="397"/>
      <c r="J194" s="397"/>
      <c r="K194" s="394"/>
      <c r="L194" s="396"/>
      <c r="S194" s="393"/>
      <c r="T194" s="394"/>
      <c r="U194" s="394"/>
    </row>
    <row r="195" spans="2:21" x14ac:dyDescent="0.2">
      <c r="B195" s="426">
        <v>45753</v>
      </c>
      <c r="C195" s="394">
        <v>364.45</v>
      </c>
      <c r="D195" s="420">
        <f t="shared" si="4"/>
        <v>-1.2196774630708784E-2</v>
      </c>
      <c r="E195" s="394"/>
      <c r="F195" s="418">
        <v>22828.55</v>
      </c>
      <c r="G195" s="420">
        <f t="shared" si="5"/>
        <v>-3.3137665388167648E-3</v>
      </c>
      <c r="H195" s="397"/>
      <c r="I195" s="397"/>
      <c r="J195" s="397"/>
      <c r="K195" s="394"/>
      <c r="L195" s="396"/>
      <c r="S195" s="393"/>
      <c r="T195" s="394"/>
      <c r="U195" s="394"/>
    </row>
    <row r="196" spans="2:21" x14ac:dyDescent="0.2">
      <c r="B196" s="426">
        <v>45760</v>
      </c>
      <c r="C196" s="394">
        <v>381.7</v>
      </c>
      <c r="D196" s="420">
        <f t="shared" si="4"/>
        <v>4.7331595554945816E-2</v>
      </c>
      <c r="E196" s="394"/>
      <c r="F196" s="418">
        <v>23851.65</v>
      </c>
      <c r="G196" s="420">
        <f t="shared" si="5"/>
        <v>4.4816687875489425E-2</v>
      </c>
      <c r="H196" s="397"/>
      <c r="I196" s="397"/>
      <c r="J196" s="397"/>
      <c r="K196" s="394"/>
      <c r="L196" s="396"/>
      <c r="S196" s="393"/>
      <c r="T196" s="394"/>
      <c r="U196" s="394"/>
    </row>
    <row r="197" spans="2:21" x14ac:dyDescent="0.2">
      <c r="B197" s="426">
        <v>45767</v>
      </c>
      <c r="C197" s="394">
        <v>387.6</v>
      </c>
      <c r="D197" s="420">
        <f t="shared" si="4"/>
        <v>1.5457165313073284E-2</v>
      </c>
      <c r="E197" s="394"/>
      <c r="F197" s="418">
        <v>24039.35</v>
      </c>
      <c r="G197" s="420">
        <f t="shared" si="5"/>
        <v>7.86947653516612E-3</v>
      </c>
      <c r="H197" s="397"/>
      <c r="I197" s="397"/>
      <c r="J197" s="397"/>
      <c r="K197" s="394"/>
      <c r="L197" s="396"/>
      <c r="S197" s="393"/>
      <c r="T197" s="394"/>
      <c r="U197" s="394"/>
    </row>
    <row r="198" spans="2:21" x14ac:dyDescent="0.2">
      <c r="B198" s="426">
        <v>45774</v>
      </c>
      <c r="C198" s="394">
        <v>381.75</v>
      </c>
      <c r="D198" s="420">
        <f t="shared" si="4"/>
        <v>-1.5092879256966008E-2</v>
      </c>
      <c r="E198" s="394"/>
      <c r="F198" s="418">
        <v>24346.7</v>
      </c>
      <c r="G198" s="420">
        <f t="shared" si="5"/>
        <v>1.2785287455775673E-2</v>
      </c>
      <c r="H198" s="397"/>
      <c r="I198" s="397"/>
      <c r="J198" s="397"/>
      <c r="K198" s="394"/>
      <c r="L198" s="396"/>
      <c r="S198" s="393"/>
      <c r="T198" s="394"/>
      <c r="U198" s="394"/>
    </row>
    <row r="199" spans="2:21" x14ac:dyDescent="0.2">
      <c r="B199" s="426">
        <v>45781</v>
      </c>
      <c r="C199" s="394">
        <v>371</v>
      </c>
      <c r="D199" s="420">
        <f t="shared" si="4"/>
        <v>-2.8159790438768817E-2</v>
      </c>
      <c r="E199" s="394"/>
      <c r="F199" s="418">
        <v>24008</v>
      </c>
      <c r="G199" s="420">
        <f t="shared" si="5"/>
        <v>-1.391153626569519E-2</v>
      </c>
      <c r="H199" s="397"/>
      <c r="I199" s="397"/>
      <c r="J199" s="397"/>
      <c r="K199" s="394"/>
      <c r="L199" s="396"/>
      <c r="S199" s="393"/>
      <c r="T199" s="394"/>
      <c r="U199" s="394"/>
    </row>
    <row r="200" spans="2:21" x14ac:dyDescent="0.2">
      <c r="B200" s="426">
        <v>45788</v>
      </c>
      <c r="C200" s="394">
        <v>405.8</v>
      </c>
      <c r="D200" s="420">
        <f t="shared" si="4"/>
        <v>9.3800539083557899E-2</v>
      </c>
      <c r="E200" s="394"/>
      <c r="F200" s="418">
        <v>25019.8</v>
      </c>
      <c r="G200" s="420">
        <f t="shared" si="5"/>
        <v>4.2144285238253865E-2</v>
      </c>
      <c r="H200" s="397"/>
      <c r="I200" s="397"/>
      <c r="J200" s="397"/>
      <c r="K200" s="394"/>
      <c r="L200" s="396"/>
      <c r="S200" s="393"/>
      <c r="T200" s="394"/>
      <c r="U200" s="394"/>
    </row>
    <row r="201" spans="2:21" x14ac:dyDescent="0.2">
      <c r="B201" s="426">
        <v>45795</v>
      </c>
      <c r="C201" s="394">
        <v>402.05</v>
      </c>
      <c r="D201" s="420">
        <f t="shared" si="4"/>
        <v>-9.2410054213898363E-3</v>
      </c>
      <c r="E201" s="394"/>
      <c r="F201" s="418">
        <v>24853.15</v>
      </c>
      <c r="G201" s="420">
        <f t="shared" si="5"/>
        <v>-6.660724706032739E-3</v>
      </c>
      <c r="H201" s="397"/>
      <c r="I201" s="397"/>
      <c r="J201" s="397"/>
      <c r="K201" s="394"/>
      <c r="L201" s="396"/>
      <c r="S201" s="393"/>
      <c r="T201" s="394"/>
      <c r="U201" s="394"/>
    </row>
    <row r="202" spans="2:21" x14ac:dyDescent="0.2">
      <c r="B202" s="426">
        <v>45802</v>
      </c>
      <c r="C202" s="394">
        <v>392.8</v>
      </c>
      <c r="D202" s="420">
        <f t="shared" si="4"/>
        <v>-2.3007088670563336E-2</v>
      </c>
      <c r="E202" s="394"/>
      <c r="F202" s="418">
        <v>24750.7</v>
      </c>
      <c r="G202" s="420">
        <f t="shared" si="5"/>
        <v>-4.1222138843567402E-3</v>
      </c>
      <c r="H202" s="397"/>
      <c r="I202" s="397"/>
      <c r="J202" s="397"/>
      <c r="K202" s="394"/>
      <c r="L202" s="396"/>
      <c r="S202" s="393"/>
      <c r="T202" s="394"/>
      <c r="U202" s="394"/>
    </row>
    <row r="203" spans="2:21" x14ac:dyDescent="0.2">
      <c r="B203" s="426">
        <v>45809</v>
      </c>
      <c r="C203" s="394">
        <v>399.55</v>
      </c>
      <c r="D203" s="420">
        <f t="shared" ref="D203:D266" si="6">C203/C202-1</f>
        <v>1.7184317718941022E-2</v>
      </c>
      <c r="E203" s="394"/>
      <c r="F203" s="418">
        <v>25003.05</v>
      </c>
      <c r="G203" s="420">
        <f t="shared" si="5"/>
        <v>1.0195671233540704E-2</v>
      </c>
      <c r="H203" s="397"/>
      <c r="I203" s="397"/>
      <c r="J203" s="397"/>
      <c r="K203" s="394"/>
      <c r="L203" s="396"/>
      <c r="S203" s="393"/>
      <c r="T203" s="394"/>
      <c r="U203" s="394"/>
    </row>
    <row r="204" spans="2:21" x14ac:dyDescent="0.2">
      <c r="B204" s="426">
        <v>45816</v>
      </c>
      <c r="C204" s="394">
        <v>397.2</v>
      </c>
      <c r="D204" s="420">
        <f t="shared" si="6"/>
        <v>-5.8816168189212981E-3</v>
      </c>
      <c r="E204" s="394"/>
      <c r="F204" s="418">
        <v>24718.6</v>
      </c>
      <c r="G204" s="420">
        <f t="shared" ref="G204:G267" si="7">F204/F203-1</f>
        <v>-1.1376612053329516E-2</v>
      </c>
      <c r="H204" s="397"/>
      <c r="I204" s="397"/>
      <c r="J204" s="397"/>
      <c r="K204" s="394"/>
      <c r="L204" s="396"/>
      <c r="S204" s="393"/>
      <c r="T204" s="394"/>
      <c r="U204" s="394"/>
    </row>
    <row r="205" spans="2:21" x14ac:dyDescent="0.2">
      <c r="B205" s="426">
        <v>45823</v>
      </c>
      <c r="C205" s="394">
        <v>390.1</v>
      </c>
      <c r="D205" s="420">
        <f t="shared" si="6"/>
        <v>-1.787512588116813E-2</v>
      </c>
      <c r="E205" s="394"/>
      <c r="F205" s="418">
        <v>25112.400000000001</v>
      </c>
      <c r="G205" s="420">
        <f t="shared" si="7"/>
        <v>1.5931322971365791E-2</v>
      </c>
      <c r="H205" s="397"/>
      <c r="I205" s="397"/>
      <c r="J205" s="397"/>
      <c r="K205" s="394"/>
      <c r="L205" s="396"/>
      <c r="S205" s="393"/>
      <c r="T205" s="394"/>
      <c r="U205" s="394"/>
    </row>
    <row r="206" spans="2:21" x14ac:dyDescent="0.2">
      <c r="B206" s="426">
        <v>45830</v>
      </c>
      <c r="C206" s="394">
        <v>408.85</v>
      </c>
      <c r="D206" s="420">
        <f t="shared" si="6"/>
        <v>4.8064598820815263E-2</v>
      </c>
      <c r="E206" s="394"/>
      <c r="F206" s="418">
        <v>25637.8</v>
      </c>
      <c r="G206" s="420">
        <f t="shared" si="7"/>
        <v>2.092193498032846E-2</v>
      </c>
      <c r="H206" s="397"/>
      <c r="I206" s="397"/>
      <c r="J206" s="397"/>
      <c r="K206" s="394"/>
      <c r="L206" s="396"/>
      <c r="S206" s="393"/>
      <c r="T206" s="394"/>
      <c r="U206" s="394"/>
    </row>
    <row r="207" spans="2:21" x14ac:dyDescent="0.2">
      <c r="B207" s="426">
        <v>45837</v>
      </c>
      <c r="C207" s="394">
        <v>401</v>
      </c>
      <c r="D207" s="420">
        <f t="shared" si="6"/>
        <v>-1.9200195670784015E-2</v>
      </c>
      <c r="E207" s="394"/>
      <c r="F207" s="418">
        <v>25461</v>
      </c>
      <c r="G207" s="420">
        <f t="shared" si="7"/>
        <v>-6.8960675252947023E-3</v>
      </c>
      <c r="H207" s="397"/>
      <c r="I207" s="397"/>
      <c r="J207" s="397"/>
      <c r="K207" s="394"/>
      <c r="L207" s="396"/>
      <c r="S207" s="393"/>
      <c r="T207" s="394"/>
      <c r="U207" s="394"/>
    </row>
    <row r="208" spans="2:21" x14ac:dyDescent="0.2">
      <c r="B208" s="426">
        <v>45844</v>
      </c>
      <c r="C208" s="394">
        <v>396.85</v>
      </c>
      <c r="D208" s="420">
        <f t="shared" si="6"/>
        <v>-1.0349127182044837E-2</v>
      </c>
      <c r="E208" s="394"/>
      <c r="F208" s="418">
        <v>25149.85</v>
      </c>
      <c r="G208" s="420">
        <f t="shared" si="7"/>
        <v>-1.2220651192019205E-2</v>
      </c>
      <c r="H208" s="397"/>
      <c r="I208" s="397"/>
      <c r="J208" s="397"/>
      <c r="K208" s="394"/>
      <c r="L208" s="396"/>
      <c r="S208" s="393"/>
      <c r="T208" s="394"/>
      <c r="U208" s="394"/>
    </row>
    <row r="209" spans="2:21" x14ac:dyDescent="0.2">
      <c r="B209" s="426">
        <v>45851</v>
      </c>
      <c r="C209" s="394">
        <v>407.9</v>
      </c>
      <c r="D209" s="420">
        <f t="shared" si="6"/>
        <v>2.784427365503328E-2</v>
      </c>
      <c r="E209" s="394"/>
      <c r="F209" s="418">
        <v>24968.400000000001</v>
      </c>
      <c r="G209" s="420">
        <f t="shared" si="7"/>
        <v>-7.214754759968578E-3</v>
      </c>
      <c r="H209" s="397"/>
      <c r="I209" s="397"/>
      <c r="J209" s="397"/>
      <c r="K209" s="394"/>
      <c r="L209" s="396"/>
      <c r="S209" s="393"/>
      <c r="T209" s="394"/>
      <c r="U209" s="394"/>
    </row>
    <row r="210" spans="2:21" x14ac:dyDescent="0.2">
      <c r="B210" s="426">
        <v>45858</v>
      </c>
      <c r="C210" s="394">
        <v>395.35</v>
      </c>
      <c r="D210" s="420">
        <f t="shared" si="6"/>
        <v>-3.0767344937484564E-2</v>
      </c>
      <c r="E210" s="394"/>
      <c r="F210" s="418">
        <v>24837</v>
      </c>
      <c r="G210" s="420">
        <f t="shared" si="7"/>
        <v>-5.2626519921180615E-3</v>
      </c>
      <c r="H210" s="397"/>
      <c r="I210" s="397"/>
      <c r="J210" s="397"/>
      <c r="K210" s="394"/>
      <c r="L210" s="396"/>
      <c r="S210" s="393"/>
      <c r="T210" s="394"/>
      <c r="U210" s="394"/>
    </row>
    <row r="211" spans="2:21" x14ac:dyDescent="0.2">
      <c r="B211" s="426">
        <v>45865</v>
      </c>
      <c r="C211" s="394">
        <v>389.3</v>
      </c>
      <c r="D211" s="420">
        <f t="shared" si="6"/>
        <v>-1.530289616795244E-2</v>
      </c>
      <c r="E211" s="394"/>
      <c r="F211" s="418">
        <v>24565.35</v>
      </c>
      <c r="G211" s="420">
        <f t="shared" si="7"/>
        <v>-1.0937311269477057E-2</v>
      </c>
      <c r="H211" s="397"/>
      <c r="I211" s="397"/>
      <c r="J211" s="397"/>
      <c r="K211" s="394"/>
      <c r="L211" s="396"/>
      <c r="S211" s="393"/>
      <c r="T211" s="394"/>
      <c r="U211" s="394"/>
    </row>
    <row r="212" spans="2:21" x14ac:dyDescent="0.2">
      <c r="B212" s="426">
        <v>45872</v>
      </c>
      <c r="C212" s="394">
        <v>378.8</v>
      </c>
      <c r="D212" s="420">
        <f t="shared" si="6"/>
        <v>-2.697148728487031E-2</v>
      </c>
      <c r="E212" s="394"/>
      <c r="F212" s="418">
        <v>24363.3</v>
      </c>
      <c r="G212" s="420">
        <f t="shared" si="7"/>
        <v>-8.2249998473459263E-3</v>
      </c>
      <c r="H212" s="397"/>
      <c r="I212" s="397"/>
      <c r="J212" s="397"/>
      <c r="K212" s="394"/>
      <c r="L212" s="396"/>
      <c r="S212" s="393"/>
      <c r="T212" s="394"/>
      <c r="U212" s="394"/>
    </row>
    <row r="213" spans="2:21" x14ac:dyDescent="0.2">
      <c r="B213" s="426">
        <v>45879</v>
      </c>
      <c r="C213" s="394">
        <v>385.3</v>
      </c>
      <c r="D213" s="420">
        <f t="shared" si="6"/>
        <v>1.7159450897571205E-2</v>
      </c>
      <c r="E213" s="394"/>
      <c r="F213" s="418">
        <v>24631.3</v>
      </c>
      <c r="G213" s="420">
        <f t="shared" si="7"/>
        <v>1.100015186776826E-2</v>
      </c>
      <c r="H213" s="397"/>
      <c r="I213" s="397"/>
      <c r="J213" s="397"/>
      <c r="K213" s="394"/>
      <c r="L213" s="396"/>
      <c r="S213" s="393"/>
      <c r="T213" s="394"/>
      <c r="U213" s="394"/>
    </row>
    <row r="214" spans="2:21" x14ac:dyDescent="0.2">
      <c r="B214" s="426">
        <v>45886</v>
      </c>
      <c r="C214" s="394">
        <v>385.6</v>
      </c>
      <c r="D214" s="420">
        <f t="shared" si="6"/>
        <v>7.7861406696078106E-4</v>
      </c>
      <c r="E214" s="394"/>
      <c r="F214" s="418">
        <v>24870.1</v>
      </c>
      <c r="G214" s="420">
        <f t="shared" si="7"/>
        <v>9.6949815884666002E-3</v>
      </c>
      <c r="H214" s="397"/>
      <c r="I214" s="397"/>
      <c r="J214" s="397"/>
      <c r="K214" s="394"/>
      <c r="L214" s="396"/>
      <c r="S214" s="393"/>
      <c r="T214" s="394"/>
      <c r="U214" s="394"/>
    </row>
    <row r="215" spans="2:21" x14ac:dyDescent="0.2">
      <c r="B215" s="426">
        <v>45893</v>
      </c>
      <c r="C215" s="394">
        <v>374.15</v>
      </c>
      <c r="D215" s="420">
        <f t="shared" si="6"/>
        <v>-2.9693983402489743E-2</v>
      </c>
      <c r="E215" s="394"/>
      <c r="F215" s="418">
        <v>24426.85</v>
      </c>
      <c r="G215" s="420">
        <f t="shared" si="7"/>
        <v>-1.7822606262138052E-2</v>
      </c>
      <c r="H215" s="397"/>
      <c r="I215" s="397"/>
      <c r="J215" s="397"/>
      <c r="K215" s="394"/>
      <c r="L215" s="396"/>
      <c r="S215" s="393"/>
      <c r="T215" s="394"/>
      <c r="U215" s="394"/>
    </row>
    <row r="216" spans="2:21" x14ac:dyDescent="0.2">
      <c r="B216" s="426">
        <v>45900</v>
      </c>
      <c r="C216" s="394">
        <v>385.8</v>
      </c>
      <c r="D216" s="420">
        <f t="shared" si="6"/>
        <v>3.1137244420686994E-2</v>
      </c>
      <c r="E216" s="394"/>
      <c r="F216" s="418">
        <v>24741</v>
      </c>
      <c r="G216" s="420">
        <f t="shared" si="7"/>
        <v>1.2860847796584585E-2</v>
      </c>
      <c r="H216" s="397"/>
      <c r="I216" s="397"/>
      <c r="J216" s="397"/>
      <c r="K216" s="394"/>
      <c r="L216" s="396"/>
      <c r="S216" s="393"/>
      <c r="T216" s="394"/>
      <c r="U216" s="394"/>
    </row>
    <row r="217" spans="2:21" x14ac:dyDescent="0.2">
      <c r="B217" s="426">
        <v>45907</v>
      </c>
      <c r="C217" s="394">
        <v>386.25</v>
      </c>
      <c r="D217" s="420">
        <f t="shared" si="6"/>
        <v>1.166407465007735E-3</v>
      </c>
      <c r="E217" s="394"/>
      <c r="F217" s="418">
        <v>25114</v>
      </c>
      <c r="G217" s="420">
        <f t="shared" si="7"/>
        <v>1.5076189321369338E-2</v>
      </c>
      <c r="H217" s="397"/>
      <c r="I217" s="397"/>
      <c r="J217" s="397"/>
      <c r="K217" s="394"/>
      <c r="L217" s="396"/>
      <c r="S217" s="393"/>
      <c r="T217" s="394"/>
      <c r="U217" s="394"/>
    </row>
    <row r="218" spans="2:21" x14ac:dyDescent="0.2">
      <c r="B218" s="426">
        <v>45914</v>
      </c>
      <c r="C218" s="394">
        <v>396.3</v>
      </c>
      <c r="D218" s="420">
        <f t="shared" si="6"/>
        <v>2.6019417475728224E-2</v>
      </c>
      <c r="E218" s="394"/>
      <c r="F218" s="418">
        <v>25327.05</v>
      </c>
      <c r="G218" s="420">
        <f t="shared" si="7"/>
        <v>8.4833160786812467E-3</v>
      </c>
      <c r="H218" s="397"/>
      <c r="I218" s="397"/>
      <c r="J218" s="397"/>
      <c r="K218" s="394"/>
      <c r="L218" s="396"/>
      <c r="S218" s="393"/>
      <c r="T218" s="394"/>
      <c r="U218" s="394"/>
    </row>
    <row r="219" spans="2:21" x14ac:dyDescent="0.2">
      <c r="B219" s="426">
        <v>45921</v>
      </c>
      <c r="C219" s="394">
        <v>383.8</v>
      </c>
      <c r="D219" s="420">
        <f t="shared" si="6"/>
        <v>-3.1541761291950521E-2</v>
      </c>
      <c r="E219" s="394"/>
      <c r="F219" s="418">
        <v>24654.7</v>
      </c>
      <c r="G219" s="420">
        <f t="shared" si="7"/>
        <v>-2.6546715863079107E-2</v>
      </c>
      <c r="H219" s="397"/>
      <c r="I219" s="397"/>
      <c r="J219" s="397"/>
      <c r="K219" s="394"/>
      <c r="L219" s="396"/>
      <c r="S219" s="393"/>
      <c r="T219" s="394"/>
      <c r="U219" s="394"/>
    </row>
    <row r="220" spans="2:21" x14ac:dyDescent="0.2">
      <c r="B220" s="426">
        <v>45928</v>
      </c>
      <c r="C220" s="394">
        <v>394.9</v>
      </c>
      <c r="D220" s="420">
        <f t="shared" si="6"/>
        <v>2.8921313183949859E-2</v>
      </c>
      <c r="E220" s="394"/>
      <c r="F220" s="418">
        <v>24894.25</v>
      </c>
      <c r="G220" s="420">
        <f t="shared" si="7"/>
        <v>9.7162001565624934E-3</v>
      </c>
      <c r="H220" s="397"/>
      <c r="I220" s="397"/>
      <c r="J220" s="397"/>
      <c r="K220" s="394"/>
      <c r="L220" s="396"/>
      <c r="S220" s="393"/>
      <c r="T220" s="394"/>
      <c r="U220" s="394"/>
    </row>
    <row r="221" spans="2:21" x14ac:dyDescent="0.2">
      <c r="B221" s="426">
        <v>45935</v>
      </c>
      <c r="C221" s="394">
        <v>390.1</v>
      </c>
      <c r="D221" s="420">
        <f t="shared" si="6"/>
        <v>-1.2154975943276636E-2</v>
      </c>
      <c r="E221" s="394"/>
      <c r="F221" s="418">
        <v>25285.35</v>
      </c>
      <c r="G221" s="420">
        <f t="shared" si="7"/>
        <v>1.5710455225604214E-2</v>
      </c>
      <c r="H221" s="397"/>
      <c r="I221" s="397"/>
      <c r="J221" s="397"/>
      <c r="K221" s="394"/>
      <c r="L221" s="396"/>
      <c r="S221" s="393"/>
      <c r="T221" s="394"/>
      <c r="U221" s="394"/>
    </row>
    <row r="222" spans="2:21" x14ac:dyDescent="0.2">
      <c r="B222" s="426">
        <v>45942</v>
      </c>
      <c r="C222" s="394">
        <v>397.8</v>
      </c>
      <c r="D222" s="420">
        <f t="shared" si="6"/>
        <v>1.973852858241476E-2</v>
      </c>
      <c r="E222" s="394"/>
      <c r="F222" s="418">
        <v>25709.85</v>
      </c>
      <c r="G222" s="420">
        <f t="shared" si="7"/>
        <v>1.6788377459675319E-2</v>
      </c>
      <c r="H222" s="397"/>
      <c r="I222" s="397"/>
      <c r="J222" s="397"/>
      <c r="K222" s="394"/>
      <c r="L222" s="396"/>
      <c r="S222" s="393"/>
      <c r="T222" s="394"/>
      <c r="U222" s="394"/>
    </row>
    <row r="223" spans="2:21" x14ac:dyDescent="0.2">
      <c r="B223" s="426">
        <v>45949</v>
      </c>
      <c r="C223" s="394">
        <v>396.85</v>
      </c>
      <c r="D223" s="420">
        <f t="shared" si="6"/>
        <v>-2.3881347410759091E-3</v>
      </c>
      <c r="E223" s="394"/>
      <c r="F223" s="418">
        <v>25795.15</v>
      </c>
      <c r="G223" s="420">
        <f t="shared" si="7"/>
        <v>3.3177945417808274E-3</v>
      </c>
      <c r="H223" s="397"/>
      <c r="I223" s="397"/>
      <c r="J223" s="397"/>
      <c r="K223" s="394"/>
      <c r="L223" s="396"/>
      <c r="S223" s="393"/>
      <c r="T223" s="394"/>
      <c r="U223" s="394"/>
    </row>
    <row r="224" spans="2:21" x14ac:dyDescent="0.2">
      <c r="B224" s="426">
        <v>45956</v>
      </c>
      <c r="C224" s="394">
        <v>404.9</v>
      </c>
      <c r="D224" s="420">
        <f t="shared" si="6"/>
        <v>2.0284742345974438E-2</v>
      </c>
      <c r="E224" s="394"/>
      <c r="F224" s="418">
        <v>25722.1</v>
      </c>
      <c r="G224" s="420">
        <f t="shared" si="7"/>
        <v>-2.8319277073404203E-3</v>
      </c>
      <c r="H224" s="397"/>
      <c r="I224" s="397"/>
      <c r="J224" s="397"/>
      <c r="K224" s="394"/>
      <c r="L224" s="396"/>
      <c r="S224" s="393"/>
      <c r="T224" s="394"/>
      <c r="U224" s="394"/>
    </row>
    <row r="225" spans="2:21" x14ac:dyDescent="0.2">
      <c r="B225" s="426">
        <v>45963</v>
      </c>
      <c r="C225" s="394">
        <v>393.2</v>
      </c>
      <c r="D225" s="420">
        <f t="shared" si="6"/>
        <v>-2.8896023709557905E-2</v>
      </c>
      <c r="E225" s="394"/>
      <c r="F225" s="418">
        <v>25492.3</v>
      </c>
      <c r="G225" s="420">
        <f t="shared" si="7"/>
        <v>-8.9339517379996014E-3</v>
      </c>
      <c r="H225" s="397"/>
      <c r="I225" s="397"/>
      <c r="J225" s="397"/>
      <c r="K225" s="394"/>
      <c r="L225" s="396"/>
      <c r="S225" s="393"/>
      <c r="T225" s="394"/>
      <c r="U225" s="394"/>
    </row>
    <row r="226" spans="2:21" x14ac:dyDescent="0.2">
      <c r="B226" s="426">
        <v>45970</v>
      </c>
      <c r="C226" s="394">
        <v>388.4</v>
      </c>
      <c r="D226" s="420">
        <f t="shared" si="6"/>
        <v>-1.2207527975584997E-2</v>
      </c>
      <c r="E226" s="394"/>
      <c r="F226" s="418">
        <v>25910.05</v>
      </c>
      <c r="G226" s="420">
        <f t="shared" si="7"/>
        <v>1.6387301263518728E-2</v>
      </c>
      <c r="H226" s="397"/>
      <c r="I226" s="397"/>
      <c r="J226" s="397"/>
      <c r="K226" s="394"/>
      <c r="L226" s="396"/>
      <c r="S226" s="393"/>
      <c r="T226" s="394"/>
      <c r="U226" s="394"/>
    </row>
    <row r="227" spans="2:21" x14ac:dyDescent="0.2">
      <c r="B227" s="426">
        <v>45977</v>
      </c>
      <c r="C227" s="394">
        <v>387</v>
      </c>
      <c r="D227" s="420">
        <f t="shared" si="6"/>
        <v>-3.6045314109165449E-3</v>
      </c>
      <c r="E227" s="394"/>
      <c r="F227" s="418">
        <v>26068.15</v>
      </c>
      <c r="G227" s="420">
        <f t="shared" si="7"/>
        <v>6.1018793865701415E-3</v>
      </c>
      <c r="H227" s="397"/>
      <c r="I227" s="397"/>
      <c r="J227" s="397"/>
      <c r="K227" s="394"/>
      <c r="L227" s="396"/>
      <c r="S227" s="393"/>
      <c r="T227" s="394"/>
      <c r="U227" s="394"/>
    </row>
    <row r="228" spans="2:21" x14ac:dyDescent="0.2">
      <c r="B228" s="426">
        <v>45984</v>
      </c>
      <c r="C228" s="394">
        <v>390.1</v>
      </c>
      <c r="D228" s="420">
        <f t="shared" si="6"/>
        <v>8.0103359173127053E-3</v>
      </c>
      <c r="E228" s="394"/>
      <c r="F228" s="418">
        <v>26202.95</v>
      </c>
      <c r="G228" s="420">
        <f t="shared" si="7"/>
        <v>5.1710612375637233E-3</v>
      </c>
      <c r="H228" s="397"/>
      <c r="I228" s="397"/>
      <c r="J228" s="397"/>
      <c r="K228" s="394"/>
      <c r="L228" s="396"/>
      <c r="S228" s="393"/>
      <c r="T228" s="394"/>
      <c r="U228" s="394"/>
    </row>
    <row r="229" spans="2:21" x14ac:dyDescent="0.2">
      <c r="B229" s="426">
        <v>45991</v>
      </c>
      <c r="C229" s="394">
        <v>384.5</v>
      </c>
      <c r="D229" s="420">
        <f t="shared" si="6"/>
        <v>-1.4355293514483503E-2</v>
      </c>
      <c r="E229" s="394"/>
      <c r="F229" s="418">
        <v>26186.45</v>
      </c>
      <c r="G229" s="420">
        <f t="shared" si="7"/>
        <v>-6.297000910202577E-4</v>
      </c>
      <c r="H229" s="397"/>
      <c r="I229" s="397"/>
      <c r="J229" s="397"/>
      <c r="K229" s="394"/>
      <c r="L229" s="396"/>
      <c r="S229" s="393"/>
      <c r="T229" s="394"/>
      <c r="U229" s="394"/>
    </row>
    <row r="230" spans="2:21" x14ac:dyDescent="0.2">
      <c r="B230" s="426">
        <v>45998</v>
      </c>
      <c r="C230" s="394">
        <v>381.95</v>
      </c>
      <c r="D230" s="420">
        <f t="shared" si="6"/>
        <v>-6.631989596879051E-3</v>
      </c>
      <c r="E230" s="394"/>
      <c r="F230" s="418">
        <v>26046.95</v>
      </c>
      <c r="G230" s="420">
        <f t="shared" si="7"/>
        <v>-5.3271825696113995E-3</v>
      </c>
      <c r="H230" s="397"/>
      <c r="I230" s="397"/>
      <c r="J230" s="397"/>
      <c r="K230" s="394"/>
      <c r="L230" s="396"/>
      <c r="S230" s="393"/>
      <c r="T230" s="394"/>
      <c r="U230" s="394"/>
    </row>
    <row r="231" spans="2:21" x14ac:dyDescent="0.2">
      <c r="B231" s="426">
        <v>46005</v>
      </c>
      <c r="C231" s="394">
        <v>380.55</v>
      </c>
      <c r="D231" s="420">
        <f t="shared" si="6"/>
        <v>-3.6654012305274986E-3</v>
      </c>
      <c r="E231" s="394"/>
      <c r="F231" s="418">
        <v>25966.400000000001</v>
      </c>
      <c r="G231" s="420">
        <f t="shared" si="7"/>
        <v>-3.0924925951022475E-3</v>
      </c>
      <c r="H231" s="397"/>
      <c r="I231" s="397"/>
      <c r="J231" s="397"/>
      <c r="K231" s="394"/>
      <c r="L231" s="396"/>
      <c r="S231" s="393"/>
      <c r="T231" s="394"/>
      <c r="U231" s="394"/>
    </row>
    <row r="232" spans="2:21" x14ac:dyDescent="0.2">
      <c r="B232" s="426">
        <v>46012</v>
      </c>
      <c r="C232" s="394">
        <v>379.55</v>
      </c>
      <c r="D232" s="420">
        <f t="shared" si="6"/>
        <v>-2.6277755879647868E-3</v>
      </c>
      <c r="E232" s="394"/>
      <c r="F232" s="418">
        <v>26042.3</v>
      </c>
      <c r="G232" s="420">
        <f t="shared" si="7"/>
        <v>2.9230081952060782E-3</v>
      </c>
      <c r="H232" s="397"/>
      <c r="I232" s="397"/>
      <c r="J232" s="397"/>
      <c r="K232" s="394"/>
      <c r="L232" s="396"/>
      <c r="S232" s="393"/>
      <c r="T232" s="394"/>
      <c r="U232" s="394"/>
    </row>
    <row r="233" spans="2:21" x14ac:dyDescent="0.2">
      <c r="B233" s="426">
        <v>46019</v>
      </c>
      <c r="C233" s="394">
        <v>393.1</v>
      </c>
      <c r="D233" s="420">
        <f t="shared" si="6"/>
        <v>3.5700171255434121E-2</v>
      </c>
      <c r="E233" s="394"/>
      <c r="F233" s="418">
        <v>26328.55</v>
      </c>
      <c r="G233" s="420">
        <f t="shared" si="7"/>
        <v>1.0991732681061128E-2</v>
      </c>
      <c r="H233" s="397"/>
      <c r="I233" s="397"/>
      <c r="J233" s="397"/>
      <c r="K233" s="394"/>
      <c r="L233" s="396"/>
      <c r="S233" s="393"/>
      <c r="T233" s="394"/>
      <c r="U233" s="394"/>
    </row>
    <row r="234" spans="2:21" x14ac:dyDescent="0.2">
      <c r="B234" s="426">
        <v>46026</v>
      </c>
      <c r="C234" s="394">
        <v>364.8</v>
      </c>
      <c r="D234" s="420">
        <f t="shared" si="6"/>
        <v>-7.1991859577715589E-2</v>
      </c>
      <c r="E234" s="394"/>
      <c r="F234" s="418">
        <v>25683.3</v>
      </c>
      <c r="G234" s="420">
        <f t="shared" si="7"/>
        <v>-2.4507616256877029E-2</v>
      </c>
      <c r="H234" s="397"/>
      <c r="I234" s="397"/>
      <c r="J234" s="397"/>
      <c r="K234" s="394"/>
      <c r="L234" s="396"/>
      <c r="S234" s="393"/>
      <c r="T234" s="394"/>
      <c r="U234" s="394"/>
    </row>
    <row r="235" spans="2:21" x14ac:dyDescent="0.2">
      <c r="B235" s="426">
        <v>46033</v>
      </c>
      <c r="C235" s="394">
        <v>366.1</v>
      </c>
      <c r="D235" s="420">
        <f t="shared" si="6"/>
        <v>3.5635964912281715E-3</v>
      </c>
      <c r="E235" s="394"/>
      <c r="F235" s="418">
        <v>25694.35</v>
      </c>
      <c r="G235" s="420">
        <f t="shared" si="7"/>
        <v>4.3024066222008273E-4</v>
      </c>
      <c r="H235" s="397"/>
      <c r="I235" s="397"/>
      <c r="J235" s="397"/>
      <c r="K235" s="394"/>
      <c r="L235" s="396"/>
      <c r="S235" s="393"/>
      <c r="T235" s="394"/>
      <c r="U235" s="394"/>
    </row>
    <row r="236" spans="2:21" x14ac:dyDescent="0.2">
      <c r="B236" s="426">
        <v>46040</v>
      </c>
      <c r="C236" s="394">
        <v>345.25</v>
      </c>
      <c r="D236" s="420">
        <f t="shared" si="6"/>
        <v>-5.6951652553947074E-2</v>
      </c>
      <c r="E236" s="394"/>
      <c r="F236" s="418">
        <v>25048.65</v>
      </c>
      <c r="G236" s="420">
        <f t="shared" si="7"/>
        <v>-2.5130038315816394E-2</v>
      </c>
      <c r="H236" s="397"/>
      <c r="I236" s="397"/>
      <c r="J236" s="397"/>
      <c r="K236" s="394"/>
      <c r="L236" s="396"/>
      <c r="S236" s="393"/>
      <c r="T236" s="394"/>
      <c r="U236" s="394"/>
    </row>
    <row r="237" spans="2:21" x14ac:dyDescent="0.2">
      <c r="B237" s="426">
        <v>46047</v>
      </c>
      <c r="C237" s="394">
        <v>366.3</v>
      </c>
      <c r="D237" s="420">
        <f t="shared" si="6"/>
        <v>6.097031136857356E-2</v>
      </c>
      <c r="E237" s="394"/>
      <c r="F237" s="418">
        <v>25320.65</v>
      </c>
      <c r="G237" s="420">
        <f t="shared" si="7"/>
        <v>1.0858868641623332E-2</v>
      </c>
      <c r="H237" s="397"/>
      <c r="I237" s="397"/>
      <c r="J237" s="397"/>
      <c r="K237" s="394"/>
      <c r="L237" s="396"/>
      <c r="S237" s="393"/>
      <c r="T237" s="394"/>
      <c r="U237" s="394"/>
    </row>
    <row r="238" spans="2:21" x14ac:dyDescent="0.2">
      <c r="B238" s="426">
        <v>46054</v>
      </c>
      <c r="C238" s="394">
        <v>365.95</v>
      </c>
      <c r="D238" s="420">
        <f t="shared" si="6"/>
        <v>-9.5550095550100966E-4</v>
      </c>
      <c r="E238" s="394"/>
      <c r="F238" s="418">
        <v>25693.7</v>
      </c>
      <c r="G238" s="420">
        <f t="shared" si="7"/>
        <v>1.4733034104574605E-2</v>
      </c>
      <c r="H238" s="397"/>
      <c r="I238" s="397"/>
      <c r="J238" s="397"/>
      <c r="K238" s="394"/>
      <c r="L238" s="396"/>
      <c r="S238" s="393"/>
      <c r="T238" s="394"/>
      <c r="U238" s="394"/>
    </row>
    <row r="239" spans="2:21" x14ac:dyDescent="0.2">
      <c r="B239" s="426">
        <v>46061</v>
      </c>
      <c r="C239" s="394">
        <v>374.1</v>
      </c>
      <c r="D239" s="420">
        <f t="shared" si="6"/>
        <v>2.2270802022134273E-2</v>
      </c>
      <c r="E239" s="394"/>
      <c r="F239" s="418">
        <v>25471.1</v>
      </c>
      <c r="G239" s="420">
        <f t="shared" si="7"/>
        <v>-8.6636023616685209E-3</v>
      </c>
      <c r="H239" s="397"/>
      <c r="I239" s="397"/>
      <c r="J239" s="397"/>
      <c r="K239" s="394"/>
      <c r="L239" s="396"/>
      <c r="S239" s="393"/>
      <c r="T239" s="394"/>
      <c r="U239" s="394"/>
    </row>
    <row r="240" spans="2:21" x14ac:dyDescent="0.2">
      <c r="B240" s="426">
        <v>46068</v>
      </c>
      <c r="C240" s="394">
        <v>378</v>
      </c>
      <c r="D240" s="420">
        <f t="shared" si="6"/>
        <v>1.0425020048115519E-2</v>
      </c>
      <c r="E240" s="394"/>
      <c r="F240" s="418">
        <v>25571.25</v>
      </c>
      <c r="G240" s="420">
        <f t="shared" si="7"/>
        <v>3.9319071418195684E-3</v>
      </c>
      <c r="H240" s="397"/>
      <c r="I240" s="397"/>
      <c r="J240" s="397"/>
      <c r="K240" s="394"/>
      <c r="L240" s="396"/>
      <c r="S240" s="393"/>
      <c r="T240" s="394"/>
      <c r="U240" s="394"/>
    </row>
    <row r="241" spans="2:21" x14ac:dyDescent="0.2">
      <c r="B241" s="426">
        <v>46075</v>
      </c>
      <c r="C241" s="394">
        <v>377.55</v>
      </c>
      <c r="D241" s="420">
        <f t="shared" si="6"/>
        <v>-1.1904761904761862E-3</v>
      </c>
      <c r="E241" s="394"/>
      <c r="F241" s="418">
        <v>25178.65</v>
      </c>
      <c r="G241" s="420">
        <f t="shared" si="7"/>
        <v>-1.5353179840641329E-2</v>
      </c>
      <c r="H241" s="397"/>
      <c r="I241" s="397"/>
      <c r="J241" s="397"/>
      <c r="K241" s="394"/>
      <c r="L241" s="396"/>
      <c r="S241" s="393"/>
      <c r="T241" s="394"/>
      <c r="U241" s="394"/>
    </row>
    <row r="242" spans="2:21" x14ac:dyDescent="0.2">
      <c r="B242" s="426">
        <v>46082</v>
      </c>
      <c r="C242" s="394">
        <v>375.5</v>
      </c>
      <c r="D242" s="420">
        <f t="shared" si="6"/>
        <v>-5.4297444047146648E-3</v>
      </c>
      <c r="E242" s="394"/>
      <c r="F242" s="418">
        <v>24450.45</v>
      </c>
      <c r="G242" s="420">
        <f t="shared" si="7"/>
        <v>-2.892132818876314E-2</v>
      </c>
      <c r="H242" s="397"/>
      <c r="I242" s="397"/>
      <c r="J242" s="397"/>
      <c r="K242" s="394"/>
      <c r="L242" s="396"/>
      <c r="S242" s="393"/>
      <c r="T242" s="394"/>
      <c r="U242" s="394"/>
    </row>
    <row r="243" spans="2:21" x14ac:dyDescent="0.2">
      <c r="B243" s="426">
        <v>46089</v>
      </c>
      <c r="C243" s="394">
        <v>394.95</v>
      </c>
      <c r="D243" s="420">
        <f t="shared" si="6"/>
        <v>5.1797603195739006E-2</v>
      </c>
      <c r="E243" s="394"/>
      <c r="F243" s="418">
        <v>23151.1</v>
      </c>
      <c r="G243" s="420">
        <f t="shared" si="7"/>
        <v>-5.3142171207482991E-2</v>
      </c>
      <c r="H243" s="397"/>
      <c r="I243" s="397"/>
      <c r="J243" s="397"/>
      <c r="K243" s="394"/>
      <c r="L243" s="396"/>
      <c r="S243" s="393"/>
      <c r="T243" s="394"/>
      <c r="U243" s="394"/>
    </row>
    <row r="244" spans="2:21" x14ac:dyDescent="0.2">
      <c r="B244" s="426">
        <v>46096</v>
      </c>
      <c r="C244" s="394">
        <v>402.4</v>
      </c>
      <c r="D244" s="420">
        <f t="shared" si="6"/>
        <v>1.8863147233826982E-2</v>
      </c>
      <c r="E244" s="394"/>
      <c r="F244" s="418">
        <v>23114.5</v>
      </c>
      <c r="G244" s="420">
        <f t="shared" si="7"/>
        <v>-1.5809184012853805E-3</v>
      </c>
      <c r="H244" s="397"/>
      <c r="I244" s="397"/>
      <c r="J244" s="397"/>
      <c r="K244" s="394"/>
      <c r="L244" s="396"/>
      <c r="S244" s="393"/>
      <c r="T244" s="394"/>
      <c r="U244" s="394"/>
    </row>
    <row r="245" spans="2:21" x14ac:dyDescent="0.2">
      <c r="B245" s="426">
        <v>46103</v>
      </c>
      <c r="C245" s="394">
        <v>385.7</v>
      </c>
      <c r="D245" s="420">
        <f t="shared" si="6"/>
        <v>-4.1500994035785221E-2</v>
      </c>
      <c r="E245" s="394"/>
      <c r="F245" s="418">
        <v>22819.599999999999</v>
      </c>
      <c r="G245" s="420">
        <f t="shared" si="7"/>
        <v>-1.275822535637805E-2</v>
      </c>
      <c r="H245" s="397"/>
      <c r="I245" s="397"/>
      <c r="J245" s="397"/>
      <c r="K245" s="394"/>
      <c r="L245" s="396"/>
      <c r="S245" s="393"/>
      <c r="T245" s="394"/>
      <c r="U245" s="394"/>
    </row>
    <row r="246" spans="2:21" x14ac:dyDescent="0.2">
      <c r="B246" s="426">
        <v>46110</v>
      </c>
      <c r="C246" s="394">
        <v>385</v>
      </c>
      <c r="D246" s="420">
        <f t="shared" si="6"/>
        <v>-1.8148820326678861E-3</v>
      </c>
      <c r="E246" s="394"/>
      <c r="F246" s="418">
        <v>22713.1</v>
      </c>
      <c r="G246" s="420">
        <f t="shared" si="7"/>
        <v>-4.6670406142088616E-3</v>
      </c>
      <c r="H246" s="397"/>
      <c r="I246" s="397"/>
      <c r="J246" s="397"/>
      <c r="K246" s="394"/>
      <c r="L246" s="396"/>
      <c r="S246" s="393"/>
      <c r="T246" s="394"/>
      <c r="U246" s="394"/>
    </row>
    <row r="247" spans="2:21" x14ac:dyDescent="0.2">
      <c r="B247" s="426">
        <v>46117</v>
      </c>
      <c r="C247" s="394">
        <v>399.35</v>
      </c>
      <c r="D247" s="420">
        <f t="shared" si="6"/>
        <v>3.7272727272727346E-2</v>
      </c>
      <c r="E247" s="394"/>
      <c r="F247" s="418">
        <v>24050.6</v>
      </c>
      <c r="G247" s="420">
        <f t="shared" si="7"/>
        <v>5.8886721759689342E-2</v>
      </c>
      <c r="H247" s="397"/>
      <c r="I247" s="397"/>
      <c r="J247" s="397"/>
      <c r="K247" s="394"/>
      <c r="L247" s="396"/>
      <c r="S247" s="393"/>
      <c r="T247" s="394"/>
      <c r="U247" s="394"/>
    </row>
    <row r="248" spans="2:21" x14ac:dyDescent="0.2">
      <c r="B248" s="426">
        <v>46124</v>
      </c>
      <c r="C248" s="394">
        <v>427.6</v>
      </c>
      <c r="D248" s="420">
        <f t="shared" si="6"/>
        <v>7.0739952422686825E-2</v>
      </c>
      <c r="E248" s="394"/>
      <c r="F248" s="418">
        <v>24353.55</v>
      </c>
      <c r="G248" s="420">
        <f t="shared" si="7"/>
        <v>1.2596359342386565E-2</v>
      </c>
      <c r="H248" s="397"/>
      <c r="I248" s="397"/>
      <c r="J248" s="397"/>
      <c r="K248" s="394"/>
      <c r="L248" s="396"/>
      <c r="S248" s="393"/>
      <c r="T248" s="394"/>
      <c r="U248" s="394"/>
    </row>
    <row r="249" spans="2:21" x14ac:dyDescent="0.2">
      <c r="B249" s="426">
        <v>46131</v>
      </c>
      <c r="C249" s="394">
        <v>435</v>
      </c>
      <c r="D249" s="420">
        <f t="shared" si="6"/>
        <v>1.7305893358278812E-2</v>
      </c>
      <c r="E249" s="394"/>
      <c r="F249" s="418">
        <v>23897.95</v>
      </c>
      <c r="G249" s="420">
        <f t="shared" si="7"/>
        <v>-1.8707744866764742E-2</v>
      </c>
      <c r="H249" s="397"/>
      <c r="I249" s="397"/>
      <c r="J249" s="397"/>
      <c r="K249" s="394"/>
      <c r="L249" s="396"/>
      <c r="S249" s="393"/>
      <c r="T249" s="394"/>
      <c r="U249" s="394"/>
    </row>
    <row r="250" spans="2:21" x14ac:dyDescent="0.2">
      <c r="B250" s="426">
        <v>46138</v>
      </c>
      <c r="C250" s="394">
        <v>444.55</v>
      </c>
      <c r="D250" s="420">
        <f t="shared" si="6"/>
        <v>2.1954022988505795E-2</v>
      </c>
      <c r="E250" s="394"/>
      <c r="F250" s="418">
        <v>23997.55</v>
      </c>
      <c r="G250" s="420">
        <f t="shared" si="7"/>
        <v>4.167721499124255E-3</v>
      </c>
      <c r="H250" s="397"/>
      <c r="I250" s="397"/>
      <c r="J250" s="397"/>
      <c r="K250" s="394"/>
      <c r="L250" s="396"/>
      <c r="S250" s="393"/>
      <c r="T250" s="394"/>
      <c r="U250" s="394"/>
    </row>
    <row r="251" spans="2:21" x14ac:dyDescent="0.2">
      <c r="B251" s="426">
        <v>46145</v>
      </c>
      <c r="C251" s="394">
        <v>436</v>
      </c>
      <c r="D251" s="420">
        <f t="shared" si="6"/>
        <v>-1.9232932178607554E-2</v>
      </c>
      <c r="E251" s="394"/>
      <c r="F251" s="418">
        <v>24176.15</v>
      </c>
      <c r="G251" s="420">
        <f t="shared" si="7"/>
        <v>7.4424264143633234E-3</v>
      </c>
      <c r="H251" s="397"/>
      <c r="I251" s="397"/>
      <c r="J251" s="397"/>
      <c r="K251" s="394"/>
      <c r="L251" s="396"/>
      <c r="S251" s="393"/>
      <c r="T251" s="394"/>
      <c r="U251" s="394"/>
    </row>
    <row r="252" spans="2:21" x14ac:dyDescent="0.2">
      <c r="B252" s="426">
        <v>46152</v>
      </c>
      <c r="C252" s="394">
        <v>407</v>
      </c>
      <c r="D252" s="420">
        <f t="shared" si="6"/>
        <v>-6.6513761467889898E-2</v>
      </c>
      <c r="E252" s="394"/>
      <c r="F252" s="418">
        <v>23643.5</v>
      </c>
      <c r="G252" s="420">
        <f t="shared" si="7"/>
        <v>-2.2032043977225579E-2</v>
      </c>
      <c r="H252" s="397"/>
      <c r="I252" s="397"/>
      <c r="J252" s="397"/>
      <c r="K252" s="394"/>
      <c r="L252" s="396"/>
      <c r="S252" s="393"/>
      <c r="T252" s="394"/>
      <c r="U252" s="394"/>
    </row>
    <row r="253" spans="2:21" x14ac:dyDescent="0.2">
      <c r="B253" s="426">
        <v>46159</v>
      </c>
      <c r="C253" s="394">
        <v>408.9</v>
      </c>
      <c r="D253" s="420">
        <f t="shared" si="6"/>
        <v>4.6683046683047014E-3</v>
      </c>
      <c r="E253" s="394"/>
      <c r="F253" s="418">
        <v>23719.3</v>
      </c>
      <c r="G253" s="420">
        <f t="shared" si="7"/>
        <v>3.2059551250871454E-3</v>
      </c>
      <c r="H253" s="397"/>
      <c r="I253" s="397"/>
      <c r="J253" s="397"/>
      <c r="K253" s="394"/>
      <c r="L253" s="396"/>
      <c r="S253" s="393"/>
      <c r="T253" s="394"/>
      <c r="U253" s="394"/>
    </row>
    <row r="254" spans="2:21" x14ac:dyDescent="0.2">
      <c r="B254" s="426">
        <v>46166</v>
      </c>
      <c r="C254" s="394">
        <v>420.75</v>
      </c>
      <c r="D254" s="420">
        <f t="shared" si="6"/>
        <v>2.8980190755686142E-2</v>
      </c>
      <c r="E254" s="394"/>
      <c r="F254" s="418">
        <v>23547.75</v>
      </c>
      <c r="G254" s="420">
        <f t="shared" si="7"/>
        <v>-7.2325068615008981E-3</v>
      </c>
      <c r="H254" s="397"/>
      <c r="I254" s="397"/>
      <c r="J254" s="397"/>
      <c r="K254" s="394"/>
      <c r="L254" s="396"/>
      <c r="S254" s="393"/>
      <c r="T254" s="394"/>
      <c r="U254" s="394"/>
    </row>
    <row r="255" spans="2:21" x14ac:dyDescent="0.2">
      <c r="B255" s="426">
        <v>46173</v>
      </c>
      <c r="C255" s="394">
        <v>409.2</v>
      </c>
      <c r="D255" s="420">
        <f t="shared" si="6"/>
        <v>-2.7450980392156876E-2</v>
      </c>
      <c r="E255" s="394"/>
      <c r="F255" s="418">
        <v>23366.7</v>
      </c>
      <c r="G255" s="420">
        <f t="shared" si="7"/>
        <v>-7.6886326719113329E-3</v>
      </c>
      <c r="H255" s="397"/>
      <c r="I255" s="397"/>
      <c r="J255" s="397"/>
      <c r="K255" s="394"/>
      <c r="L255" s="396"/>
      <c r="S255" s="393"/>
      <c r="T255" s="394"/>
      <c r="U255" s="394"/>
    </row>
    <row r="256" spans="2:21" x14ac:dyDescent="0.2">
      <c r="B256" s="426">
        <v>46180</v>
      </c>
      <c r="C256" s="394">
        <v>393.55</v>
      </c>
      <c r="D256" s="420">
        <f t="shared" si="6"/>
        <v>-3.8245356793743857E-2</v>
      </c>
      <c r="E256" s="394"/>
      <c r="F256" s="418">
        <v>23622.9</v>
      </c>
      <c r="G256" s="420">
        <f t="shared" si="7"/>
        <v>1.0964321020940027E-2</v>
      </c>
      <c r="H256" s="397"/>
      <c r="I256" s="397"/>
      <c r="J256" s="397"/>
      <c r="K256" s="394"/>
      <c r="L256" s="396"/>
      <c r="S256" s="393"/>
      <c r="T256" s="394"/>
      <c r="U256" s="394"/>
    </row>
    <row r="257" spans="2:21" x14ac:dyDescent="0.2">
      <c r="B257" s="426">
        <v>46187</v>
      </c>
      <c r="C257" s="394">
        <v>402.35</v>
      </c>
      <c r="D257" s="420">
        <f t="shared" si="6"/>
        <v>2.2360564096048918E-2</v>
      </c>
      <c r="E257" s="394"/>
      <c r="F257" s="418">
        <v>24013.1</v>
      </c>
      <c r="G257" s="420">
        <f t="shared" si="7"/>
        <v>1.6517870371546062E-2</v>
      </c>
      <c r="H257" s="397"/>
      <c r="I257" s="397"/>
      <c r="J257" s="397"/>
      <c r="K257" s="394"/>
      <c r="L257" s="396"/>
      <c r="S257" s="393"/>
      <c r="T257" s="394"/>
      <c r="U257" s="394"/>
    </row>
    <row r="258" spans="2:21" x14ac:dyDescent="0.2">
      <c r="B258" s="426">
        <v>46194</v>
      </c>
      <c r="C258" s="394">
        <v>388.95</v>
      </c>
      <c r="D258" s="420">
        <f t="shared" si="6"/>
        <v>-3.3304337020007568E-2</v>
      </c>
      <c r="E258" s="394"/>
      <c r="F258" s="418">
        <v>24056</v>
      </c>
      <c r="G258" s="420">
        <f t="shared" si="7"/>
        <v>1.7865248551833801E-3</v>
      </c>
      <c r="H258" s="397"/>
      <c r="I258" s="397"/>
      <c r="J258" s="397"/>
      <c r="K258" s="394"/>
      <c r="L258" s="396"/>
      <c r="S258" s="393"/>
      <c r="T258" s="394"/>
      <c r="U258" s="394"/>
    </row>
    <row r="259" spans="2:21" x14ac:dyDescent="0.2">
      <c r="B259" s="426">
        <v>46201</v>
      </c>
      <c r="C259" s="394">
        <v>375.2</v>
      </c>
      <c r="D259" s="420">
        <f t="shared" si="6"/>
        <v>-3.5351587607661661E-2</v>
      </c>
      <c r="E259" s="394"/>
      <c r="F259" s="418">
        <v>24270.85</v>
      </c>
      <c r="G259" s="420">
        <f t="shared" si="7"/>
        <v>8.9312437645492349E-3</v>
      </c>
      <c r="H259" s="397"/>
      <c r="I259" s="397"/>
      <c r="J259" s="397"/>
      <c r="K259" s="394"/>
      <c r="L259" s="396"/>
      <c r="S259" s="393"/>
      <c r="T259" s="394"/>
      <c r="U259" s="394"/>
    </row>
    <row r="260" spans="2:21" x14ac:dyDescent="0.2">
      <c r="B260" s="426">
        <v>46208</v>
      </c>
      <c r="C260" s="394">
        <v>381.3</v>
      </c>
      <c r="D260" s="420">
        <f t="shared" si="6"/>
        <v>1.6257995735607711E-2</v>
      </c>
      <c r="E260" s="394"/>
      <c r="F260" s="418">
        <v>24206.9</v>
      </c>
      <c r="G260" s="420">
        <f t="shared" si="7"/>
        <v>-2.6348479760699428E-3</v>
      </c>
      <c r="H260" s="397"/>
      <c r="I260" s="397"/>
      <c r="J260" s="397"/>
      <c r="K260" s="394"/>
      <c r="L260" s="396"/>
      <c r="S260" s="393"/>
      <c r="T260" s="394"/>
      <c r="U260" s="394"/>
    </row>
    <row r="261" spans="2:21" x14ac:dyDescent="0.2">
      <c r="B261" s="426">
        <v>46215</v>
      </c>
      <c r="C261" s="394">
        <v>377.25</v>
      </c>
      <c r="D261" s="420">
        <f t="shared" si="6"/>
        <v>-1.0621557828481509E-2</v>
      </c>
      <c r="E261" s="394"/>
      <c r="F261" s="418">
        <v>24334.3</v>
      </c>
      <c r="G261" s="420">
        <f t="shared" si="7"/>
        <v>5.262962213253175E-3</v>
      </c>
      <c r="H261" s="397"/>
      <c r="I261" s="397"/>
      <c r="J261" s="397"/>
      <c r="K261" s="394"/>
      <c r="L261" s="396"/>
      <c r="S261" s="393"/>
      <c r="T261" s="394"/>
      <c r="U261" s="394"/>
    </row>
    <row r="262" spans="2:21" x14ac:dyDescent="0.2">
      <c r="B262" s="426">
        <v>46222</v>
      </c>
      <c r="C262" s="394">
        <v>374.4</v>
      </c>
      <c r="D262" s="420">
        <f t="shared" si="6"/>
        <v>-7.5546719681909291E-3</v>
      </c>
      <c r="E262" s="394"/>
      <c r="F262" s="418">
        <v>23767.45</v>
      </c>
      <c r="G262" s="420">
        <f t="shared" si="7"/>
        <v>-2.3294280090242925E-2</v>
      </c>
      <c r="H262" s="397"/>
      <c r="I262" s="397"/>
      <c r="J262" s="397"/>
      <c r="K262" s="394"/>
      <c r="L262" s="396"/>
      <c r="S262" s="393"/>
      <c r="T262" s="394"/>
      <c r="U262" s="394"/>
    </row>
    <row r="263" spans="2:21" x14ac:dyDescent="0.2">
      <c r="B263" s="426">
        <v>46229</v>
      </c>
      <c r="C263" s="394">
        <v>380.7</v>
      </c>
      <c r="D263" s="420">
        <f t="shared" si="6"/>
        <v>1.6826923076923128E-2</v>
      </c>
      <c r="E263" s="394"/>
      <c r="F263" s="418">
        <v>24383.599999999999</v>
      </c>
      <c r="G263" s="420">
        <f t="shared" si="7"/>
        <v>2.5924110495656683E-2</v>
      </c>
      <c r="H263" s="397"/>
      <c r="I263" s="397"/>
      <c r="J263" s="397"/>
      <c r="K263" s="394"/>
      <c r="L263" s="396"/>
      <c r="S263" s="393"/>
      <c r="T263" s="394"/>
      <c r="U263" s="394"/>
    </row>
    <row r="264" spans="2:21" x14ac:dyDescent="0.2">
      <c r="B264" s="426">
        <v>46236</v>
      </c>
      <c r="C264" s="394">
        <v>380.55</v>
      </c>
      <c r="D264" s="420">
        <f t="shared" si="6"/>
        <v>-3.9401103230884971E-4</v>
      </c>
      <c r="E264" s="394"/>
      <c r="F264" s="418">
        <v>24570.65</v>
      </c>
      <c r="G264" s="420">
        <f t="shared" si="7"/>
        <v>7.6711396184321323E-3</v>
      </c>
      <c r="H264" s="397"/>
      <c r="I264" s="397"/>
      <c r="J264" s="397"/>
      <c r="K264" s="394"/>
      <c r="L264" s="396"/>
      <c r="S264" s="393"/>
      <c r="T264" s="394"/>
      <c r="U264" s="394"/>
    </row>
    <row r="265" spans="2:21" x14ac:dyDescent="0.2">
      <c r="B265" s="426">
        <v>46243</v>
      </c>
      <c r="C265" s="394">
        <v>382.05</v>
      </c>
      <c r="D265" s="420">
        <f t="shared" si="6"/>
        <v>3.9416633819471247E-3</v>
      </c>
      <c r="E265" s="394"/>
      <c r="F265" s="418">
        <v>24366</v>
      </c>
      <c r="G265" s="420">
        <f t="shared" si="7"/>
        <v>-8.3290429842108882E-3</v>
      </c>
      <c r="H265" s="397"/>
      <c r="I265" s="397"/>
      <c r="J265" s="397"/>
      <c r="K265" s="394"/>
      <c r="L265" s="396"/>
      <c r="S265" s="393"/>
      <c r="T265" s="394"/>
      <c r="U265" s="394"/>
    </row>
    <row r="266" spans="2:21" x14ac:dyDescent="0.2">
      <c r="B266" s="426">
        <v>46250</v>
      </c>
      <c r="C266" s="394">
        <v>374.3</v>
      </c>
      <c r="D266" s="420">
        <f t="shared" si="6"/>
        <v>-2.0285302970815322E-2</v>
      </c>
      <c r="E266" s="394"/>
      <c r="F266" s="418">
        <v>24252</v>
      </c>
      <c r="G266" s="420">
        <f t="shared" si="7"/>
        <v>-4.6786505786752253E-3</v>
      </c>
      <c r="H266" s="397"/>
      <c r="I266" s="397"/>
      <c r="J266" s="397"/>
      <c r="K266" s="394"/>
      <c r="L266" s="396"/>
      <c r="S266" s="393"/>
      <c r="T266" s="394"/>
      <c r="U266" s="394"/>
    </row>
    <row r="267" spans="2:21" x14ac:dyDescent="0.2">
      <c r="B267" s="426">
        <v>46257</v>
      </c>
      <c r="C267" s="394">
        <v>351.85</v>
      </c>
      <c r="D267" s="420">
        <f t="shared" ref="D267:D270" si="8">C267/C266-1</f>
        <v>-5.9978626769970567E-2</v>
      </c>
      <c r="E267" s="394"/>
      <c r="F267" s="418">
        <v>24175.65</v>
      </c>
      <c r="G267" s="420">
        <f t="shared" si="7"/>
        <v>-3.1481939633843936E-3</v>
      </c>
      <c r="H267" s="397"/>
      <c r="I267" s="397"/>
      <c r="J267" s="397"/>
      <c r="K267" s="394"/>
      <c r="L267" s="396"/>
      <c r="S267" s="393"/>
      <c r="T267" s="394"/>
      <c r="U267" s="394"/>
    </row>
    <row r="268" spans="2:21" x14ac:dyDescent="0.2">
      <c r="B268" s="426">
        <v>46264</v>
      </c>
      <c r="C268" s="394">
        <v>368</v>
      </c>
      <c r="D268" s="420">
        <f t="shared" si="8"/>
        <v>4.590024158021877E-2</v>
      </c>
      <c r="E268" s="394"/>
      <c r="F268" s="418">
        <v>23897.7</v>
      </c>
      <c r="G268" s="420">
        <f t="shared" ref="G268:G270" si="9">F268/F267-1</f>
        <v>-1.1497105558692322E-2</v>
      </c>
      <c r="H268" s="397"/>
      <c r="I268" s="397"/>
      <c r="J268" s="397"/>
      <c r="K268" s="394"/>
      <c r="L268" s="396"/>
      <c r="S268" s="393"/>
      <c r="T268" s="394"/>
      <c r="U268" s="394"/>
    </row>
    <row r="269" spans="2:21" x14ac:dyDescent="0.2">
      <c r="B269" s="426">
        <v>46271</v>
      </c>
      <c r="C269" s="394">
        <v>364.65</v>
      </c>
      <c r="D269" s="420">
        <f t="shared" si="8"/>
        <v>-9.103260869565255E-3</v>
      </c>
      <c r="E269" s="394"/>
      <c r="F269" s="418">
        <v>23398.1</v>
      </c>
      <c r="G269" s="420">
        <f t="shared" si="9"/>
        <v>-2.0905777543445692E-2</v>
      </c>
      <c r="H269" s="397"/>
      <c r="I269" s="397"/>
      <c r="J269" s="397"/>
      <c r="K269" s="394"/>
      <c r="L269" s="396"/>
      <c r="S269" s="393"/>
      <c r="T269" s="394"/>
      <c r="U269" s="394"/>
    </row>
    <row r="270" spans="2:21" x14ac:dyDescent="0.2">
      <c r="B270" s="427">
        <v>46278</v>
      </c>
      <c r="C270" s="428">
        <v>363</v>
      </c>
      <c r="D270" s="422">
        <f t="shared" si="8"/>
        <v>-4.5248868778280382E-3</v>
      </c>
      <c r="E270" s="394"/>
      <c r="F270" s="421">
        <v>23118.6</v>
      </c>
      <c r="G270" s="422">
        <f t="shared" si="9"/>
        <v>-1.1945414371252405E-2</v>
      </c>
      <c r="H270" s="397"/>
      <c r="I270" s="397"/>
      <c r="J270" s="397"/>
      <c r="S270" s="393"/>
      <c r="T270" s="394"/>
      <c r="U270" s="394"/>
    </row>
    <row r="273" customFormat="1" x14ac:dyDescent="0.2"/>
    <row r="274" customFormat="1" x14ac:dyDescent="0.2"/>
    <row r="275" customFormat="1" x14ac:dyDescent="0.2"/>
  </sheetData>
  <pageMargins left="0.7" right="0.7" top="0.75" bottom="0.75" header="0.3" footer="0.3"/>
  <pageSetup paperSize="9" scale="46" orientation="portrait" horizontalDpi="0" verticalDpi="0"/>
  <rowBreaks count="1" manualBreakCount="1">
    <brk id="39"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36170-FE59-9A45-8F0D-E86C09B3B089}">
  <dimension ref="A1:U275"/>
  <sheetViews>
    <sheetView showGridLines="0" zoomScaleNormal="100" workbookViewId="0">
      <selection activeCell="B1" sqref="B1"/>
    </sheetView>
  </sheetViews>
  <sheetFormatPr baseColWidth="10" defaultRowHeight="15" x14ac:dyDescent="0.2"/>
  <cols>
    <col min="1" max="1" width="3.83203125" customWidth="1"/>
    <col min="4" max="4" width="15.83203125" customWidth="1"/>
    <col min="5" max="5" width="5.83203125" customWidth="1"/>
    <col min="8" max="8" width="5.83203125" customWidth="1"/>
    <col min="9" max="9" width="15.83203125" customWidth="1"/>
  </cols>
  <sheetData>
    <row r="1" spans="1:21" ht="21" x14ac:dyDescent="0.25">
      <c r="B1" s="381" t="s">
        <v>514</v>
      </c>
      <c r="C1" s="5"/>
      <c r="D1" s="5"/>
      <c r="E1" s="5"/>
      <c r="F1" s="5"/>
      <c r="G1" s="5"/>
      <c r="H1" s="5"/>
      <c r="I1" s="5"/>
      <c r="J1" s="5"/>
      <c r="K1" s="5"/>
      <c r="L1" s="5"/>
      <c r="M1" s="5"/>
      <c r="N1" s="5"/>
      <c r="O1" s="5"/>
      <c r="P1" s="5"/>
      <c r="Q1" s="5"/>
    </row>
    <row r="2" spans="1:21" ht="19" x14ac:dyDescent="0.25">
      <c r="B2" s="492" t="s">
        <v>508</v>
      </c>
      <c r="C2" s="491"/>
      <c r="D2" s="491"/>
      <c r="E2" s="491"/>
      <c r="F2" s="491"/>
      <c r="G2" s="491"/>
      <c r="H2" s="491"/>
      <c r="I2" s="491"/>
      <c r="J2" s="491"/>
      <c r="K2" s="491"/>
      <c r="L2" s="491"/>
      <c r="M2" s="491"/>
      <c r="N2" s="491"/>
      <c r="O2" s="491"/>
      <c r="P2" s="491"/>
      <c r="Q2" s="491"/>
    </row>
    <row r="3" spans="1:21" ht="3" customHeight="1" thickBot="1" x14ac:dyDescent="0.25">
      <c r="B3" s="208"/>
      <c r="C3" s="208"/>
      <c r="D3" s="208"/>
      <c r="E3" s="208"/>
      <c r="F3" s="208"/>
      <c r="G3" s="208"/>
      <c r="H3" s="208"/>
      <c r="I3" s="208"/>
      <c r="J3" s="208"/>
      <c r="K3" s="208"/>
      <c r="L3" s="208"/>
      <c r="M3" s="208"/>
      <c r="N3" s="208"/>
      <c r="O3" s="208"/>
      <c r="P3" s="208"/>
      <c r="Q3" s="208"/>
    </row>
    <row r="4" spans="1:21" ht="16" thickTop="1" x14ac:dyDescent="0.2"/>
    <row r="5" spans="1:21" x14ac:dyDescent="0.2">
      <c r="B5" s="410" t="s">
        <v>471</v>
      </c>
      <c r="C5" s="423"/>
      <c r="D5" s="411"/>
      <c r="F5" s="410" t="s">
        <v>475</v>
      </c>
      <c r="G5" s="411"/>
      <c r="I5" s="410" t="s">
        <v>502</v>
      </c>
      <c r="J5" s="411"/>
      <c r="K5" s="398"/>
    </row>
    <row r="6" spans="1:21" ht="3" customHeight="1" x14ac:dyDescent="0.2">
      <c r="A6" s="58"/>
      <c r="B6" s="7"/>
      <c r="C6" s="7"/>
      <c r="D6" s="7"/>
      <c r="F6" s="7"/>
      <c r="G6" s="7"/>
      <c r="I6" s="7"/>
      <c r="J6" s="7"/>
    </row>
    <row r="7" spans="1:21" ht="3" customHeight="1" x14ac:dyDescent="0.2">
      <c r="A7" s="58"/>
      <c r="B7" s="8"/>
      <c r="C7" s="8"/>
      <c r="D7" s="8"/>
      <c r="F7" s="8"/>
      <c r="G7" s="8"/>
      <c r="I7" s="8"/>
      <c r="J7" s="8"/>
    </row>
    <row r="8" spans="1:21" ht="3" customHeight="1" x14ac:dyDescent="0.2">
      <c r="A8" s="58"/>
      <c r="B8" s="9"/>
      <c r="C8" s="9"/>
      <c r="D8" s="9"/>
      <c r="F8" s="9"/>
      <c r="G8" s="9"/>
      <c r="I8" s="9"/>
      <c r="J8" s="9"/>
    </row>
    <row r="9" spans="1:21" x14ac:dyDescent="0.2">
      <c r="B9" s="424" t="s">
        <v>472</v>
      </c>
      <c r="C9" s="403" t="s">
        <v>473</v>
      </c>
      <c r="D9" s="425" t="s">
        <v>474</v>
      </c>
      <c r="E9" s="402"/>
      <c r="F9" s="416" t="s">
        <v>473</v>
      </c>
      <c r="G9" s="417" t="s">
        <v>476</v>
      </c>
      <c r="H9" s="392"/>
      <c r="I9" s="58" t="s">
        <v>503</v>
      </c>
      <c r="J9" s="429">
        <f>J17</f>
        <v>1.0268912344102563</v>
      </c>
      <c r="L9" s="397"/>
      <c r="S9" s="392"/>
      <c r="T9" s="392"/>
      <c r="U9" s="392"/>
    </row>
    <row r="10" spans="1:21" x14ac:dyDescent="0.2">
      <c r="B10" s="426">
        <v>44458</v>
      </c>
      <c r="C10" s="394">
        <v>350.05</v>
      </c>
      <c r="D10" s="419">
        <v>0</v>
      </c>
      <c r="E10" s="394"/>
      <c r="F10" s="418">
        <v>17853.2</v>
      </c>
      <c r="G10" s="419">
        <v>0</v>
      </c>
      <c r="H10" s="397"/>
      <c r="I10" s="58" t="s">
        <v>504</v>
      </c>
      <c r="J10" s="413">
        <v>0.75</v>
      </c>
      <c r="L10" s="397"/>
      <c r="S10" s="393"/>
      <c r="T10" s="394"/>
      <c r="U10" s="394"/>
    </row>
    <row r="11" spans="1:21" x14ac:dyDescent="0.2">
      <c r="B11" s="426">
        <v>44465</v>
      </c>
      <c r="C11" s="394">
        <v>385.2</v>
      </c>
      <c r="D11" s="420">
        <f t="shared" ref="D11:D74" si="0">C11/C10-1</f>
        <v>0.10041422653906573</v>
      </c>
      <c r="E11" s="394"/>
      <c r="F11" s="418">
        <v>17532.05</v>
      </c>
      <c r="G11" s="420">
        <f>F11/F10-1</f>
        <v>-1.7988371832500683E-2</v>
      </c>
      <c r="H11" s="397"/>
      <c r="I11" s="58" t="s">
        <v>505</v>
      </c>
      <c r="J11" s="414">
        <v>1</v>
      </c>
      <c r="L11" s="397"/>
      <c r="S11" s="393"/>
      <c r="T11" s="394"/>
      <c r="U11" s="394"/>
    </row>
    <row r="12" spans="1:21" x14ac:dyDescent="0.2">
      <c r="B12" s="426">
        <v>44472</v>
      </c>
      <c r="C12" s="394">
        <v>381.75</v>
      </c>
      <c r="D12" s="420">
        <f t="shared" si="0"/>
        <v>-8.9563862928349058E-3</v>
      </c>
      <c r="E12" s="394"/>
      <c r="F12" s="418">
        <v>17895.2</v>
      </c>
      <c r="G12" s="420">
        <f t="shared" ref="G12:G75" si="1">F12/F11-1</f>
        <v>2.0713493288006868E-2</v>
      </c>
      <c r="H12" s="397"/>
      <c r="I12" s="58" t="s">
        <v>506</v>
      </c>
      <c r="J12" s="413">
        <v>0.25</v>
      </c>
      <c r="L12" s="397"/>
      <c r="S12" s="393"/>
      <c r="T12" s="394"/>
      <c r="U12" s="394"/>
    </row>
    <row r="13" spans="1:21" x14ac:dyDescent="0.2">
      <c r="B13" s="426">
        <v>44479</v>
      </c>
      <c r="C13" s="394">
        <v>394</v>
      </c>
      <c r="D13" s="420">
        <f t="shared" si="0"/>
        <v>3.2089063523248251E-2</v>
      </c>
      <c r="E13" s="394"/>
      <c r="F13" s="418">
        <v>18338.55</v>
      </c>
      <c r="G13" s="420">
        <f t="shared" si="1"/>
        <v>2.4774799946354342E-2</v>
      </c>
      <c r="H13" s="397"/>
      <c r="I13" s="58"/>
      <c r="J13" s="22"/>
      <c r="L13" s="397"/>
      <c r="S13" s="393"/>
      <c r="T13" s="394"/>
      <c r="U13" s="394"/>
    </row>
    <row r="14" spans="1:21" x14ac:dyDescent="0.2">
      <c r="B14" s="426">
        <v>44486</v>
      </c>
      <c r="C14" s="394">
        <v>380.85</v>
      </c>
      <c r="D14" s="420">
        <f t="shared" si="0"/>
        <v>-3.3375634517766484E-2</v>
      </c>
      <c r="E14" s="394"/>
      <c r="F14" s="418">
        <v>18114.900000000001</v>
      </c>
      <c r="G14" s="420">
        <f t="shared" si="1"/>
        <v>-1.2195620700655052E-2</v>
      </c>
      <c r="H14" s="397"/>
      <c r="I14" s="431" t="s">
        <v>507</v>
      </c>
      <c r="J14" s="432">
        <f>(J9*J10)+(J11*J12)</f>
        <v>1.0201684258076922</v>
      </c>
      <c r="L14" s="397"/>
      <c r="S14" s="393"/>
      <c r="T14" s="394"/>
      <c r="U14" s="394"/>
    </row>
    <row r="15" spans="1:21" x14ac:dyDescent="0.2">
      <c r="B15" s="426">
        <v>44493</v>
      </c>
      <c r="C15" s="394">
        <v>348.65</v>
      </c>
      <c r="D15" s="420">
        <f t="shared" si="0"/>
        <v>-8.4547722200341457E-2</v>
      </c>
      <c r="E15" s="394"/>
      <c r="F15" s="418">
        <v>17671.650000000001</v>
      </c>
      <c r="G15" s="420">
        <f t="shared" si="1"/>
        <v>-2.4468807445804264E-2</v>
      </c>
      <c r="H15" s="397"/>
      <c r="L15" s="397"/>
      <c r="S15" s="393"/>
      <c r="T15" s="394"/>
      <c r="U15" s="394"/>
    </row>
    <row r="16" spans="1:21" x14ac:dyDescent="0.2">
      <c r="B16" s="426">
        <v>44500</v>
      </c>
      <c r="C16" s="394">
        <v>332.5</v>
      </c>
      <c r="D16" s="420">
        <f t="shared" si="0"/>
        <v>-4.632152588555849E-2</v>
      </c>
      <c r="E16" s="394"/>
      <c r="F16" s="418">
        <v>17916.8</v>
      </c>
      <c r="G16" s="420">
        <f t="shared" si="1"/>
        <v>1.3872502001793796E-2</v>
      </c>
      <c r="H16" s="397"/>
      <c r="L16" s="397"/>
      <c r="S16" s="393"/>
      <c r="T16" s="394"/>
      <c r="U16" s="394"/>
    </row>
    <row r="17" spans="2:21" ht="17" x14ac:dyDescent="0.2">
      <c r="B17" s="426">
        <v>44507</v>
      </c>
      <c r="C17" s="394">
        <v>322.60000000000002</v>
      </c>
      <c r="D17" s="420">
        <f t="shared" si="0"/>
        <v>-2.9774436090225453E-2</v>
      </c>
      <c r="E17" s="394"/>
      <c r="F17" s="418">
        <v>18102.75</v>
      </c>
      <c r="G17" s="420">
        <f t="shared" si="1"/>
        <v>1.0378527415610073E-2</v>
      </c>
      <c r="H17" s="397"/>
      <c r="I17" s="433" t="s">
        <v>509</v>
      </c>
      <c r="J17" s="430">
        <f>J36</f>
        <v>1.0268912344102563</v>
      </c>
      <c r="K17" s="267"/>
      <c r="L17" s="404"/>
      <c r="M17" s="267"/>
      <c r="N17" s="267"/>
      <c r="O17" s="267"/>
      <c r="P17" s="267"/>
      <c r="Q17" s="405"/>
      <c r="S17" s="393"/>
      <c r="T17" s="394"/>
      <c r="U17" s="394"/>
    </row>
    <row r="18" spans="2:21" x14ac:dyDescent="0.2">
      <c r="B18" s="426">
        <v>44514</v>
      </c>
      <c r="C18" s="394">
        <v>295.3</v>
      </c>
      <c r="D18" s="420">
        <f t="shared" si="0"/>
        <v>-8.4624922504649702E-2</v>
      </c>
      <c r="E18" s="394"/>
      <c r="F18" s="418">
        <v>17764.8</v>
      </c>
      <c r="G18" s="420">
        <f t="shared" si="1"/>
        <v>-1.8668434353896535E-2</v>
      </c>
      <c r="H18" s="397"/>
      <c r="I18" s="58"/>
      <c r="L18" s="397"/>
      <c r="Q18" s="22"/>
      <c r="S18" s="393"/>
      <c r="T18" s="394"/>
      <c r="U18" s="394"/>
    </row>
    <row r="19" spans="2:21" x14ac:dyDescent="0.2">
      <c r="B19" s="426">
        <v>44521</v>
      </c>
      <c r="C19" s="394">
        <v>301.89999999999998</v>
      </c>
      <c r="D19" s="420">
        <f t="shared" si="0"/>
        <v>2.2350152387402566E-2</v>
      </c>
      <c r="E19" s="394"/>
      <c r="F19" s="418">
        <v>17026.45</v>
      </c>
      <c r="G19" s="420">
        <f t="shared" si="1"/>
        <v>-4.1562528145546174E-2</v>
      </c>
      <c r="H19" s="397"/>
      <c r="I19" s="58" t="s">
        <v>477</v>
      </c>
      <c r="Q19" s="22"/>
      <c r="S19" s="393"/>
      <c r="T19" s="394"/>
      <c r="U19" s="394"/>
    </row>
    <row r="20" spans="2:21" ht="16" thickBot="1" x14ac:dyDescent="0.25">
      <c r="B20" s="426">
        <v>44528</v>
      </c>
      <c r="C20" s="394">
        <v>323.10000000000002</v>
      </c>
      <c r="D20" s="420">
        <f t="shared" si="0"/>
        <v>7.0221927790659278E-2</v>
      </c>
      <c r="E20" s="394"/>
      <c r="F20" s="418">
        <v>17196.7</v>
      </c>
      <c r="G20" s="420">
        <f t="shared" si="1"/>
        <v>9.9991483838381967E-3</v>
      </c>
      <c r="H20" s="397"/>
      <c r="I20" s="58"/>
      <c r="Q20" s="22"/>
      <c r="S20" s="393"/>
      <c r="T20" s="394"/>
      <c r="U20" s="394"/>
    </row>
    <row r="21" spans="2:21" x14ac:dyDescent="0.2">
      <c r="B21" s="426">
        <v>44535</v>
      </c>
      <c r="C21" s="394">
        <v>299.35000000000002</v>
      </c>
      <c r="D21" s="420">
        <f t="shared" si="0"/>
        <v>-7.3506654286598527E-2</v>
      </c>
      <c r="E21" s="394"/>
      <c r="F21" s="418">
        <v>17511.3</v>
      </c>
      <c r="G21" s="420">
        <f t="shared" si="1"/>
        <v>1.8294207609599322E-2</v>
      </c>
      <c r="H21" s="397"/>
      <c r="I21" s="406" t="s">
        <v>478</v>
      </c>
      <c r="J21" s="401"/>
      <c r="Q21" s="22"/>
      <c r="S21" s="393"/>
      <c r="T21" s="394"/>
      <c r="U21" s="394"/>
    </row>
    <row r="22" spans="2:21" x14ac:dyDescent="0.2">
      <c r="B22" s="426">
        <v>44542</v>
      </c>
      <c r="C22" s="394">
        <v>286.8</v>
      </c>
      <c r="D22" s="420">
        <f t="shared" si="0"/>
        <v>-4.1924169032904635E-2</v>
      </c>
      <c r="E22" s="394"/>
      <c r="F22" s="418">
        <v>16985.2</v>
      </c>
      <c r="G22" s="420">
        <f t="shared" si="1"/>
        <v>-3.004345765305827E-2</v>
      </c>
      <c r="H22" s="397"/>
      <c r="I22" s="58" t="s">
        <v>479</v>
      </c>
      <c r="J22">
        <v>0.32803947695982266</v>
      </c>
      <c r="Q22" s="22"/>
      <c r="S22" s="393"/>
      <c r="T22" s="394"/>
      <c r="U22" s="394"/>
    </row>
    <row r="23" spans="2:21" x14ac:dyDescent="0.2">
      <c r="B23" s="426">
        <v>44549</v>
      </c>
      <c r="C23" s="394">
        <v>302.35000000000002</v>
      </c>
      <c r="D23" s="420">
        <f t="shared" si="0"/>
        <v>5.4218967921896732E-2</v>
      </c>
      <c r="E23" s="394"/>
      <c r="F23" s="418">
        <v>17003.75</v>
      </c>
      <c r="G23" s="420">
        <f t="shared" si="1"/>
        <v>1.0921272637354207E-3</v>
      </c>
      <c r="H23" s="397"/>
      <c r="I23" s="58" t="s">
        <v>480</v>
      </c>
      <c r="J23">
        <v>0.10760989844407404</v>
      </c>
      <c r="Q23" s="22"/>
      <c r="S23" s="393"/>
      <c r="T23" s="394"/>
      <c r="U23" s="394"/>
    </row>
    <row r="24" spans="2:21" x14ac:dyDescent="0.2">
      <c r="B24" s="426">
        <v>44556</v>
      </c>
      <c r="C24" s="394">
        <v>300.5</v>
      </c>
      <c r="D24" s="420">
        <f t="shared" si="0"/>
        <v>-6.118736563585303E-3</v>
      </c>
      <c r="E24" s="394"/>
      <c r="F24" s="418">
        <v>17354.05</v>
      </c>
      <c r="G24" s="420">
        <f t="shared" si="1"/>
        <v>2.0601337940160169E-2</v>
      </c>
      <c r="H24" s="397"/>
      <c r="I24" s="58" t="s">
        <v>481</v>
      </c>
      <c r="J24">
        <v>0.10415102208145416</v>
      </c>
      <c r="Q24" s="22"/>
      <c r="S24" s="393"/>
      <c r="T24" s="394"/>
      <c r="U24" s="394"/>
    </row>
    <row r="25" spans="2:21" x14ac:dyDescent="0.2">
      <c r="B25" s="426">
        <v>44563</v>
      </c>
      <c r="C25" s="394">
        <v>307.45</v>
      </c>
      <c r="D25" s="420">
        <f t="shared" si="0"/>
        <v>2.3128119800332803E-2</v>
      </c>
      <c r="E25" s="394"/>
      <c r="F25" s="418">
        <v>17812.7</v>
      </c>
      <c r="G25" s="420">
        <f t="shared" si="1"/>
        <v>2.6428989198486796E-2</v>
      </c>
      <c r="H25" s="397"/>
      <c r="I25" s="58" t="s">
        <v>482</v>
      </c>
      <c r="J25">
        <v>5.3625633748418763E-2</v>
      </c>
      <c r="Q25" s="22"/>
      <c r="S25" s="393"/>
      <c r="T25" s="394"/>
      <c r="U25" s="394"/>
    </row>
    <row r="26" spans="2:21" ht="16" thickBot="1" x14ac:dyDescent="0.25">
      <c r="B26" s="426">
        <v>44570</v>
      </c>
      <c r="C26" s="394">
        <v>307.60000000000002</v>
      </c>
      <c r="D26" s="420">
        <f t="shared" si="0"/>
        <v>4.8788420881451522E-4</v>
      </c>
      <c r="E26" s="394"/>
      <c r="F26" s="418">
        <v>18255.75</v>
      </c>
      <c r="G26" s="420">
        <f t="shared" si="1"/>
        <v>2.4872703183683509E-2</v>
      </c>
      <c r="H26" s="397"/>
      <c r="I26" s="407" t="s">
        <v>483</v>
      </c>
      <c r="J26" s="399">
        <v>260</v>
      </c>
      <c r="Q26" s="22"/>
      <c r="S26" s="393"/>
      <c r="T26" s="394"/>
      <c r="U26" s="394"/>
    </row>
    <row r="27" spans="2:21" x14ac:dyDescent="0.2">
      <c r="B27" s="426">
        <v>44577</v>
      </c>
      <c r="C27" s="394">
        <v>308.85000000000002</v>
      </c>
      <c r="D27" s="420">
        <f t="shared" si="0"/>
        <v>4.0637191157346653E-3</v>
      </c>
      <c r="E27" s="394"/>
      <c r="F27" s="418">
        <v>17617.150000000001</v>
      </c>
      <c r="G27" s="420">
        <f t="shared" si="1"/>
        <v>-3.4980759486736956E-2</v>
      </c>
      <c r="H27" s="397"/>
      <c r="I27" s="58"/>
      <c r="Q27" s="22"/>
      <c r="S27" s="393"/>
      <c r="T27" s="394"/>
      <c r="U27" s="394"/>
    </row>
    <row r="28" spans="2:21" ht="16" thickBot="1" x14ac:dyDescent="0.25">
      <c r="B28" s="426">
        <v>44584</v>
      </c>
      <c r="C28" s="394">
        <v>295.55</v>
      </c>
      <c r="D28" s="420">
        <f t="shared" si="0"/>
        <v>-4.3062975554476357E-2</v>
      </c>
      <c r="E28" s="394"/>
      <c r="F28" s="418">
        <v>17101.95</v>
      </c>
      <c r="G28" s="420">
        <f t="shared" si="1"/>
        <v>-2.9244230763772805E-2</v>
      </c>
      <c r="H28" s="397"/>
      <c r="I28" s="58" t="s">
        <v>484</v>
      </c>
      <c r="Q28" s="22"/>
      <c r="S28" s="393"/>
      <c r="T28" s="394"/>
      <c r="U28" s="394"/>
    </row>
    <row r="29" spans="2:21" x14ac:dyDescent="0.2">
      <c r="B29" s="426">
        <v>44591</v>
      </c>
      <c r="C29" s="394">
        <v>297.75</v>
      </c>
      <c r="D29" s="420">
        <f t="shared" si="0"/>
        <v>7.4437489426493197E-3</v>
      </c>
      <c r="E29" s="394"/>
      <c r="F29" s="418">
        <v>17516.3</v>
      </c>
      <c r="G29" s="420">
        <f t="shared" si="1"/>
        <v>2.4228231283567103E-2</v>
      </c>
      <c r="H29" s="397"/>
      <c r="I29" s="408"/>
      <c r="J29" s="400" t="s">
        <v>489</v>
      </c>
      <c r="K29" s="400" t="s">
        <v>490</v>
      </c>
      <c r="L29" s="400" t="s">
        <v>491</v>
      </c>
      <c r="M29" s="400" t="s">
        <v>492</v>
      </c>
      <c r="N29" s="400" t="s">
        <v>493</v>
      </c>
      <c r="Q29" s="22"/>
      <c r="S29" s="393"/>
      <c r="T29" s="394"/>
      <c r="U29" s="394"/>
    </row>
    <row r="30" spans="2:21" x14ac:dyDescent="0.2">
      <c r="B30" s="426">
        <v>44598</v>
      </c>
      <c r="C30" s="394">
        <v>341.3</v>
      </c>
      <c r="D30" s="420">
        <f t="shared" si="0"/>
        <v>0.1462636439966416</v>
      </c>
      <c r="E30" s="394"/>
      <c r="F30" s="418">
        <v>17374.75</v>
      </c>
      <c r="G30" s="420">
        <f t="shared" si="1"/>
        <v>-8.0810445128252084E-3</v>
      </c>
      <c r="H30" s="397"/>
      <c r="I30" s="58" t="s">
        <v>485</v>
      </c>
      <c r="J30">
        <v>1</v>
      </c>
      <c r="K30">
        <v>8.9466831829644322E-2</v>
      </c>
      <c r="L30">
        <v>8.9466831829644322E-2</v>
      </c>
      <c r="M30">
        <v>31.111230111320523</v>
      </c>
      <c r="N30">
        <v>6.1439544950678903E-8</v>
      </c>
      <c r="Q30" s="22"/>
      <c r="S30" s="393"/>
      <c r="T30" s="394"/>
      <c r="U30" s="394"/>
    </row>
    <row r="31" spans="2:21" x14ac:dyDescent="0.2">
      <c r="B31" s="426">
        <v>44605</v>
      </c>
      <c r="C31" s="394">
        <v>340.1</v>
      </c>
      <c r="D31" s="420">
        <f t="shared" si="0"/>
        <v>-3.5159683562847599E-3</v>
      </c>
      <c r="E31" s="394"/>
      <c r="F31" s="418">
        <v>17276.3</v>
      </c>
      <c r="G31" s="420">
        <f t="shared" si="1"/>
        <v>-5.6662685794041101E-3</v>
      </c>
      <c r="H31" s="397"/>
      <c r="I31" s="58" t="s">
        <v>486</v>
      </c>
      <c r="J31">
        <v>258</v>
      </c>
      <c r="K31">
        <v>0.74193281748924378</v>
      </c>
      <c r="L31">
        <v>2.8757085949195496E-3</v>
      </c>
      <c r="Q31" s="22"/>
      <c r="S31" s="393"/>
      <c r="T31" s="394"/>
      <c r="U31" s="394"/>
    </row>
    <row r="32" spans="2:21" ht="16" thickBot="1" x14ac:dyDescent="0.25">
      <c r="B32" s="426">
        <v>44612</v>
      </c>
      <c r="C32" s="394">
        <v>334</v>
      </c>
      <c r="D32" s="420">
        <f t="shared" si="0"/>
        <v>-1.7935901205527904E-2</v>
      </c>
      <c r="E32" s="394"/>
      <c r="F32" s="418">
        <v>16658.400000000001</v>
      </c>
      <c r="G32" s="420">
        <f t="shared" si="1"/>
        <v>-3.5765760029635829E-2</v>
      </c>
      <c r="H32" s="397"/>
      <c r="I32" s="407" t="s">
        <v>487</v>
      </c>
      <c r="J32" s="399">
        <v>259</v>
      </c>
      <c r="K32" s="399">
        <v>0.8313996493188881</v>
      </c>
      <c r="L32" s="399"/>
      <c r="M32" s="399"/>
      <c r="N32" s="399"/>
      <c r="Q32" s="22"/>
      <c r="S32" s="393"/>
      <c r="T32" s="394"/>
      <c r="U32" s="394"/>
    </row>
    <row r="33" spans="2:21" ht="16" thickBot="1" x14ac:dyDescent="0.25">
      <c r="B33" s="426">
        <v>44619</v>
      </c>
      <c r="C33" s="394">
        <v>329.05</v>
      </c>
      <c r="D33" s="420">
        <f t="shared" si="0"/>
        <v>-1.4820359281437101E-2</v>
      </c>
      <c r="E33" s="394"/>
      <c r="F33" s="418">
        <v>16245.35</v>
      </c>
      <c r="G33" s="420">
        <f t="shared" si="1"/>
        <v>-2.4795298468040183E-2</v>
      </c>
      <c r="H33" s="397"/>
      <c r="I33" s="58"/>
      <c r="Q33" s="22"/>
      <c r="S33" s="393"/>
      <c r="T33" s="394"/>
      <c r="U33" s="394"/>
    </row>
    <row r="34" spans="2:21" x14ac:dyDescent="0.2">
      <c r="B34" s="426">
        <v>44626</v>
      </c>
      <c r="C34" s="394">
        <v>313.5</v>
      </c>
      <c r="D34" s="420">
        <f t="shared" si="0"/>
        <v>-4.7257255736210313E-2</v>
      </c>
      <c r="E34" s="394"/>
      <c r="F34" s="418">
        <v>16630.45</v>
      </c>
      <c r="G34" s="420">
        <f t="shared" si="1"/>
        <v>2.3705244885459553E-2</v>
      </c>
      <c r="H34" s="397"/>
      <c r="I34" s="408"/>
      <c r="J34" s="400" t="s">
        <v>494</v>
      </c>
      <c r="K34" s="400" t="s">
        <v>482</v>
      </c>
      <c r="L34" s="400" t="s">
        <v>495</v>
      </c>
      <c r="M34" s="400" t="s">
        <v>496</v>
      </c>
      <c r="N34" s="400" t="s">
        <v>497</v>
      </c>
      <c r="O34" s="400" t="s">
        <v>498</v>
      </c>
      <c r="P34" s="400" t="s">
        <v>499</v>
      </c>
      <c r="Q34" s="409" t="s">
        <v>500</v>
      </c>
      <c r="S34" s="393"/>
      <c r="T34" s="394"/>
      <c r="U34" s="394"/>
    </row>
    <row r="35" spans="2:21" x14ac:dyDescent="0.2">
      <c r="B35" s="426">
        <v>44633</v>
      </c>
      <c r="C35" s="394">
        <v>298.7</v>
      </c>
      <c r="D35" s="420">
        <f t="shared" si="0"/>
        <v>-4.7208931419457811E-2</v>
      </c>
      <c r="E35" s="394"/>
      <c r="F35" s="418">
        <v>17287.05</v>
      </c>
      <c r="G35" s="420">
        <f t="shared" si="1"/>
        <v>3.9481793938227705E-2</v>
      </c>
      <c r="H35" s="397"/>
      <c r="I35" s="58" t="s">
        <v>488</v>
      </c>
      <c r="J35">
        <v>1.9086930354324952E-3</v>
      </c>
      <c r="K35">
        <v>3.3331039113254873E-3</v>
      </c>
      <c r="L35">
        <v>0.57264732399940643</v>
      </c>
      <c r="M35">
        <v>0.56738220310333176</v>
      </c>
      <c r="N35">
        <v>-4.6548598072113125E-3</v>
      </c>
      <c r="O35">
        <v>8.4722458780763024E-3</v>
      </c>
      <c r="P35">
        <v>-4.6548598072113125E-3</v>
      </c>
      <c r="Q35" s="22">
        <v>8.4722458780763024E-3</v>
      </c>
      <c r="S35" s="393"/>
      <c r="T35" s="394"/>
      <c r="U35" s="394"/>
    </row>
    <row r="36" spans="2:21" x14ac:dyDescent="0.2">
      <c r="B36" s="426">
        <v>44640</v>
      </c>
      <c r="C36" s="394">
        <v>296.5</v>
      </c>
      <c r="D36" s="420">
        <f t="shared" si="0"/>
        <v>-7.3652494141278613E-3</v>
      </c>
      <c r="E36" s="394"/>
      <c r="F36" s="418">
        <v>17153</v>
      </c>
      <c r="G36" s="420">
        <f t="shared" si="1"/>
        <v>-7.7543594771808388E-3</v>
      </c>
      <c r="H36" s="397"/>
      <c r="I36" s="24" t="s">
        <v>501</v>
      </c>
      <c r="J36" s="25">
        <v>1.0268912344102563</v>
      </c>
      <c r="K36" s="25">
        <v>0.1841051152049617</v>
      </c>
      <c r="L36" s="25">
        <v>5.5777441776510797</v>
      </c>
      <c r="M36" s="25">
        <v>6.1439544950678903E-8</v>
      </c>
      <c r="N36" s="25">
        <v>0.66435118633589252</v>
      </c>
      <c r="O36" s="25">
        <v>1.38943128248462</v>
      </c>
      <c r="P36" s="25">
        <v>0.66435118633589252</v>
      </c>
      <c r="Q36" s="59">
        <v>1.38943128248462</v>
      </c>
      <c r="S36" s="393"/>
      <c r="T36" s="394"/>
      <c r="U36" s="394"/>
    </row>
    <row r="37" spans="2:21" x14ac:dyDescent="0.2">
      <c r="B37" s="426">
        <v>44647</v>
      </c>
      <c r="C37" s="394">
        <v>309.2</v>
      </c>
      <c r="D37" s="420">
        <f t="shared" si="0"/>
        <v>4.2833052276559869E-2</v>
      </c>
      <c r="E37" s="394"/>
      <c r="F37" s="418">
        <v>17670.45</v>
      </c>
      <c r="G37" s="420">
        <f t="shared" si="1"/>
        <v>3.0166734681979834E-2</v>
      </c>
      <c r="H37" s="397"/>
      <c r="S37" s="393"/>
      <c r="T37" s="394"/>
      <c r="U37" s="394"/>
    </row>
    <row r="38" spans="2:21" x14ac:dyDescent="0.2">
      <c r="B38" s="426">
        <v>44654</v>
      </c>
      <c r="C38" s="394">
        <v>342.75</v>
      </c>
      <c r="D38" s="420">
        <f t="shared" si="0"/>
        <v>0.10850582147477361</v>
      </c>
      <c r="E38" s="394"/>
      <c r="F38" s="418">
        <v>17784.349999999999</v>
      </c>
      <c r="G38" s="420">
        <f t="shared" si="1"/>
        <v>6.4457894394311932E-3</v>
      </c>
      <c r="H38" s="397"/>
      <c r="S38" s="393"/>
      <c r="T38" s="394"/>
      <c r="U38" s="394"/>
    </row>
    <row r="39" spans="2:21" x14ac:dyDescent="0.2">
      <c r="B39" s="426">
        <v>44661</v>
      </c>
      <c r="C39" s="394">
        <v>325.89999999999998</v>
      </c>
      <c r="D39" s="420">
        <f t="shared" si="0"/>
        <v>-4.9161196207148095E-2</v>
      </c>
      <c r="E39" s="394"/>
      <c r="F39" s="418">
        <v>17475.650000000001</v>
      </c>
      <c r="G39" s="420">
        <f t="shared" si="1"/>
        <v>-1.7357957979909133E-2</v>
      </c>
      <c r="H39" s="397"/>
      <c r="S39" s="393"/>
      <c r="T39" s="394"/>
      <c r="U39" s="394"/>
    </row>
    <row r="40" spans="2:21" x14ac:dyDescent="0.2">
      <c r="B40" s="426">
        <v>44668</v>
      </c>
      <c r="C40" s="394">
        <v>343.7</v>
      </c>
      <c r="D40" s="420">
        <f t="shared" si="0"/>
        <v>5.4617980975759428E-2</v>
      </c>
      <c r="E40" s="394"/>
      <c r="F40" s="418">
        <v>17171.95</v>
      </c>
      <c r="G40" s="420">
        <f t="shared" si="1"/>
        <v>-1.7378466609253462E-2</v>
      </c>
      <c r="H40" s="397"/>
      <c r="I40" s="397"/>
      <c r="J40" s="397"/>
      <c r="K40" s="394"/>
      <c r="L40" s="396"/>
      <c r="S40" s="393"/>
      <c r="T40" s="394"/>
      <c r="U40" s="394"/>
    </row>
    <row r="41" spans="2:21" x14ac:dyDescent="0.2">
      <c r="B41" s="426">
        <v>44675</v>
      </c>
      <c r="C41" s="394">
        <v>317.64999999999998</v>
      </c>
      <c r="D41" s="420">
        <f t="shared" si="0"/>
        <v>-7.5792842595286625E-2</v>
      </c>
      <c r="E41" s="394"/>
      <c r="F41" s="418">
        <v>17102.55</v>
      </c>
      <c r="G41" s="420">
        <f t="shared" si="1"/>
        <v>-4.0414746141237412E-3</v>
      </c>
      <c r="H41" s="397"/>
      <c r="I41" s="397"/>
      <c r="J41" s="397"/>
      <c r="K41" s="394"/>
      <c r="L41" s="396"/>
      <c r="S41" s="393"/>
      <c r="T41" s="394"/>
      <c r="U41" s="394"/>
    </row>
    <row r="42" spans="2:21" x14ac:dyDescent="0.2">
      <c r="B42" s="426">
        <v>44682</v>
      </c>
      <c r="C42" s="394">
        <v>301.35000000000002</v>
      </c>
      <c r="D42" s="420">
        <f t="shared" si="0"/>
        <v>-5.13143396820398E-2</v>
      </c>
      <c r="E42" s="394"/>
      <c r="F42" s="418">
        <v>16411.25</v>
      </c>
      <c r="G42" s="420">
        <f t="shared" si="1"/>
        <v>-4.0420872910764682E-2</v>
      </c>
      <c r="H42" s="397"/>
      <c r="I42" s="397"/>
      <c r="J42" s="397"/>
      <c r="K42" s="394"/>
      <c r="L42" s="396"/>
      <c r="S42" s="393"/>
      <c r="T42" s="394"/>
      <c r="U42" s="394"/>
    </row>
    <row r="43" spans="2:21" x14ac:dyDescent="0.2">
      <c r="B43" s="426">
        <v>44689</v>
      </c>
      <c r="C43" s="394">
        <v>247.15</v>
      </c>
      <c r="D43" s="420">
        <f t="shared" si="0"/>
        <v>-0.17985730877716943</v>
      </c>
      <c r="E43" s="394"/>
      <c r="F43" s="418">
        <v>15782.15</v>
      </c>
      <c r="G43" s="420">
        <f t="shared" si="1"/>
        <v>-3.8333460278772158E-2</v>
      </c>
      <c r="H43" s="397"/>
      <c r="I43" s="397"/>
      <c r="J43" s="397"/>
      <c r="K43" s="394"/>
      <c r="L43" s="396"/>
      <c r="S43" s="393"/>
      <c r="T43" s="394"/>
      <c r="U43" s="394"/>
    </row>
    <row r="44" spans="2:21" x14ac:dyDescent="0.2">
      <c r="B44" s="426">
        <v>44696</v>
      </c>
      <c r="C44" s="394">
        <v>293.35000000000002</v>
      </c>
      <c r="D44" s="420">
        <f t="shared" si="0"/>
        <v>0.18693101355452169</v>
      </c>
      <c r="E44" s="394"/>
      <c r="F44" s="418">
        <v>16266.15</v>
      </c>
      <c r="G44" s="420">
        <f t="shared" si="1"/>
        <v>3.0667557968971249E-2</v>
      </c>
      <c r="H44" s="397"/>
      <c r="I44" s="397"/>
      <c r="J44" s="397"/>
      <c r="K44" s="394"/>
      <c r="L44" s="396"/>
      <c r="S44" s="393"/>
      <c r="T44" s="394"/>
      <c r="U44" s="394"/>
    </row>
    <row r="45" spans="2:21" x14ac:dyDescent="0.2">
      <c r="B45" s="426">
        <v>44703</v>
      </c>
      <c r="C45" s="394">
        <v>283.39999999999998</v>
      </c>
      <c r="D45" s="420">
        <f t="shared" si="0"/>
        <v>-3.391852735640033E-2</v>
      </c>
      <c r="E45" s="394"/>
      <c r="F45" s="418">
        <v>16352.45</v>
      </c>
      <c r="G45" s="420">
        <f t="shared" si="1"/>
        <v>5.3054963835941216E-3</v>
      </c>
      <c r="H45" s="397"/>
      <c r="I45" s="397"/>
      <c r="J45" s="397"/>
      <c r="K45" s="394"/>
      <c r="L45" s="396"/>
      <c r="S45" s="393"/>
      <c r="T45" s="394"/>
      <c r="U45" s="394"/>
    </row>
    <row r="46" spans="2:21" x14ac:dyDescent="0.2">
      <c r="B46" s="426">
        <v>44710</v>
      </c>
      <c r="C46" s="394">
        <v>260.55</v>
      </c>
      <c r="D46" s="420">
        <f t="shared" si="0"/>
        <v>-8.0628087508821333E-2</v>
      </c>
      <c r="E46" s="394"/>
      <c r="F46" s="418">
        <v>16584.3</v>
      </c>
      <c r="G46" s="420">
        <f t="shared" si="1"/>
        <v>1.4178303556959371E-2</v>
      </c>
      <c r="H46" s="397"/>
      <c r="I46" s="397"/>
      <c r="J46" s="397"/>
      <c r="K46" s="394"/>
      <c r="L46" s="396"/>
      <c r="S46" s="393"/>
      <c r="T46" s="394"/>
      <c r="U46" s="394"/>
    </row>
    <row r="47" spans="2:21" x14ac:dyDescent="0.2">
      <c r="B47" s="426">
        <v>44717</v>
      </c>
      <c r="C47" s="394">
        <v>247.75</v>
      </c>
      <c r="D47" s="420">
        <f t="shared" si="0"/>
        <v>-4.9126847054308254E-2</v>
      </c>
      <c r="E47" s="394"/>
      <c r="F47" s="418">
        <v>16201.8</v>
      </c>
      <c r="G47" s="420">
        <f t="shared" si="1"/>
        <v>-2.3063982200032584E-2</v>
      </c>
      <c r="H47" s="397"/>
      <c r="I47" s="397"/>
      <c r="J47" s="397"/>
      <c r="K47" s="394"/>
      <c r="L47" s="396"/>
      <c r="S47" s="393"/>
      <c r="T47" s="394"/>
      <c r="U47" s="394"/>
    </row>
    <row r="48" spans="2:21" x14ac:dyDescent="0.2">
      <c r="B48" s="426">
        <v>44724</v>
      </c>
      <c r="C48" s="394">
        <v>210.15</v>
      </c>
      <c r="D48" s="420">
        <f t="shared" si="0"/>
        <v>-0.15176589303733601</v>
      </c>
      <c r="E48" s="394"/>
      <c r="F48" s="418">
        <v>15293.5</v>
      </c>
      <c r="G48" s="420">
        <f t="shared" si="1"/>
        <v>-5.6061672159883447E-2</v>
      </c>
      <c r="H48" s="397"/>
      <c r="I48" s="397"/>
      <c r="J48" s="397"/>
      <c r="K48" s="394"/>
      <c r="L48" s="396"/>
      <c r="S48" s="393"/>
      <c r="T48" s="394"/>
      <c r="U48" s="394"/>
    </row>
    <row r="49" spans="2:21" x14ac:dyDescent="0.2">
      <c r="B49" s="426">
        <v>44731</v>
      </c>
      <c r="C49" s="394">
        <v>208.6</v>
      </c>
      <c r="D49" s="420">
        <f t="shared" si="0"/>
        <v>-7.3756840352130482E-3</v>
      </c>
      <c r="E49" s="394"/>
      <c r="F49" s="418">
        <v>15699.25</v>
      </c>
      <c r="G49" s="420">
        <f t="shared" si="1"/>
        <v>2.6530879131657192E-2</v>
      </c>
      <c r="H49" s="397"/>
      <c r="I49" s="397"/>
      <c r="J49" s="397"/>
      <c r="K49" s="394"/>
      <c r="L49" s="396"/>
      <c r="S49" s="393"/>
      <c r="T49" s="394"/>
      <c r="U49" s="394"/>
    </row>
    <row r="50" spans="2:21" x14ac:dyDescent="0.2">
      <c r="B50" s="426">
        <v>44738</v>
      </c>
      <c r="C50" s="394">
        <v>204.25</v>
      </c>
      <c r="D50" s="420">
        <f t="shared" si="0"/>
        <v>-2.0853307766059426E-2</v>
      </c>
      <c r="E50" s="394"/>
      <c r="F50" s="418">
        <v>15752.05</v>
      </c>
      <c r="G50" s="420">
        <f t="shared" si="1"/>
        <v>3.3632179881204483E-3</v>
      </c>
      <c r="H50" s="397"/>
      <c r="I50" s="397"/>
      <c r="J50" s="397"/>
      <c r="K50" s="394"/>
      <c r="L50" s="396"/>
      <c r="S50" s="393"/>
      <c r="T50" s="394"/>
      <c r="U50" s="394"/>
    </row>
    <row r="51" spans="2:21" x14ac:dyDescent="0.2">
      <c r="B51" s="426">
        <v>44745</v>
      </c>
      <c r="C51" s="394">
        <v>212.25</v>
      </c>
      <c r="D51" s="420">
        <f t="shared" si="0"/>
        <v>3.9167686658506673E-2</v>
      </c>
      <c r="E51" s="394"/>
      <c r="F51" s="418">
        <v>16220.6</v>
      </c>
      <c r="G51" s="420">
        <f t="shared" si="1"/>
        <v>2.9745334734209372E-2</v>
      </c>
      <c r="H51" s="397"/>
      <c r="I51" s="397"/>
      <c r="J51" s="397"/>
      <c r="K51" s="394"/>
      <c r="L51" s="396"/>
      <c r="S51" s="393"/>
      <c r="T51" s="394"/>
      <c r="U51" s="394"/>
    </row>
    <row r="52" spans="2:21" x14ac:dyDescent="0.2">
      <c r="B52" s="426">
        <v>44752</v>
      </c>
      <c r="C52" s="394">
        <v>228.75</v>
      </c>
      <c r="D52" s="420">
        <f t="shared" si="0"/>
        <v>7.7738515901060179E-2</v>
      </c>
      <c r="E52" s="394"/>
      <c r="F52" s="418">
        <v>16049.2</v>
      </c>
      <c r="G52" s="420">
        <f t="shared" si="1"/>
        <v>-1.0566810105668067E-2</v>
      </c>
      <c r="H52" s="397"/>
      <c r="I52" s="397"/>
      <c r="J52" s="397"/>
      <c r="K52" s="394"/>
      <c r="L52" s="396"/>
      <c r="S52" s="393"/>
      <c r="T52" s="394"/>
      <c r="U52" s="394"/>
    </row>
    <row r="53" spans="2:21" x14ac:dyDescent="0.2">
      <c r="B53" s="426">
        <v>44759</v>
      </c>
      <c r="C53" s="394">
        <v>237.55</v>
      </c>
      <c r="D53" s="420">
        <f t="shared" si="0"/>
        <v>3.8469945355191326E-2</v>
      </c>
      <c r="E53" s="394"/>
      <c r="F53" s="418">
        <v>16719.45</v>
      </c>
      <c r="G53" s="420">
        <f t="shared" si="1"/>
        <v>4.1762206215886222E-2</v>
      </c>
      <c r="H53" s="397"/>
      <c r="I53" s="397"/>
      <c r="J53" s="397"/>
      <c r="K53" s="394"/>
      <c r="L53" s="396"/>
      <c r="S53" s="393"/>
      <c r="T53" s="394"/>
      <c r="U53" s="394"/>
    </row>
    <row r="54" spans="2:21" x14ac:dyDescent="0.2">
      <c r="B54" s="426">
        <v>44766</v>
      </c>
      <c r="C54" s="394">
        <v>238.75</v>
      </c>
      <c r="D54" s="420">
        <f t="shared" si="0"/>
        <v>5.0515680909282157E-3</v>
      </c>
      <c r="E54" s="394"/>
      <c r="F54" s="418">
        <v>17158.25</v>
      </c>
      <c r="G54" s="420">
        <f t="shared" si="1"/>
        <v>2.6244882457257868E-2</v>
      </c>
      <c r="H54" s="397"/>
      <c r="I54" s="397"/>
      <c r="J54" s="397"/>
      <c r="K54" s="394"/>
      <c r="L54" s="396"/>
      <c r="S54" s="393"/>
      <c r="T54" s="394"/>
      <c r="U54" s="394"/>
    </row>
    <row r="55" spans="2:21" x14ac:dyDescent="0.2">
      <c r="B55" s="426">
        <v>44773</v>
      </c>
      <c r="C55" s="394">
        <v>285.8</v>
      </c>
      <c r="D55" s="420">
        <f t="shared" si="0"/>
        <v>0.19706806282722522</v>
      </c>
      <c r="E55" s="394"/>
      <c r="F55" s="418">
        <v>17397.5</v>
      </c>
      <c r="G55" s="420">
        <f t="shared" si="1"/>
        <v>1.3943729692713402E-2</v>
      </c>
      <c r="H55" s="397"/>
      <c r="I55" s="397"/>
      <c r="J55" s="397"/>
      <c r="K55" s="394"/>
      <c r="L55" s="396"/>
      <c r="S55" s="393"/>
      <c r="T55" s="394"/>
      <c r="U55" s="394"/>
    </row>
    <row r="56" spans="2:21" x14ac:dyDescent="0.2">
      <c r="B56" s="426">
        <v>44780</v>
      </c>
      <c r="C56" s="394">
        <v>320.05</v>
      </c>
      <c r="D56" s="420">
        <f t="shared" si="0"/>
        <v>0.11983904828551428</v>
      </c>
      <c r="E56" s="394"/>
      <c r="F56" s="418">
        <v>17698.150000000001</v>
      </c>
      <c r="G56" s="420">
        <f t="shared" si="1"/>
        <v>1.7281218565885936E-2</v>
      </c>
      <c r="H56" s="397"/>
      <c r="I56" s="397"/>
      <c r="J56" s="397"/>
      <c r="K56" s="394"/>
      <c r="L56" s="396"/>
      <c r="S56" s="393"/>
      <c r="T56" s="394"/>
      <c r="U56" s="394"/>
    </row>
    <row r="57" spans="2:21" x14ac:dyDescent="0.2">
      <c r="B57" s="426">
        <v>44787</v>
      </c>
      <c r="C57" s="394">
        <v>316.2</v>
      </c>
      <c r="D57" s="420">
        <f t="shared" si="0"/>
        <v>-1.2029370410873375E-2</v>
      </c>
      <c r="E57" s="394"/>
      <c r="F57" s="418">
        <v>17758.45</v>
      </c>
      <c r="G57" s="420">
        <f t="shared" si="1"/>
        <v>3.4071357740781405E-3</v>
      </c>
      <c r="H57" s="397"/>
      <c r="I57" s="397"/>
      <c r="J57" s="397"/>
      <c r="K57" s="394"/>
      <c r="L57" s="396"/>
      <c r="S57" s="393"/>
      <c r="T57" s="394"/>
      <c r="U57" s="394"/>
    </row>
    <row r="58" spans="2:21" x14ac:dyDescent="0.2">
      <c r="B58" s="426">
        <v>44794</v>
      </c>
      <c r="C58" s="394">
        <v>319.45</v>
      </c>
      <c r="D58" s="420">
        <f t="shared" si="0"/>
        <v>1.0278304870335209E-2</v>
      </c>
      <c r="E58" s="394"/>
      <c r="F58" s="418">
        <v>17558.900000000001</v>
      </c>
      <c r="G58" s="420">
        <f t="shared" si="1"/>
        <v>-1.1236904121699753E-2</v>
      </c>
      <c r="H58" s="397"/>
      <c r="I58" s="397"/>
      <c r="J58" s="397"/>
      <c r="K58" s="394"/>
      <c r="L58" s="396"/>
      <c r="S58" s="393"/>
      <c r="T58" s="394"/>
      <c r="U58" s="394"/>
    </row>
    <row r="59" spans="2:21" x14ac:dyDescent="0.2">
      <c r="B59" s="426">
        <v>44801</v>
      </c>
      <c r="C59" s="394">
        <v>348.8</v>
      </c>
      <c r="D59" s="420">
        <f t="shared" si="0"/>
        <v>9.1876663014556437E-2</v>
      </c>
      <c r="E59" s="394"/>
      <c r="F59" s="418">
        <v>17539.45</v>
      </c>
      <c r="G59" s="420">
        <f t="shared" si="1"/>
        <v>-1.1077003684741848E-3</v>
      </c>
      <c r="H59" s="397"/>
      <c r="I59" s="397"/>
      <c r="J59" s="397"/>
      <c r="K59" s="394"/>
      <c r="L59" s="396"/>
      <c r="S59" s="393"/>
      <c r="T59" s="394"/>
      <c r="U59" s="394"/>
    </row>
    <row r="60" spans="2:21" x14ac:dyDescent="0.2">
      <c r="B60" s="426">
        <v>44808</v>
      </c>
      <c r="C60" s="394">
        <v>348.95</v>
      </c>
      <c r="D60" s="420">
        <f t="shared" si="0"/>
        <v>4.3004587155959229E-4</v>
      </c>
      <c r="E60" s="394"/>
      <c r="F60" s="418">
        <v>17833.349999999999</v>
      </c>
      <c r="G60" s="420">
        <f t="shared" si="1"/>
        <v>1.6756511749228098E-2</v>
      </c>
      <c r="H60" s="397"/>
      <c r="I60" s="397"/>
      <c r="J60" s="397"/>
      <c r="K60" s="394"/>
      <c r="L60" s="396"/>
      <c r="S60" s="393"/>
      <c r="T60" s="394"/>
      <c r="U60" s="394"/>
    </row>
    <row r="61" spans="2:21" x14ac:dyDescent="0.2">
      <c r="B61" s="426">
        <v>44815</v>
      </c>
      <c r="C61" s="394">
        <v>329.35</v>
      </c>
      <c r="D61" s="420">
        <f t="shared" si="0"/>
        <v>-5.6168505516549505E-2</v>
      </c>
      <c r="E61" s="394"/>
      <c r="F61" s="418">
        <v>17530.849999999999</v>
      </c>
      <c r="G61" s="420">
        <f t="shared" si="1"/>
        <v>-1.6962600969531838E-2</v>
      </c>
      <c r="H61" s="397"/>
      <c r="I61" s="397"/>
      <c r="J61" s="397"/>
      <c r="K61" s="394"/>
      <c r="L61" s="396"/>
      <c r="S61" s="393"/>
      <c r="T61" s="394"/>
      <c r="U61" s="394"/>
    </row>
    <row r="62" spans="2:21" x14ac:dyDescent="0.2">
      <c r="B62" s="426">
        <v>44822</v>
      </c>
      <c r="C62" s="394">
        <v>319.10000000000002</v>
      </c>
      <c r="D62" s="420">
        <f t="shared" si="0"/>
        <v>-3.1121906786093834E-2</v>
      </c>
      <c r="E62" s="394"/>
      <c r="F62" s="418">
        <v>17327.349999999999</v>
      </c>
      <c r="G62" s="420">
        <f t="shared" si="1"/>
        <v>-1.1608107992481798E-2</v>
      </c>
      <c r="H62" s="397"/>
      <c r="I62" s="397"/>
      <c r="J62" s="397"/>
      <c r="K62" s="394"/>
      <c r="L62" s="396"/>
      <c r="S62" s="393"/>
      <c r="T62" s="394"/>
      <c r="U62" s="394"/>
    </row>
    <row r="63" spans="2:21" x14ac:dyDescent="0.2">
      <c r="B63" s="426">
        <v>44829</v>
      </c>
      <c r="C63" s="394">
        <v>300.35000000000002</v>
      </c>
      <c r="D63" s="420">
        <f t="shared" si="0"/>
        <v>-5.8759009714822952E-2</v>
      </c>
      <c r="E63" s="394"/>
      <c r="F63" s="418">
        <v>17094.349999999999</v>
      </c>
      <c r="G63" s="420">
        <f t="shared" si="1"/>
        <v>-1.3446949475828696E-2</v>
      </c>
      <c r="H63" s="397"/>
      <c r="I63" s="397"/>
      <c r="J63" s="397"/>
      <c r="K63" s="394"/>
      <c r="L63" s="396"/>
      <c r="S63" s="393"/>
      <c r="T63" s="394"/>
      <c r="U63" s="394"/>
    </row>
    <row r="64" spans="2:21" x14ac:dyDescent="0.2">
      <c r="B64" s="426">
        <v>44836</v>
      </c>
      <c r="C64" s="394">
        <v>345</v>
      </c>
      <c r="D64" s="420">
        <f t="shared" si="0"/>
        <v>0.14865989678708158</v>
      </c>
      <c r="E64" s="394"/>
      <c r="F64" s="418">
        <v>17314.650000000001</v>
      </c>
      <c r="G64" s="420">
        <f t="shared" si="1"/>
        <v>1.2887299019851861E-2</v>
      </c>
      <c r="H64" s="397"/>
      <c r="I64" s="397"/>
      <c r="J64" s="397"/>
      <c r="K64" s="394"/>
      <c r="L64" s="396"/>
      <c r="S64" s="393"/>
      <c r="T64" s="394"/>
      <c r="U64" s="394"/>
    </row>
    <row r="65" spans="2:21" x14ac:dyDescent="0.2">
      <c r="B65" s="426">
        <v>44843</v>
      </c>
      <c r="C65" s="394">
        <v>320.5</v>
      </c>
      <c r="D65" s="420">
        <f t="shared" si="0"/>
        <v>-7.1014492753623149E-2</v>
      </c>
      <c r="E65" s="394"/>
      <c r="F65" s="418">
        <v>17185.7</v>
      </c>
      <c r="G65" s="420">
        <f t="shared" si="1"/>
        <v>-7.4474505693156168E-3</v>
      </c>
      <c r="H65" s="397"/>
      <c r="I65" s="397"/>
      <c r="J65" s="397"/>
      <c r="K65" s="394"/>
      <c r="L65" s="396"/>
      <c r="S65" s="393"/>
      <c r="T65" s="394"/>
      <c r="U65" s="394"/>
    </row>
    <row r="66" spans="2:21" x14ac:dyDescent="0.2">
      <c r="B66" s="426">
        <v>44850</v>
      </c>
      <c r="C66" s="394">
        <v>312.35000000000002</v>
      </c>
      <c r="D66" s="420">
        <f t="shared" si="0"/>
        <v>-2.5429017160686351E-2</v>
      </c>
      <c r="E66" s="394"/>
      <c r="F66" s="418">
        <v>17576.3</v>
      </c>
      <c r="G66" s="420">
        <f t="shared" si="1"/>
        <v>2.2728198444055048E-2</v>
      </c>
      <c r="H66" s="397"/>
      <c r="I66" s="397"/>
      <c r="J66" s="397"/>
      <c r="K66" s="394"/>
      <c r="L66" s="396"/>
      <c r="S66" s="393"/>
      <c r="T66" s="394"/>
      <c r="U66" s="394"/>
    </row>
    <row r="67" spans="2:21" x14ac:dyDescent="0.2">
      <c r="B67" s="426">
        <v>44857</v>
      </c>
      <c r="C67" s="394">
        <v>318.25</v>
      </c>
      <c r="D67" s="420">
        <f t="shared" si="0"/>
        <v>1.8889066752040939E-2</v>
      </c>
      <c r="E67" s="394"/>
      <c r="F67" s="418">
        <v>17786.8</v>
      </c>
      <c r="G67" s="420">
        <f t="shared" si="1"/>
        <v>1.1976354522851729E-2</v>
      </c>
      <c r="H67" s="397"/>
      <c r="I67" s="397"/>
      <c r="J67" s="397"/>
      <c r="K67" s="394"/>
      <c r="L67" s="396"/>
      <c r="S67" s="393"/>
      <c r="T67" s="394"/>
      <c r="U67" s="394"/>
    </row>
    <row r="68" spans="2:21" x14ac:dyDescent="0.2">
      <c r="B68" s="426">
        <v>44864</v>
      </c>
      <c r="C68" s="394">
        <v>324.89999999999998</v>
      </c>
      <c r="D68" s="420">
        <f t="shared" si="0"/>
        <v>2.0895522388059584E-2</v>
      </c>
      <c r="E68" s="394"/>
      <c r="F68" s="418">
        <v>18117.150000000001</v>
      </c>
      <c r="G68" s="420">
        <f t="shared" si="1"/>
        <v>1.8572761823374861E-2</v>
      </c>
      <c r="H68" s="397"/>
      <c r="I68" s="397"/>
      <c r="J68" s="397"/>
      <c r="K68" s="394"/>
      <c r="L68" s="396"/>
      <c r="S68" s="393"/>
      <c r="T68" s="394"/>
      <c r="U68" s="394"/>
    </row>
    <row r="69" spans="2:21" x14ac:dyDescent="0.2">
      <c r="B69" s="426">
        <v>44871</v>
      </c>
      <c r="C69" s="394">
        <v>321.45</v>
      </c>
      <c r="D69" s="420">
        <f t="shared" si="0"/>
        <v>-1.061865189289013E-2</v>
      </c>
      <c r="E69" s="394"/>
      <c r="F69" s="418">
        <v>18349.7</v>
      </c>
      <c r="G69" s="420">
        <f t="shared" si="1"/>
        <v>1.2835904101914375E-2</v>
      </c>
      <c r="H69" s="397"/>
      <c r="I69" s="397"/>
      <c r="J69" s="397"/>
      <c r="K69" s="394"/>
      <c r="L69" s="396"/>
      <c r="S69" s="393"/>
      <c r="T69" s="394"/>
      <c r="U69" s="394"/>
    </row>
    <row r="70" spans="2:21" x14ac:dyDescent="0.2">
      <c r="B70" s="426">
        <v>44878</v>
      </c>
      <c r="C70" s="394">
        <v>304.89999999999998</v>
      </c>
      <c r="D70" s="420">
        <f t="shared" si="0"/>
        <v>-5.1485456525120599E-2</v>
      </c>
      <c r="E70" s="394"/>
      <c r="F70" s="418">
        <v>18307.650000000001</v>
      </c>
      <c r="G70" s="420">
        <f t="shared" si="1"/>
        <v>-2.2915905982113793E-3</v>
      </c>
      <c r="H70" s="397"/>
      <c r="I70" s="397"/>
      <c r="J70" s="397"/>
      <c r="K70" s="394"/>
      <c r="L70" s="396"/>
      <c r="S70" s="393"/>
      <c r="T70" s="394"/>
      <c r="U70" s="394"/>
    </row>
    <row r="71" spans="2:21" x14ac:dyDescent="0.2">
      <c r="B71" s="426">
        <v>44885</v>
      </c>
      <c r="C71" s="394">
        <v>307.60000000000002</v>
      </c>
      <c r="D71" s="420">
        <f t="shared" si="0"/>
        <v>8.8553624139062759E-3</v>
      </c>
      <c r="E71" s="394"/>
      <c r="F71" s="418">
        <v>18512.75</v>
      </c>
      <c r="G71" s="420">
        <f t="shared" si="1"/>
        <v>1.1202967065680136E-2</v>
      </c>
      <c r="H71" s="397"/>
      <c r="I71" s="397"/>
      <c r="J71" s="397"/>
      <c r="K71" s="394"/>
      <c r="L71" s="396"/>
      <c r="S71" s="393"/>
      <c r="T71" s="394"/>
      <c r="U71" s="394"/>
    </row>
    <row r="72" spans="2:21" x14ac:dyDescent="0.2">
      <c r="B72" s="426">
        <v>44892</v>
      </c>
      <c r="C72" s="394">
        <v>308.39999999999998</v>
      </c>
      <c r="D72" s="420">
        <f t="shared" si="0"/>
        <v>2.6007802340701769E-3</v>
      </c>
      <c r="E72" s="394"/>
      <c r="F72" s="418">
        <v>18696.099999999999</v>
      </c>
      <c r="G72" s="420">
        <f t="shared" si="1"/>
        <v>9.9039850913558158E-3</v>
      </c>
      <c r="H72" s="397"/>
      <c r="I72" s="397"/>
      <c r="J72" s="397"/>
      <c r="K72" s="394"/>
      <c r="L72" s="396"/>
      <c r="S72" s="393"/>
      <c r="T72" s="394"/>
      <c r="U72" s="394"/>
    </row>
    <row r="73" spans="2:21" x14ac:dyDescent="0.2">
      <c r="B73" s="426">
        <v>44899</v>
      </c>
      <c r="C73" s="394">
        <v>295.85000000000002</v>
      </c>
      <c r="D73" s="420">
        <f t="shared" si="0"/>
        <v>-4.0693904020752125E-2</v>
      </c>
      <c r="E73" s="394"/>
      <c r="F73" s="418">
        <v>18496.599999999999</v>
      </c>
      <c r="G73" s="420">
        <f t="shared" si="1"/>
        <v>-1.0670674632677457E-2</v>
      </c>
      <c r="H73" s="397"/>
      <c r="I73" s="397"/>
      <c r="J73" s="397"/>
      <c r="K73" s="394"/>
      <c r="L73" s="396"/>
      <c r="S73" s="393"/>
      <c r="T73" s="394"/>
      <c r="U73" s="394"/>
    </row>
    <row r="74" spans="2:21" x14ac:dyDescent="0.2">
      <c r="B74" s="426">
        <v>44906</v>
      </c>
      <c r="C74" s="394">
        <v>286.10000000000002</v>
      </c>
      <c r="D74" s="420">
        <f t="shared" si="0"/>
        <v>-3.2955889809024863E-2</v>
      </c>
      <c r="E74" s="394"/>
      <c r="F74" s="418">
        <v>18269</v>
      </c>
      <c r="G74" s="420">
        <f t="shared" si="1"/>
        <v>-1.2304964155574472E-2</v>
      </c>
      <c r="H74" s="397"/>
      <c r="I74" s="397"/>
      <c r="J74" s="397"/>
      <c r="K74" s="394"/>
      <c r="L74" s="396"/>
      <c r="S74" s="393"/>
      <c r="T74" s="394"/>
      <c r="U74" s="394"/>
    </row>
    <row r="75" spans="2:21" x14ac:dyDescent="0.2">
      <c r="B75" s="426">
        <v>44913</v>
      </c>
      <c r="C75" s="394">
        <v>253.3</v>
      </c>
      <c r="D75" s="420">
        <f t="shared" ref="D75:D138" si="2">C75/C74-1</f>
        <v>-0.11464522894092977</v>
      </c>
      <c r="E75" s="394"/>
      <c r="F75" s="418">
        <v>17806.8</v>
      </c>
      <c r="G75" s="420">
        <f t="shared" si="1"/>
        <v>-2.5299687996058973E-2</v>
      </c>
      <c r="H75" s="397"/>
      <c r="I75" s="397"/>
      <c r="J75" s="397"/>
      <c r="K75" s="394"/>
      <c r="L75" s="396"/>
      <c r="S75" s="393"/>
      <c r="T75" s="394"/>
      <c r="U75" s="394"/>
    </row>
    <row r="76" spans="2:21" x14ac:dyDescent="0.2">
      <c r="B76" s="426">
        <v>44920</v>
      </c>
      <c r="C76" s="394">
        <v>287.60000000000002</v>
      </c>
      <c r="D76" s="420">
        <f t="shared" si="2"/>
        <v>0.13541255428345833</v>
      </c>
      <c r="E76" s="394"/>
      <c r="F76" s="418">
        <v>18105.3</v>
      </c>
      <c r="G76" s="420">
        <f t="shared" ref="G76:G139" si="3">F76/F75-1</f>
        <v>1.6763258979715534E-2</v>
      </c>
      <c r="H76" s="397"/>
      <c r="I76" s="397"/>
      <c r="J76" s="397"/>
      <c r="K76" s="394"/>
      <c r="L76" s="396"/>
      <c r="S76" s="393"/>
      <c r="T76" s="394"/>
      <c r="U76" s="394"/>
    </row>
    <row r="77" spans="2:21" x14ac:dyDescent="0.2">
      <c r="B77" s="426">
        <v>44927</v>
      </c>
      <c r="C77" s="394">
        <v>278.8</v>
      </c>
      <c r="D77" s="420">
        <f t="shared" si="2"/>
        <v>-3.0598052851182223E-2</v>
      </c>
      <c r="E77" s="394"/>
      <c r="F77" s="418">
        <v>17859.45</v>
      </c>
      <c r="G77" s="420">
        <f t="shared" si="3"/>
        <v>-1.3578896787128536E-2</v>
      </c>
      <c r="H77" s="397"/>
      <c r="I77" s="397"/>
      <c r="J77" s="397"/>
      <c r="K77" s="394"/>
      <c r="L77" s="396"/>
      <c r="S77" s="393"/>
      <c r="T77" s="394"/>
      <c r="U77" s="394"/>
    </row>
    <row r="78" spans="2:21" x14ac:dyDescent="0.2">
      <c r="B78" s="426">
        <v>44934</v>
      </c>
      <c r="C78" s="394">
        <v>267.89999999999998</v>
      </c>
      <c r="D78" s="420">
        <f t="shared" si="2"/>
        <v>-3.9096126255380281E-2</v>
      </c>
      <c r="E78" s="394"/>
      <c r="F78" s="418">
        <v>17956.599999999999</v>
      </c>
      <c r="G78" s="420">
        <f t="shared" si="3"/>
        <v>5.4396971911228054E-3</v>
      </c>
      <c r="H78" s="397"/>
      <c r="I78" s="397"/>
      <c r="J78" s="397"/>
      <c r="K78" s="394"/>
      <c r="L78" s="396"/>
      <c r="S78" s="393"/>
      <c r="T78" s="394"/>
      <c r="U78" s="394"/>
    </row>
    <row r="79" spans="2:21" x14ac:dyDescent="0.2">
      <c r="B79" s="426">
        <v>44941</v>
      </c>
      <c r="C79" s="394">
        <v>262.35000000000002</v>
      </c>
      <c r="D79" s="420">
        <f t="shared" si="2"/>
        <v>-2.0716685330346984E-2</v>
      </c>
      <c r="E79" s="394"/>
      <c r="F79" s="418">
        <v>18027.650000000001</v>
      </c>
      <c r="G79" s="420">
        <f t="shared" si="3"/>
        <v>3.9567624160476988E-3</v>
      </c>
      <c r="H79" s="397"/>
      <c r="I79" s="397"/>
      <c r="J79" s="397"/>
      <c r="K79" s="394"/>
      <c r="L79" s="396"/>
      <c r="S79" s="393"/>
      <c r="T79" s="394"/>
      <c r="U79" s="394"/>
    </row>
    <row r="80" spans="2:21" x14ac:dyDescent="0.2">
      <c r="B80" s="426">
        <v>44948</v>
      </c>
      <c r="C80" s="394">
        <v>236.5</v>
      </c>
      <c r="D80" s="420">
        <f t="shared" si="2"/>
        <v>-9.8532494758909905E-2</v>
      </c>
      <c r="E80" s="394"/>
      <c r="F80" s="418">
        <v>17604.349999999999</v>
      </c>
      <c r="G80" s="420">
        <f t="shared" si="3"/>
        <v>-2.3480597859399488E-2</v>
      </c>
      <c r="H80" s="397"/>
      <c r="I80" s="397"/>
      <c r="J80" s="397"/>
      <c r="K80" s="394"/>
      <c r="L80" s="396"/>
      <c r="S80" s="393"/>
      <c r="T80" s="394"/>
      <c r="U80" s="394"/>
    </row>
    <row r="81" spans="2:21" x14ac:dyDescent="0.2">
      <c r="B81" s="426">
        <v>44955</v>
      </c>
      <c r="C81" s="394">
        <v>220.65</v>
      </c>
      <c r="D81" s="420">
        <f t="shared" si="2"/>
        <v>-6.7019027484143789E-2</v>
      </c>
      <c r="E81" s="394"/>
      <c r="F81" s="418">
        <v>17854.05</v>
      </c>
      <c r="G81" s="420">
        <f t="shared" si="3"/>
        <v>1.4183994296864233E-2</v>
      </c>
      <c r="H81" s="397"/>
      <c r="I81" s="397"/>
      <c r="J81" s="397"/>
      <c r="K81" s="394"/>
      <c r="L81" s="396"/>
      <c r="S81" s="393"/>
      <c r="T81" s="394"/>
      <c r="U81" s="394"/>
    </row>
    <row r="82" spans="2:21" x14ac:dyDescent="0.2">
      <c r="B82" s="426">
        <v>44962</v>
      </c>
      <c r="C82" s="394">
        <v>229.95</v>
      </c>
      <c r="D82" s="420">
        <f t="shared" si="2"/>
        <v>4.2148198504418755E-2</v>
      </c>
      <c r="E82" s="394"/>
      <c r="F82" s="418">
        <v>17856.5</v>
      </c>
      <c r="G82" s="420">
        <f t="shared" si="3"/>
        <v>1.372237671564136E-4</v>
      </c>
      <c r="H82" s="397"/>
      <c r="I82" s="397"/>
      <c r="J82" s="397"/>
      <c r="K82" s="394"/>
      <c r="L82" s="396"/>
      <c r="S82" s="393"/>
      <c r="T82" s="394"/>
      <c r="U82" s="394"/>
    </row>
    <row r="83" spans="2:21" x14ac:dyDescent="0.2">
      <c r="B83" s="426">
        <v>44969</v>
      </c>
      <c r="C83" s="394">
        <v>226</v>
      </c>
      <c r="D83" s="420">
        <f t="shared" si="2"/>
        <v>-1.717764731463356E-2</v>
      </c>
      <c r="E83" s="394"/>
      <c r="F83" s="418">
        <v>17944.2</v>
      </c>
      <c r="G83" s="420">
        <f t="shared" si="3"/>
        <v>4.9113768095652155E-3</v>
      </c>
      <c r="H83" s="397"/>
      <c r="I83" s="397"/>
      <c r="J83" s="397"/>
      <c r="K83" s="394"/>
      <c r="L83" s="396"/>
      <c r="S83" s="393"/>
      <c r="T83" s="394"/>
      <c r="U83" s="394"/>
    </row>
    <row r="84" spans="2:21" x14ac:dyDescent="0.2">
      <c r="B84" s="426">
        <v>44976</v>
      </c>
      <c r="C84" s="394">
        <v>211.75</v>
      </c>
      <c r="D84" s="420">
        <f t="shared" si="2"/>
        <v>-6.3053097345132758E-2</v>
      </c>
      <c r="E84" s="394"/>
      <c r="F84" s="418">
        <v>17465.8</v>
      </c>
      <c r="G84" s="420">
        <f t="shared" si="3"/>
        <v>-2.6660425095574092E-2</v>
      </c>
      <c r="H84" s="397"/>
      <c r="I84" s="397"/>
      <c r="J84" s="397"/>
      <c r="K84" s="394"/>
      <c r="L84" s="396"/>
      <c r="S84" s="393"/>
      <c r="T84" s="394"/>
      <c r="U84" s="394"/>
    </row>
    <row r="85" spans="2:21" x14ac:dyDescent="0.2">
      <c r="B85" s="426">
        <v>44983</v>
      </c>
      <c r="C85" s="394">
        <v>242.65</v>
      </c>
      <c r="D85" s="420">
        <f t="shared" si="2"/>
        <v>0.14592680047225515</v>
      </c>
      <c r="E85" s="394"/>
      <c r="F85" s="418">
        <v>17594.349999999999</v>
      </c>
      <c r="G85" s="420">
        <f t="shared" si="3"/>
        <v>7.360098020130712E-3</v>
      </c>
      <c r="H85" s="397"/>
      <c r="I85" s="397"/>
      <c r="J85" s="397"/>
      <c r="K85" s="394"/>
      <c r="L85" s="396"/>
      <c r="S85" s="393"/>
      <c r="T85" s="394"/>
      <c r="U85" s="394"/>
    </row>
    <row r="86" spans="2:21" x14ac:dyDescent="0.2">
      <c r="B86" s="426">
        <v>44990</v>
      </c>
      <c r="C86" s="394">
        <v>268.35000000000002</v>
      </c>
      <c r="D86" s="420">
        <f t="shared" si="2"/>
        <v>0.10591386771069455</v>
      </c>
      <c r="E86" s="394"/>
      <c r="F86" s="418">
        <v>17412.900000000001</v>
      </c>
      <c r="G86" s="420">
        <f t="shared" si="3"/>
        <v>-1.0312969788596749E-2</v>
      </c>
      <c r="H86" s="397"/>
      <c r="I86" s="397"/>
      <c r="J86" s="397"/>
      <c r="K86" s="394"/>
      <c r="L86" s="396"/>
      <c r="S86" s="393"/>
      <c r="T86" s="394"/>
      <c r="U86" s="394"/>
    </row>
    <row r="87" spans="2:21" x14ac:dyDescent="0.2">
      <c r="B87" s="426">
        <v>44997</v>
      </c>
      <c r="C87" s="394">
        <v>251.9</v>
      </c>
      <c r="D87" s="420">
        <f t="shared" si="2"/>
        <v>-6.1300540339109477E-2</v>
      </c>
      <c r="E87" s="394"/>
      <c r="F87" s="418">
        <v>17100.05</v>
      </c>
      <c r="G87" s="420">
        <f t="shared" si="3"/>
        <v>-1.796656501788918E-2</v>
      </c>
      <c r="H87" s="397"/>
      <c r="I87" s="397"/>
      <c r="J87" s="397"/>
      <c r="K87" s="394"/>
      <c r="L87" s="396"/>
      <c r="S87" s="393"/>
      <c r="T87" s="394"/>
      <c r="U87" s="394"/>
    </row>
    <row r="88" spans="2:21" x14ac:dyDescent="0.2">
      <c r="B88" s="426">
        <v>45004</v>
      </c>
      <c r="C88" s="394">
        <v>236.7</v>
      </c>
      <c r="D88" s="420">
        <f t="shared" si="2"/>
        <v>-6.0341405319571328E-2</v>
      </c>
      <c r="E88" s="394"/>
      <c r="F88" s="418">
        <v>16945.05</v>
      </c>
      <c r="G88" s="420">
        <f t="shared" si="3"/>
        <v>-9.0643009815760678E-3</v>
      </c>
      <c r="H88" s="397"/>
      <c r="I88" s="397"/>
      <c r="J88" s="397"/>
      <c r="K88" s="394"/>
      <c r="L88" s="396"/>
      <c r="S88" s="393"/>
      <c r="T88" s="394"/>
      <c r="U88" s="394"/>
    </row>
    <row r="89" spans="2:21" x14ac:dyDescent="0.2">
      <c r="B89" s="426">
        <v>45011</v>
      </c>
      <c r="C89" s="394">
        <v>240.85</v>
      </c>
      <c r="D89" s="420">
        <f t="shared" si="2"/>
        <v>1.7532741867342549E-2</v>
      </c>
      <c r="E89" s="394"/>
      <c r="F89" s="418">
        <v>17359.75</v>
      </c>
      <c r="G89" s="420">
        <f t="shared" si="3"/>
        <v>2.4473223743807226E-2</v>
      </c>
      <c r="H89" s="397"/>
      <c r="I89" s="397"/>
      <c r="J89" s="397"/>
      <c r="K89" s="394"/>
      <c r="L89" s="396"/>
      <c r="S89" s="393"/>
      <c r="T89" s="394"/>
      <c r="U89" s="394"/>
    </row>
    <row r="90" spans="2:21" x14ac:dyDescent="0.2">
      <c r="B90" s="426">
        <v>45018</v>
      </c>
      <c r="C90" s="394">
        <v>252</v>
      </c>
      <c r="D90" s="420">
        <f t="shared" si="2"/>
        <v>4.6294374091758295E-2</v>
      </c>
      <c r="E90" s="394"/>
      <c r="F90" s="418">
        <v>17599.150000000001</v>
      </c>
      <c r="G90" s="420">
        <f t="shared" si="3"/>
        <v>1.3790521176860304E-2</v>
      </c>
      <c r="H90" s="397"/>
      <c r="I90" s="397"/>
      <c r="J90" s="397"/>
      <c r="K90" s="394"/>
      <c r="L90" s="396"/>
      <c r="S90" s="393"/>
      <c r="T90" s="394"/>
      <c r="U90" s="394"/>
    </row>
    <row r="91" spans="2:21" x14ac:dyDescent="0.2">
      <c r="B91" s="426">
        <v>45025</v>
      </c>
      <c r="C91" s="394">
        <v>245.45</v>
      </c>
      <c r="D91" s="420">
        <f t="shared" si="2"/>
        <v>-2.5992063492063511E-2</v>
      </c>
      <c r="E91" s="394"/>
      <c r="F91" s="418">
        <v>17828</v>
      </c>
      <c r="G91" s="420">
        <f t="shared" si="3"/>
        <v>1.3003468917532901E-2</v>
      </c>
      <c r="H91" s="397"/>
      <c r="I91" s="397"/>
      <c r="J91" s="397"/>
      <c r="K91" s="394"/>
      <c r="L91" s="396"/>
      <c r="S91" s="393"/>
      <c r="T91" s="394"/>
      <c r="U91" s="394"/>
    </row>
    <row r="92" spans="2:21" x14ac:dyDescent="0.2">
      <c r="B92" s="426">
        <v>45032</v>
      </c>
      <c r="C92" s="394">
        <v>253.65</v>
      </c>
      <c r="D92" s="420">
        <f t="shared" si="2"/>
        <v>3.3408026074557062E-2</v>
      </c>
      <c r="E92" s="394"/>
      <c r="F92" s="418">
        <v>17624.05</v>
      </c>
      <c r="G92" s="420">
        <f t="shared" si="3"/>
        <v>-1.143986986762402E-2</v>
      </c>
      <c r="H92" s="397"/>
      <c r="I92" s="397"/>
      <c r="J92" s="397"/>
      <c r="K92" s="394"/>
      <c r="L92" s="396"/>
      <c r="S92" s="393"/>
      <c r="T92" s="394"/>
      <c r="U92" s="394"/>
    </row>
    <row r="93" spans="2:21" x14ac:dyDescent="0.2">
      <c r="B93" s="426">
        <v>45039</v>
      </c>
      <c r="C93" s="394">
        <v>260.7</v>
      </c>
      <c r="D93" s="420">
        <f t="shared" si="2"/>
        <v>2.7794204612655138E-2</v>
      </c>
      <c r="E93" s="394"/>
      <c r="F93" s="418">
        <v>18065</v>
      </c>
      <c r="G93" s="420">
        <f t="shared" si="3"/>
        <v>2.5019788300645995E-2</v>
      </c>
      <c r="H93" s="397"/>
      <c r="I93" s="397"/>
      <c r="J93" s="397"/>
      <c r="K93" s="394"/>
      <c r="L93" s="396"/>
      <c r="S93" s="393"/>
      <c r="T93" s="394"/>
      <c r="U93" s="394"/>
    </row>
    <row r="94" spans="2:21" x14ac:dyDescent="0.2">
      <c r="B94" s="426">
        <v>45046</v>
      </c>
      <c r="C94" s="394">
        <v>260.45</v>
      </c>
      <c r="D94" s="420">
        <f t="shared" si="2"/>
        <v>-9.5895665515921547E-4</v>
      </c>
      <c r="E94" s="394"/>
      <c r="F94" s="418">
        <v>18069</v>
      </c>
      <c r="G94" s="420">
        <f t="shared" si="3"/>
        <v>2.2142264046509652E-4</v>
      </c>
      <c r="H94" s="397"/>
      <c r="I94" s="397"/>
      <c r="J94" s="397"/>
      <c r="K94" s="394"/>
      <c r="L94" s="396"/>
      <c r="S94" s="393"/>
      <c r="T94" s="394"/>
      <c r="U94" s="394"/>
    </row>
    <row r="95" spans="2:21" x14ac:dyDescent="0.2">
      <c r="B95" s="426">
        <v>45053</v>
      </c>
      <c r="C95" s="394">
        <v>259.95</v>
      </c>
      <c r="D95" s="420">
        <f t="shared" si="2"/>
        <v>-1.9197542714533E-3</v>
      </c>
      <c r="E95" s="394"/>
      <c r="F95" s="418">
        <v>18314.8</v>
      </c>
      <c r="G95" s="420">
        <f t="shared" si="3"/>
        <v>1.3603409153799317E-2</v>
      </c>
      <c r="H95" s="397"/>
      <c r="I95" s="397"/>
      <c r="J95" s="397"/>
      <c r="K95" s="394"/>
      <c r="L95" s="396"/>
      <c r="S95" s="393"/>
      <c r="T95" s="394"/>
      <c r="U95" s="394"/>
    </row>
    <row r="96" spans="2:21" x14ac:dyDescent="0.2">
      <c r="B96" s="426">
        <v>45060</v>
      </c>
      <c r="C96" s="394">
        <v>243.8</v>
      </c>
      <c r="D96" s="420">
        <f t="shared" si="2"/>
        <v>-6.2127332179265138E-2</v>
      </c>
      <c r="E96" s="394"/>
      <c r="F96" s="418">
        <v>18203.400000000001</v>
      </c>
      <c r="G96" s="420">
        <f t="shared" si="3"/>
        <v>-6.0825125035489647E-3</v>
      </c>
      <c r="H96" s="397"/>
      <c r="I96" s="397"/>
      <c r="J96" s="397"/>
      <c r="K96" s="394"/>
      <c r="L96" s="396"/>
      <c r="S96" s="393"/>
      <c r="T96" s="394"/>
      <c r="U96" s="394"/>
    </row>
    <row r="97" spans="2:21" x14ac:dyDescent="0.2">
      <c r="B97" s="426">
        <v>45067</v>
      </c>
      <c r="C97" s="394">
        <v>255.9</v>
      </c>
      <c r="D97" s="420">
        <f t="shared" si="2"/>
        <v>4.9630844954881015E-2</v>
      </c>
      <c r="E97" s="394"/>
      <c r="F97" s="418">
        <v>18499.349999999999</v>
      </c>
      <c r="G97" s="420">
        <f t="shared" si="3"/>
        <v>1.6257951811200044E-2</v>
      </c>
      <c r="H97" s="397"/>
      <c r="I97" s="397"/>
      <c r="J97" s="397"/>
      <c r="K97" s="394"/>
      <c r="L97" s="396"/>
      <c r="S97" s="393"/>
      <c r="T97" s="394"/>
      <c r="U97" s="394"/>
    </row>
    <row r="98" spans="2:21" x14ac:dyDescent="0.2">
      <c r="B98" s="426">
        <v>45074</v>
      </c>
      <c r="C98" s="394">
        <v>250.9</v>
      </c>
      <c r="D98" s="420">
        <f t="shared" si="2"/>
        <v>-1.9538882375928046E-2</v>
      </c>
      <c r="E98" s="394"/>
      <c r="F98" s="418">
        <v>18534.099999999999</v>
      </c>
      <c r="G98" s="420">
        <f t="shared" si="3"/>
        <v>1.8784443777755122E-3</v>
      </c>
      <c r="H98" s="397"/>
      <c r="I98" s="397"/>
      <c r="J98" s="397"/>
      <c r="K98" s="394"/>
      <c r="L98" s="396"/>
      <c r="S98" s="393"/>
      <c r="T98" s="394"/>
      <c r="U98" s="394"/>
    </row>
    <row r="99" spans="2:21" x14ac:dyDescent="0.2">
      <c r="B99" s="426">
        <v>45081</v>
      </c>
      <c r="C99" s="394">
        <v>261.39999999999998</v>
      </c>
      <c r="D99" s="420">
        <f t="shared" si="2"/>
        <v>4.184934236747706E-2</v>
      </c>
      <c r="E99" s="394"/>
      <c r="F99" s="418">
        <v>18563.400000000001</v>
      </c>
      <c r="G99" s="420">
        <f t="shared" si="3"/>
        <v>1.5808698561032841E-3</v>
      </c>
      <c r="H99" s="397"/>
      <c r="I99" s="397"/>
      <c r="J99" s="397"/>
      <c r="K99" s="394"/>
      <c r="L99" s="396"/>
      <c r="S99" s="393"/>
      <c r="T99" s="394"/>
      <c r="U99" s="394"/>
    </row>
    <row r="100" spans="2:21" x14ac:dyDescent="0.2">
      <c r="B100" s="426">
        <v>45088</v>
      </c>
      <c r="C100" s="394">
        <v>256.60000000000002</v>
      </c>
      <c r="D100" s="420">
        <f t="shared" si="2"/>
        <v>-1.8362662586074774E-2</v>
      </c>
      <c r="E100" s="394"/>
      <c r="F100" s="418">
        <v>18826</v>
      </c>
      <c r="G100" s="420">
        <f t="shared" si="3"/>
        <v>1.4146115474535925E-2</v>
      </c>
      <c r="H100" s="397"/>
      <c r="I100" s="397"/>
      <c r="J100" s="397"/>
      <c r="K100" s="394"/>
      <c r="L100" s="396"/>
      <c r="S100" s="393"/>
      <c r="T100" s="394"/>
      <c r="U100" s="394"/>
    </row>
    <row r="101" spans="2:21" x14ac:dyDescent="0.2">
      <c r="B101" s="426">
        <v>45095</v>
      </c>
      <c r="C101" s="394">
        <v>261.39999999999998</v>
      </c>
      <c r="D101" s="420">
        <f t="shared" si="2"/>
        <v>1.8706157443491689E-2</v>
      </c>
      <c r="E101" s="394"/>
      <c r="F101" s="418">
        <v>18665.5</v>
      </c>
      <c r="G101" s="420">
        <f t="shared" si="3"/>
        <v>-8.5254435355359703E-3</v>
      </c>
      <c r="H101" s="397"/>
      <c r="I101" s="397"/>
      <c r="J101" s="397"/>
      <c r="K101" s="394"/>
      <c r="L101" s="396"/>
      <c r="S101" s="393"/>
      <c r="T101" s="394"/>
      <c r="U101" s="394"/>
    </row>
    <row r="102" spans="2:21" x14ac:dyDescent="0.2">
      <c r="B102" s="426">
        <v>45102</v>
      </c>
      <c r="C102" s="394">
        <v>272.75</v>
      </c>
      <c r="D102" s="420">
        <f t="shared" si="2"/>
        <v>4.342004590665649E-2</v>
      </c>
      <c r="E102" s="394"/>
      <c r="F102" s="418">
        <v>19189.05</v>
      </c>
      <c r="G102" s="420">
        <f t="shared" si="3"/>
        <v>2.8049074495727355E-2</v>
      </c>
      <c r="H102" s="397"/>
      <c r="I102" s="397"/>
      <c r="J102" s="397"/>
      <c r="K102" s="394"/>
      <c r="L102" s="396"/>
      <c r="S102" s="393"/>
      <c r="T102" s="394"/>
      <c r="U102" s="394"/>
    </row>
    <row r="103" spans="2:21" x14ac:dyDescent="0.2">
      <c r="B103" s="426">
        <v>45109</v>
      </c>
      <c r="C103" s="394">
        <v>306.64999999999998</v>
      </c>
      <c r="D103" s="420">
        <f t="shared" si="2"/>
        <v>0.12428964252978902</v>
      </c>
      <c r="E103" s="394"/>
      <c r="F103" s="418">
        <v>19331.8</v>
      </c>
      <c r="G103" s="420">
        <f t="shared" si="3"/>
        <v>7.4391384669902916E-3</v>
      </c>
      <c r="H103" s="397"/>
      <c r="I103" s="397"/>
      <c r="J103" s="397"/>
      <c r="K103" s="394"/>
      <c r="L103" s="396"/>
      <c r="S103" s="393"/>
      <c r="T103" s="394"/>
      <c r="U103" s="394"/>
    </row>
    <row r="104" spans="2:21" x14ac:dyDescent="0.2">
      <c r="B104" s="426">
        <v>45116</v>
      </c>
      <c r="C104" s="394">
        <v>304.60000000000002</v>
      </c>
      <c r="D104" s="420">
        <f t="shared" si="2"/>
        <v>-6.6851459318439943E-3</v>
      </c>
      <c r="E104" s="394"/>
      <c r="F104" s="418">
        <v>19564.5</v>
      </c>
      <c r="G104" s="420">
        <f t="shared" si="3"/>
        <v>1.2037161567986399E-2</v>
      </c>
      <c r="H104" s="397"/>
      <c r="I104" s="397"/>
      <c r="J104" s="397"/>
      <c r="K104" s="394"/>
      <c r="L104" s="396"/>
      <c r="S104" s="393"/>
      <c r="T104" s="394"/>
      <c r="U104" s="394"/>
    </row>
    <row r="105" spans="2:21" x14ac:dyDescent="0.2">
      <c r="B105" s="426">
        <v>45123</v>
      </c>
      <c r="C105" s="394">
        <v>288.10000000000002</v>
      </c>
      <c r="D105" s="420">
        <f t="shared" si="2"/>
        <v>-5.4169402495075514E-2</v>
      </c>
      <c r="E105" s="394"/>
      <c r="F105" s="418">
        <v>19745</v>
      </c>
      <c r="G105" s="420">
        <f t="shared" si="3"/>
        <v>9.225893838329613E-3</v>
      </c>
      <c r="H105" s="397"/>
      <c r="I105" s="397"/>
      <c r="J105" s="397"/>
      <c r="K105" s="394"/>
      <c r="L105" s="396"/>
      <c r="S105" s="393"/>
      <c r="T105" s="394"/>
      <c r="U105" s="394"/>
    </row>
    <row r="106" spans="2:21" x14ac:dyDescent="0.2">
      <c r="B106" s="426">
        <v>45130</v>
      </c>
      <c r="C106" s="394">
        <v>292.10000000000002</v>
      </c>
      <c r="D106" s="420">
        <f t="shared" si="2"/>
        <v>1.3884068031933428E-2</v>
      </c>
      <c r="E106" s="394"/>
      <c r="F106" s="418">
        <v>19646.05</v>
      </c>
      <c r="G106" s="420">
        <f t="shared" si="3"/>
        <v>-5.0113952899468739E-3</v>
      </c>
      <c r="H106" s="397"/>
      <c r="I106" s="397"/>
      <c r="J106" s="397"/>
      <c r="K106" s="394"/>
      <c r="L106" s="396"/>
      <c r="S106" s="393"/>
      <c r="T106" s="394"/>
      <c r="U106" s="394"/>
    </row>
    <row r="107" spans="2:21" x14ac:dyDescent="0.2">
      <c r="B107" s="426">
        <v>45137</v>
      </c>
      <c r="C107" s="394">
        <v>293.3</v>
      </c>
      <c r="D107" s="420">
        <f t="shared" si="2"/>
        <v>4.108182129407778E-3</v>
      </c>
      <c r="E107" s="394"/>
      <c r="F107" s="418">
        <v>19517</v>
      </c>
      <c r="G107" s="420">
        <f t="shared" si="3"/>
        <v>-6.568750461288575E-3</v>
      </c>
      <c r="H107" s="397"/>
      <c r="I107" s="397"/>
      <c r="J107" s="397"/>
      <c r="K107" s="394"/>
      <c r="L107" s="396"/>
      <c r="S107" s="393"/>
      <c r="T107" s="394"/>
      <c r="U107" s="394"/>
    </row>
    <row r="108" spans="2:21" x14ac:dyDescent="0.2">
      <c r="B108" s="426">
        <v>45144</v>
      </c>
      <c r="C108" s="394">
        <v>342.05</v>
      </c>
      <c r="D108" s="420">
        <f t="shared" si="2"/>
        <v>0.16621206955335843</v>
      </c>
      <c r="E108" s="394"/>
      <c r="F108" s="418">
        <v>19428.3</v>
      </c>
      <c r="G108" s="420">
        <f t="shared" si="3"/>
        <v>-4.5447558538710409E-3</v>
      </c>
      <c r="H108" s="397"/>
      <c r="I108" s="397"/>
      <c r="J108" s="397"/>
      <c r="K108" s="394"/>
      <c r="L108" s="396"/>
      <c r="S108" s="393"/>
      <c r="T108" s="394"/>
      <c r="U108" s="394"/>
    </row>
    <row r="109" spans="2:21" x14ac:dyDescent="0.2">
      <c r="B109" s="426">
        <v>45151</v>
      </c>
      <c r="C109" s="394">
        <v>362.35</v>
      </c>
      <c r="D109" s="420">
        <f t="shared" si="2"/>
        <v>5.9348048530916575E-2</v>
      </c>
      <c r="E109" s="394"/>
      <c r="F109" s="418">
        <v>19310.150000000001</v>
      </c>
      <c r="G109" s="420">
        <f t="shared" si="3"/>
        <v>-6.0813349598265454E-3</v>
      </c>
      <c r="H109" s="397"/>
      <c r="I109" s="397"/>
      <c r="J109" s="397"/>
      <c r="K109" s="394"/>
      <c r="L109" s="396"/>
      <c r="S109" s="393"/>
      <c r="T109" s="394"/>
      <c r="U109" s="394"/>
    </row>
    <row r="110" spans="2:21" x14ac:dyDescent="0.2">
      <c r="B110" s="426">
        <v>45158</v>
      </c>
      <c r="C110" s="394">
        <v>347.6</v>
      </c>
      <c r="D110" s="420">
        <f t="shared" si="2"/>
        <v>-4.0706499241065286E-2</v>
      </c>
      <c r="E110" s="394"/>
      <c r="F110" s="418">
        <v>19265.8</v>
      </c>
      <c r="G110" s="420">
        <f t="shared" si="3"/>
        <v>-2.2967196008317758E-3</v>
      </c>
      <c r="H110" s="397"/>
      <c r="I110" s="397"/>
      <c r="J110" s="397"/>
      <c r="K110" s="394"/>
      <c r="L110" s="396"/>
      <c r="S110" s="393"/>
      <c r="T110" s="394"/>
      <c r="U110" s="394"/>
    </row>
    <row r="111" spans="2:21" x14ac:dyDescent="0.2">
      <c r="B111" s="426">
        <v>45165</v>
      </c>
      <c r="C111" s="394">
        <v>354.25</v>
      </c>
      <c r="D111" s="420">
        <f t="shared" si="2"/>
        <v>1.9131185270425677E-2</v>
      </c>
      <c r="E111" s="394"/>
      <c r="F111" s="418">
        <v>19435.3</v>
      </c>
      <c r="G111" s="420">
        <f t="shared" si="3"/>
        <v>8.7979736112697715E-3</v>
      </c>
      <c r="H111" s="397"/>
      <c r="I111" s="397"/>
      <c r="J111" s="397"/>
      <c r="K111" s="394"/>
      <c r="L111" s="396"/>
      <c r="S111" s="393"/>
      <c r="T111" s="394"/>
      <c r="U111" s="394"/>
    </row>
    <row r="112" spans="2:21" x14ac:dyDescent="0.2">
      <c r="B112" s="426">
        <v>45172</v>
      </c>
      <c r="C112" s="394">
        <v>394.55</v>
      </c>
      <c r="D112" s="420">
        <f t="shared" si="2"/>
        <v>0.11376146788990837</v>
      </c>
      <c r="E112" s="394"/>
      <c r="F112" s="418">
        <v>19819.95</v>
      </c>
      <c r="G112" s="420">
        <f t="shared" si="3"/>
        <v>1.9791307569216876E-2</v>
      </c>
      <c r="H112" s="397"/>
      <c r="I112" s="397"/>
      <c r="J112" s="397"/>
      <c r="K112" s="394"/>
      <c r="L112" s="396"/>
      <c r="S112" s="393"/>
      <c r="T112" s="394"/>
      <c r="U112" s="394"/>
    </row>
    <row r="113" spans="2:21" x14ac:dyDescent="0.2">
      <c r="B113" s="426">
        <v>45179</v>
      </c>
      <c r="C113" s="394">
        <v>398.85</v>
      </c>
      <c r="D113" s="420">
        <f t="shared" si="2"/>
        <v>1.0898491952857636E-2</v>
      </c>
      <c r="E113" s="394"/>
      <c r="F113" s="418">
        <v>20192.349999999999</v>
      </c>
      <c r="G113" s="420">
        <f t="shared" si="3"/>
        <v>1.8789149316723597E-2</v>
      </c>
      <c r="H113" s="397"/>
      <c r="I113" s="397"/>
      <c r="J113" s="397"/>
      <c r="K113" s="394"/>
      <c r="L113" s="396"/>
      <c r="S113" s="393"/>
      <c r="T113" s="394"/>
      <c r="U113" s="394"/>
    </row>
    <row r="114" spans="2:21" x14ac:dyDescent="0.2">
      <c r="B114" s="426">
        <v>45186</v>
      </c>
      <c r="C114" s="394">
        <v>422.1</v>
      </c>
      <c r="D114" s="420">
        <f t="shared" si="2"/>
        <v>5.8292591199699206E-2</v>
      </c>
      <c r="E114" s="394"/>
      <c r="F114" s="418">
        <v>19674.25</v>
      </c>
      <c r="G114" s="420">
        <f t="shared" si="3"/>
        <v>-2.5658231954180599E-2</v>
      </c>
      <c r="H114" s="397"/>
      <c r="I114" s="397"/>
      <c r="J114" s="397"/>
      <c r="K114" s="394"/>
      <c r="L114" s="396"/>
      <c r="S114" s="393"/>
      <c r="T114" s="394"/>
      <c r="U114" s="394"/>
    </row>
    <row r="115" spans="2:21" x14ac:dyDescent="0.2">
      <c r="B115" s="426">
        <v>45193</v>
      </c>
      <c r="C115" s="394">
        <v>437.4</v>
      </c>
      <c r="D115" s="420">
        <f t="shared" si="2"/>
        <v>3.6247334754797356E-2</v>
      </c>
      <c r="E115" s="394"/>
      <c r="F115" s="418">
        <v>19638.3</v>
      </c>
      <c r="G115" s="420">
        <f t="shared" si="3"/>
        <v>-1.8272615220402688E-3</v>
      </c>
      <c r="H115" s="397"/>
      <c r="I115" s="397"/>
      <c r="J115" s="397"/>
      <c r="K115" s="394"/>
      <c r="L115" s="396"/>
      <c r="S115" s="393"/>
      <c r="T115" s="394"/>
      <c r="U115" s="394"/>
    </row>
    <row r="116" spans="2:21" x14ac:dyDescent="0.2">
      <c r="B116" s="426">
        <v>45200</v>
      </c>
      <c r="C116" s="394">
        <v>419.65</v>
      </c>
      <c r="D116" s="420">
        <f t="shared" si="2"/>
        <v>-4.0580704160951053E-2</v>
      </c>
      <c r="E116" s="394"/>
      <c r="F116" s="418">
        <v>19653.5</v>
      </c>
      <c r="G116" s="420">
        <f t="shared" si="3"/>
        <v>7.7399774929598486E-4</v>
      </c>
      <c r="H116" s="397"/>
      <c r="I116" s="397"/>
      <c r="J116" s="397"/>
      <c r="K116" s="394"/>
      <c r="L116" s="396"/>
      <c r="S116" s="393"/>
      <c r="T116" s="394"/>
      <c r="U116" s="394"/>
    </row>
    <row r="117" spans="2:21" x14ac:dyDescent="0.2">
      <c r="B117" s="426">
        <v>45207</v>
      </c>
      <c r="C117" s="394">
        <v>392.05</v>
      </c>
      <c r="D117" s="420">
        <f t="shared" si="2"/>
        <v>-6.5769093292028957E-2</v>
      </c>
      <c r="E117" s="394"/>
      <c r="F117" s="418">
        <v>19751.05</v>
      </c>
      <c r="G117" s="420">
        <f t="shared" si="3"/>
        <v>4.9634925076957881E-3</v>
      </c>
      <c r="H117" s="397"/>
      <c r="I117" s="397"/>
      <c r="J117" s="397"/>
      <c r="K117" s="394"/>
      <c r="L117" s="396"/>
      <c r="S117" s="393"/>
      <c r="T117" s="394"/>
      <c r="U117" s="394"/>
    </row>
    <row r="118" spans="2:21" x14ac:dyDescent="0.2">
      <c r="B118" s="426">
        <v>45214</v>
      </c>
      <c r="C118" s="394">
        <v>387.8</v>
      </c>
      <c r="D118" s="420">
        <f t="shared" si="2"/>
        <v>-1.0840454023721469E-2</v>
      </c>
      <c r="E118" s="394"/>
      <c r="F118" s="418">
        <v>19542.650000000001</v>
      </c>
      <c r="G118" s="420">
        <f t="shared" si="3"/>
        <v>-1.0551337776978809E-2</v>
      </c>
      <c r="H118" s="397"/>
      <c r="I118" s="397"/>
      <c r="J118" s="397"/>
      <c r="K118" s="394"/>
      <c r="L118" s="396"/>
      <c r="S118" s="393"/>
      <c r="T118" s="394"/>
      <c r="U118" s="394"/>
    </row>
    <row r="119" spans="2:21" x14ac:dyDescent="0.2">
      <c r="B119" s="426">
        <v>45221</v>
      </c>
      <c r="C119" s="394">
        <v>393.75</v>
      </c>
      <c r="D119" s="420">
        <f t="shared" si="2"/>
        <v>1.534296028880866E-2</v>
      </c>
      <c r="E119" s="394"/>
      <c r="F119" s="418">
        <v>19047.25</v>
      </c>
      <c r="G119" s="420">
        <f t="shared" si="3"/>
        <v>-2.5349683896503383E-2</v>
      </c>
      <c r="H119" s="397"/>
      <c r="I119" s="397"/>
      <c r="J119" s="397"/>
      <c r="K119" s="394"/>
      <c r="L119" s="396"/>
      <c r="S119" s="393"/>
      <c r="T119" s="394"/>
      <c r="U119" s="394"/>
    </row>
    <row r="120" spans="2:21" x14ac:dyDescent="0.2">
      <c r="B120" s="426">
        <v>45228</v>
      </c>
      <c r="C120" s="394">
        <v>393.8</v>
      </c>
      <c r="D120" s="420">
        <f t="shared" si="2"/>
        <v>1.2698412698419759E-4</v>
      </c>
      <c r="E120" s="394"/>
      <c r="F120" s="418">
        <v>19230.599999999999</v>
      </c>
      <c r="G120" s="420">
        <f t="shared" si="3"/>
        <v>9.6260615049414966E-3</v>
      </c>
      <c r="H120" s="397"/>
      <c r="I120" s="397"/>
      <c r="J120" s="397"/>
      <c r="K120" s="394"/>
      <c r="L120" s="396"/>
      <c r="S120" s="393"/>
      <c r="T120" s="394"/>
      <c r="U120" s="394"/>
    </row>
    <row r="121" spans="2:21" x14ac:dyDescent="0.2">
      <c r="B121" s="426">
        <v>45235</v>
      </c>
      <c r="C121" s="394">
        <v>382.7</v>
      </c>
      <c r="D121" s="420">
        <f t="shared" si="2"/>
        <v>-2.8186896901980729E-2</v>
      </c>
      <c r="E121" s="394"/>
      <c r="F121" s="418">
        <v>19425.349999999999</v>
      </c>
      <c r="G121" s="420">
        <f t="shared" si="3"/>
        <v>1.0127089118384225E-2</v>
      </c>
      <c r="H121" s="397"/>
      <c r="I121" s="397"/>
      <c r="J121" s="397"/>
      <c r="K121" s="394"/>
      <c r="L121" s="396"/>
      <c r="S121" s="393"/>
      <c r="T121" s="394"/>
      <c r="U121" s="394"/>
    </row>
    <row r="122" spans="2:21" x14ac:dyDescent="0.2">
      <c r="B122" s="426">
        <v>45242</v>
      </c>
      <c r="C122" s="394">
        <v>399.75</v>
      </c>
      <c r="D122" s="420">
        <f t="shared" si="2"/>
        <v>4.4551868304154807E-2</v>
      </c>
      <c r="E122" s="394"/>
      <c r="F122" s="418">
        <v>19731.8</v>
      </c>
      <c r="G122" s="420">
        <f t="shared" si="3"/>
        <v>1.5775777527818002E-2</v>
      </c>
      <c r="H122" s="397"/>
      <c r="I122" s="397"/>
      <c r="J122" s="397"/>
      <c r="K122" s="394"/>
      <c r="L122" s="396"/>
      <c r="S122" s="393"/>
      <c r="T122" s="394"/>
      <c r="U122" s="394"/>
    </row>
    <row r="123" spans="2:21" x14ac:dyDescent="0.2">
      <c r="B123" s="426">
        <v>45249</v>
      </c>
      <c r="C123" s="394">
        <v>420.95</v>
      </c>
      <c r="D123" s="420">
        <f t="shared" si="2"/>
        <v>5.3033145716072427E-2</v>
      </c>
      <c r="E123" s="394"/>
      <c r="F123" s="418">
        <v>19794.7</v>
      </c>
      <c r="G123" s="420">
        <f t="shared" si="3"/>
        <v>3.1877476966115648E-3</v>
      </c>
      <c r="H123" s="397"/>
      <c r="I123" s="397"/>
      <c r="J123" s="397"/>
      <c r="K123" s="394"/>
      <c r="L123" s="396"/>
      <c r="S123" s="393"/>
      <c r="T123" s="394"/>
      <c r="U123" s="394"/>
    </row>
    <row r="124" spans="2:21" x14ac:dyDescent="0.2">
      <c r="B124" s="426">
        <v>45256</v>
      </c>
      <c r="C124" s="394">
        <v>424.6</v>
      </c>
      <c r="D124" s="420">
        <f t="shared" si="2"/>
        <v>8.6708635229837405E-3</v>
      </c>
      <c r="E124" s="394"/>
      <c r="F124" s="418">
        <v>20267.900000000001</v>
      </c>
      <c r="G124" s="420">
        <f t="shared" si="3"/>
        <v>2.3905388816198414E-2</v>
      </c>
      <c r="H124" s="397"/>
      <c r="I124" s="397"/>
      <c r="J124" s="397"/>
      <c r="K124" s="394"/>
      <c r="L124" s="396"/>
      <c r="S124" s="393"/>
      <c r="T124" s="394"/>
      <c r="U124" s="394"/>
    </row>
    <row r="125" spans="2:21" x14ac:dyDescent="0.2">
      <c r="B125" s="426">
        <v>45263</v>
      </c>
      <c r="C125" s="394">
        <v>451.8</v>
      </c>
      <c r="D125" s="420">
        <f t="shared" si="2"/>
        <v>6.4060292039566535E-2</v>
      </c>
      <c r="E125" s="394"/>
      <c r="F125" s="418">
        <v>20969.400000000001</v>
      </c>
      <c r="G125" s="420">
        <f t="shared" si="3"/>
        <v>3.4611380557433069E-2</v>
      </c>
      <c r="H125" s="397"/>
      <c r="I125" s="397"/>
      <c r="J125" s="397"/>
      <c r="K125" s="394"/>
      <c r="L125" s="396"/>
      <c r="S125" s="393"/>
      <c r="T125" s="394"/>
      <c r="U125" s="394"/>
    </row>
    <row r="126" spans="2:21" x14ac:dyDescent="0.2">
      <c r="B126" s="426">
        <v>45270</v>
      </c>
      <c r="C126" s="394">
        <v>434.75</v>
      </c>
      <c r="D126" s="420">
        <f t="shared" si="2"/>
        <v>-3.7737937140327582E-2</v>
      </c>
      <c r="E126" s="394"/>
      <c r="F126" s="418">
        <v>21456.65</v>
      </c>
      <c r="G126" s="420">
        <f t="shared" si="3"/>
        <v>2.3236239472755438E-2</v>
      </c>
      <c r="H126" s="397"/>
      <c r="I126" s="397"/>
      <c r="J126" s="397"/>
      <c r="K126" s="394"/>
      <c r="L126" s="396"/>
      <c r="S126" s="393"/>
      <c r="T126" s="394"/>
      <c r="U126" s="394"/>
    </row>
    <row r="127" spans="2:21" x14ac:dyDescent="0.2">
      <c r="B127" s="426">
        <v>45277</v>
      </c>
      <c r="C127" s="394">
        <v>409.3</v>
      </c>
      <c r="D127" s="420">
        <f t="shared" si="2"/>
        <v>-5.8539390454284024E-2</v>
      </c>
      <c r="E127" s="394"/>
      <c r="F127" s="418">
        <v>21349.4</v>
      </c>
      <c r="G127" s="420">
        <f t="shared" si="3"/>
        <v>-4.9984503638732525E-3</v>
      </c>
      <c r="H127" s="397"/>
      <c r="I127" s="397"/>
      <c r="J127" s="397"/>
      <c r="K127" s="394"/>
      <c r="L127" s="396"/>
      <c r="S127" s="393"/>
      <c r="T127" s="394"/>
      <c r="U127" s="394"/>
    </row>
    <row r="128" spans="2:21" x14ac:dyDescent="0.2">
      <c r="B128" s="426">
        <v>45284</v>
      </c>
      <c r="C128" s="394">
        <v>409.05</v>
      </c>
      <c r="D128" s="420">
        <f t="shared" si="2"/>
        <v>-6.1079892499393829E-4</v>
      </c>
      <c r="E128" s="394"/>
      <c r="F128" s="418">
        <v>21731.4</v>
      </c>
      <c r="G128" s="420">
        <f t="shared" si="3"/>
        <v>1.7892774504201459E-2</v>
      </c>
      <c r="H128" s="397"/>
      <c r="I128" s="397"/>
      <c r="J128" s="397"/>
      <c r="K128" s="394"/>
      <c r="L128" s="396"/>
      <c r="S128" s="393"/>
      <c r="T128" s="394"/>
      <c r="U128" s="394"/>
    </row>
    <row r="129" spans="2:21" x14ac:dyDescent="0.2">
      <c r="B129" s="426">
        <v>45291</v>
      </c>
      <c r="C129" s="394">
        <v>419.95</v>
      </c>
      <c r="D129" s="420">
        <f t="shared" si="2"/>
        <v>2.6647109155359949E-2</v>
      </c>
      <c r="E129" s="394"/>
      <c r="F129" s="418">
        <v>21710.799999999999</v>
      </c>
      <c r="G129" s="420">
        <f t="shared" si="3"/>
        <v>-9.479370864280412E-4</v>
      </c>
      <c r="H129" s="397"/>
      <c r="I129" s="397"/>
      <c r="J129" s="397"/>
      <c r="K129" s="394"/>
      <c r="L129" s="396"/>
      <c r="S129" s="393"/>
      <c r="T129" s="394"/>
      <c r="U129" s="394"/>
    </row>
    <row r="130" spans="2:21" x14ac:dyDescent="0.2">
      <c r="B130" s="426">
        <v>45298</v>
      </c>
      <c r="C130" s="394">
        <v>483.5</v>
      </c>
      <c r="D130" s="420">
        <f t="shared" si="2"/>
        <v>0.15132753899273732</v>
      </c>
      <c r="E130" s="394"/>
      <c r="F130" s="418">
        <v>21894.55</v>
      </c>
      <c r="G130" s="420">
        <f t="shared" si="3"/>
        <v>8.4635296718684749E-3</v>
      </c>
      <c r="H130" s="397"/>
      <c r="I130" s="397"/>
      <c r="J130" s="397"/>
      <c r="K130" s="394"/>
      <c r="L130" s="396"/>
      <c r="S130" s="393"/>
      <c r="T130" s="394"/>
      <c r="U130" s="394"/>
    </row>
    <row r="131" spans="2:21" x14ac:dyDescent="0.2">
      <c r="B131" s="426">
        <v>45305</v>
      </c>
      <c r="C131" s="394">
        <v>501.4</v>
      </c>
      <c r="D131" s="420">
        <f t="shared" si="2"/>
        <v>3.7021716649431102E-2</v>
      </c>
      <c r="E131" s="394"/>
      <c r="F131" s="418">
        <v>21622.400000000001</v>
      </c>
      <c r="G131" s="420">
        <f t="shared" si="3"/>
        <v>-1.2430033958222397E-2</v>
      </c>
      <c r="H131" s="397"/>
      <c r="I131" s="397"/>
      <c r="J131" s="397"/>
      <c r="K131" s="394"/>
      <c r="L131" s="396"/>
      <c r="S131" s="393"/>
      <c r="T131" s="394"/>
      <c r="U131" s="394"/>
    </row>
    <row r="132" spans="2:21" x14ac:dyDescent="0.2">
      <c r="B132" s="426">
        <v>45312</v>
      </c>
      <c r="C132" s="394">
        <v>487.65</v>
      </c>
      <c r="D132" s="420">
        <f t="shared" si="2"/>
        <v>-2.7423214998005596E-2</v>
      </c>
      <c r="E132" s="394"/>
      <c r="F132" s="418">
        <v>21352.6</v>
      </c>
      <c r="G132" s="420">
        <f t="shared" si="3"/>
        <v>-1.2477800799171379E-2</v>
      </c>
      <c r="H132" s="397"/>
      <c r="I132" s="397"/>
      <c r="J132" s="397"/>
      <c r="K132" s="394"/>
      <c r="L132" s="396"/>
      <c r="S132" s="393"/>
      <c r="T132" s="394"/>
      <c r="U132" s="394"/>
    </row>
    <row r="133" spans="2:21" x14ac:dyDescent="0.2">
      <c r="B133" s="426">
        <v>45319</v>
      </c>
      <c r="C133" s="394">
        <v>482.9</v>
      </c>
      <c r="D133" s="420">
        <f t="shared" si="2"/>
        <v>-9.7405926381626262E-3</v>
      </c>
      <c r="E133" s="394"/>
      <c r="F133" s="418">
        <v>21853.8</v>
      </c>
      <c r="G133" s="420">
        <f t="shared" si="3"/>
        <v>2.3472551352060167E-2</v>
      </c>
      <c r="H133" s="397"/>
      <c r="I133" s="397"/>
      <c r="J133" s="397"/>
      <c r="K133" s="394"/>
      <c r="L133" s="396"/>
      <c r="S133" s="393"/>
      <c r="T133" s="394"/>
      <c r="U133" s="394"/>
    </row>
    <row r="134" spans="2:21" x14ac:dyDescent="0.2">
      <c r="B134" s="426">
        <v>45326</v>
      </c>
      <c r="C134" s="394">
        <v>500.2</v>
      </c>
      <c r="D134" s="420">
        <f t="shared" si="2"/>
        <v>3.5825222613377505E-2</v>
      </c>
      <c r="E134" s="394"/>
      <c r="F134" s="418">
        <v>21782.5</v>
      </c>
      <c r="G134" s="420">
        <f t="shared" si="3"/>
        <v>-3.2625904876955047E-3</v>
      </c>
      <c r="H134" s="397"/>
      <c r="I134" s="397"/>
      <c r="J134" s="397"/>
      <c r="K134" s="394"/>
      <c r="L134" s="396"/>
      <c r="S134" s="393"/>
      <c r="T134" s="394"/>
      <c r="U134" s="394"/>
    </row>
    <row r="135" spans="2:21" x14ac:dyDescent="0.2">
      <c r="B135" s="426">
        <v>45333</v>
      </c>
      <c r="C135" s="394">
        <v>480.45</v>
      </c>
      <c r="D135" s="420">
        <f t="shared" si="2"/>
        <v>-3.9484206317472959E-2</v>
      </c>
      <c r="E135" s="394"/>
      <c r="F135" s="418">
        <v>22040.7</v>
      </c>
      <c r="G135" s="420">
        <f t="shared" si="3"/>
        <v>1.1853552163433978E-2</v>
      </c>
      <c r="H135" s="397"/>
      <c r="I135" s="397"/>
      <c r="J135" s="397"/>
      <c r="K135" s="394"/>
      <c r="L135" s="396"/>
      <c r="S135" s="393"/>
      <c r="T135" s="394"/>
      <c r="U135" s="394"/>
    </row>
    <row r="136" spans="2:21" x14ac:dyDescent="0.2">
      <c r="B136" s="426">
        <v>45340</v>
      </c>
      <c r="C136" s="394">
        <v>506.85</v>
      </c>
      <c r="D136" s="420">
        <f t="shared" si="2"/>
        <v>5.4948485794567681E-2</v>
      </c>
      <c r="E136" s="394"/>
      <c r="F136" s="418">
        <v>22212.7</v>
      </c>
      <c r="G136" s="420">
        <f t="shared" si="3"/>
        <v>7.8037448901351336E-3</v>
      </c>
      <c r="H136" s="397"/>
      <c r="I136" s="397"/>
      <c r="J136" s="397"/>
      <c r="K136" s="394"/>
      <c r="L136" s="396"/>
      <c r="S136" s="393"/>
      <c r="T136" s="394"/>
      <c r="U136" s="394"/>
    </row>
    <row r="137" spans="2:21" x14ac:dyDescent="0.2">
      <c r="B137" s="426">
        <v>45347</v>
      </c>
      <c r="C137" s="394">
        <v>503.65</v>
      </c>
      <c r="D137" s="420">
        <f t="shared" si="2"/>
        <v>-6.3135049817500954E-3</v>
      </c>
      <c r="E137" s="394"/>
      <c r="F137" s="418">
        <v>22338.75</v>
      </c>
      <c r="G137" s="420">
        <f t="shared" si="3"/>
        <v>5.6746816010659895E-3</v>
      </c>
      <c r="H137" s="397"/>
      <c r="I137" s="397"/>
      <c r="J137" s="397"/>
      <c r="K137" s="394"/>
      <c r="L137" s="396"/>
      <c r="S137" s="393"/>
      <c r="T137" s="394"/>
      <c r="U137" s="394"/>
    </row>
    <row r="138" spans="2:21" x14ac:dyDescent="0.2">
      <c r="B138" s="426">
        <v>45354</v>
      </c>
      <c r="C138" s="394">
        <v>515.25</v>
      </c>
      <c r="D138" s="420">
        <f t="shared" si="2"/>
        <v>2.3031867368212167E-2</v>
      </c>
      <c r="E138" s="394"/>
      <c r="F138" s="418">
        <v>22493.55</v>
      </c>
      <c r="G138" s="420">
        <f t="shared" si="3"/>
        <v>6.929662581836471E-3</v>
      </c>
      <c r="H138" s="397"/>
      <c r="I138" s="397"/>
      <c r="J138" s="397"/>
      <c r="K138" s="394"/>
      <c r="L138" s="396"/>
      <c r="S138" s="393"/>
      <c r="T138" s="394"/>
      <c r="U138" s="394"/>
    </row>
    <row r="139" spans="2:21" x14ac:dyDescent="0.2">
      <c r="B139" s="426">
        <v>45361</v>
      </c>
      <c r="C139" s="394">
        <v>497.9</v>
      </c>
      <c r="D139" s="420">
        <f t="shared" ref="D139:D202" si="4">C139/C138-1</f>
        <v>-3.3672974284328028E-2</v>
      </c>
      <c r="E139" s="394"/>
      <c r="F139" s="418">
        <v>22023.35</v>
      </c>
      <c r="G139" s="420">
        <f t="shared" si="3"/>
        <v>-2.0903770191899484E-2</v>
      </c>
      <c r="H139" s="397"/>
      <c r="I139" s="397"/>
      <c r="J139" s="397"/>
      <c r="K139" s="394"/>
      <c r="L139" s="396"/>
      <c r="S139" s="393"/>
      <c r="T139" s="394"/>
      <c r="U139" s="394"/>
    </row>
    <row r="140" spans="2:21" x14ac:dyDescent="0.2">
      <c r="B140" s="426">
        <v>45368</v>
      </c>
      <c r="C140" s="394">
        <v>515.45000000000005</v>
      </c>
      <c r="D140" s="420">
        <f t="shared" si="4"/>
        <v>3.524804177545704E-2</v>
      </c>
      <c r="E140" s="394"/>
      <c r="F140" s="418">
        <v>22096.75</v>
      </c>
      <c r="G140" s="420">
        <f t="shared" ref="G140:G203" si="5">F140/F139-1</f>
        <v>3.3328262957270649E-3</v>
      </c>
      <c r="H140" s="397"/>
      <c r="I140" s="397"/>
      <c r="J140" s="397"/>
      <c r="K140" s="394"/>
      <c r="L140" s="396"/>
      <c r="S140" s="393"/>
      <c r="T140" s="394"/>
      <c r="U140" s="394"/>
    </row>
    <row r="141" spans="2:21" x14ac:dyDescent="0.2">
      <c r="B141" s="426">
        <v>45375</v>
      </c>
      <c r="C141" s="394">
        <v>528.9</v>
      </c>
      <c r="D141" s="420">
        <f t="shared" si="4"/>
        <v>2.6093704530022244E-2</v>
      </c>
      <c r="E141" s="394"/>
      <c r="F141" s="418">
        <v>22326.9</v>
      </c>
      <c r="G141" s="420">
        <f t="shared" si="5"/>
        <v>1.0415558849152129E-2</v>
      </c>
      <c r="H141" s="397"/>
      <c r="I141" s="397"/>
      <c r="J141" s="397"/>
      <c r="K141" s="394"/>
      <c r="L141" s="396"/>
      <c r="S141" s="393"/>
      <c r="T141" s="394"/>
      <c r="U141" s="394"/>
    </row>
    <row r="142" spans="2:21" x14ac:dyDescent="0.2">
      <c r="B142" s="426">
        <v>45382</v>
      </c>
      <c r="C142" s="394">
        <v>599.1</v>
      </c>
      <c r="D142" s="420">
        <f t="shared" si="4"/>
        <v>0.13272830402722646</v>
      </c>
      <c r="E142" s="394"/>
      <c r="F142" s="418">
        <v>22513.7</v>
      </c>
      <c r="G142" s="420">
        <f t="shared" si="5"/>
        <v>8.3665891816597782E-3</v>
      </c>
      <c r="H142" s="397"/>
      <c r="I142" s="397"/>
      <c r="J142" s="397"/>
      <c r="K142" s="394"/>
      <c r="L142" s="396"/>
      <c r="S142" s="393"/>
      <c r="T142" s="394"/>
      <c r="U142" s="394"/>
    </row>
    <row r="143" spans="2:21" x14ac:dyDescent="0.2">
      <c r="B143" s="426">
        <v>45389</v>
      </c>
      <c r="C143" s="394">
        <v>616.45000000000005</v>
      </c>
      <c r="D143" s="420">
        <f t="shared" si="4"/>
        <v>2.8960106826906973E-2</v>
      </c>
      <c r="E143" s="394"/>
      <c r="F143" s="418">
        <v>22519.4</v>
      </c>
      <c r="G143" s="420">
        <f t="shared" si="5"/>
        <v>2.5317917534661838E-4</v>
      </c>
      <c r="H143" s="397"/>
      <c r="I143" s="397"/>
      <c r="J143" s="397"/>
      <c r="K143" s="394"/>
      <c r="L143" s="396"/>
      <c r="S143" s="393"/>
      <c r="T143" s="394"/>
      <c r="U143" s="394"/>
    </row>
    <row r="144" spans="2:21" x14ac:dyDescent="0.2">
      <c r="B144" s="426">
        <v>45396</v>
      </c>
      <c r="C144" s="394">
        <v>626.70000000000005</v>
      </c>
      <c r="D144" s="420">
        <f t="shared" si="4"/>
        <v>1.6627463703463352E-2</v>
      </c>
      <c r="E144" s="394"/>
      <c r="F144" s="418">
        <v>22147</v>
      </c>
      <c r="G144" s="420">
        <f t="shared" si="5"/>
        <v>-1.6536852669254087E-2</v>
      </c>
      <c r="H144" s="397"/>
      <c r="I144" s="397"/>
      <c r="J144" s="397"/>
      <c r="K144" s="394"/>
      <c r="L144" s="396"/>
      <c r="S144" s="393"/>
      <c r="T144" s="394"/>
      <c r="U144" s="394"/>
    </row>
    <row r="145" spans="2:21" x14ac:dyDescent="0.2">
      <c r="B145" s="426">
        <v>45403</v>
      </c>
      <c r="C145" s="394">
        <v>600.9</v>
      </c>
      <c r="D145" s="420">
        <f t="shared" si="4"/>
        <v>-4.1168022977501328E-2</v>
      </c>
      <c r="E145" s="394"/>
      <c r="F145" s="418">
        <v>22419.95</v>
      </c>
      <c r="G145" s="420">
        <f t="shared" si="5"/>
        <v>1.2324468325281002E-2</v>
      </c>
      <c r="H145" s="397"/>
      <c r="I145" s="397"/>
      <c r="J145" s="397"/>
      <c r="K145" s="394"/>
      <c r="L145" s="396"/>
      <c r="S145" s="393"/>
      <c r="T145" s="394"/>
      <c r="U145" s="394"/>
    </row>
    <row r="146" spans="2:21" x14ac:dyDescent="0.2">
      <c r="B146" s="426">
        <v>45410</v>
      </c>
      <c r="C146" s="394">
        <v>642.20000000000005</v>
      </c>
      <c r="D146" s="420">
        <f t="shared" si="4"/>
        <v>6.8730237976368791E-2</v>
      </c>
      <c r="E146" s="394"/>
      <c r="F146" s="418">
        <v>22475.85</v>
      </c>
      <c r="G146" s="420">
        <f t="shared" si="5"/>
        <v>2.4933151055197555E-3</v>
      </c>
      <c r="H146" s="397"/>
      <c r="I146" s="397"/>
      <c r="J146" s="397"/>
      <c r="K146" s="394"/>
      <c r="L146" s="396"/>
      <c r="S146" s="393"/>
      <c r="T146" s="394"/>
      <c r="U146" s="394"/>
    </row>
    <row r="147" spans="2:21" x14ac:dyDescent="0.2">
      <c r="B147" s="426">
        <v>45417</v>
      </c>
      <c r="C147" s="394">
        <v>570.25</v>
      </c>
      <c r="D147" s="420">
        <f t="shared" si="4"/>
        <v>-0.11203674867642488</v>
      </c>
      <c r="E147" s="394"/>
      <c r="F147" s="418">
        <v>22055.200000000001</v>
      </c>
      <c r="G147" s="420">
        <f t="shared" si="5"/>
        <v>-1.8715643679771743E-2</v>
      </c>
      <c r="H147" s="397"/>
      <c r="I147" s="397"/>
      <c r="J147" s="397"/>
      <c r="K147" s="394"/>
      <c r="L147" s="396"/>
      <c r="S147" s="393"/>
      <c r="T147" s="394"/>
      <c r="U147" s="394"/>
    </row>
    <row r="148" spans="2:21" x14ac:dyDescent="0.2">
      <c r="B148" s="426">
        <v>45424</v>
      </c>
      <c r="C148" s="394">
        <v>593.9</v>
      </c>
      <c r="D148" s="420">
        <f t="shared" si="4"/>
        <v>4.1473038141166096E-2</v>
      </c>
      <c r="E148" s="394"/>
      <c r="F148" s="418">
        <v>22466.1</v>
      </c>
      <c r="G148" s="420">
        <f t="shared" si="5"/>
        <v>1.8630527041241907E-2</v>
      </c>
      <c r="H148" s="397"/>
      <c r="I148" s="397"/>
      <c r="J148" s="397"/>
      <c r="K148" s="394"/>
      <c r="L148" s="396"/>
      <c r="S148" s="393"/>
      <c r="T148" s="394"/>
      <c r="U148" s="394"/>
    </row>
    <row r="149" spans="2:21" x14ac:dyDescent="0.2">
      <c r="B149" s="426">
        <v>45431</v>
      </c>
      <c r="C149" s="394">
        <v>600.65</v>
      </c>
      <c r="D149" s="420">
        <f t="shared" si="4"/>
        <v>1.1365549755851134E-2</v>
      </c>
      <c r="E149" s="394"/>
      <c r="F149" s="418">
        <v>22957.1</v>
      </c>
      <c r="G149" s="420">
        <f t="shared" si="5"/>
        <v>2.1855150649200406E-2</v>
      </c>
      <c r="H149" s="397"/>
      <c r="I149" s="397"/>
      <c r="J149" s="397"/>
      <c r="K149" s="394"/>
      <c r="L149" s="396"/>
      <c r="S149" s="393"/>
      <c r="T149" s="394"/>
      <c r="U149" s="394"/>
    </row>
    <row r="150" spans="2:21" x14ac:dyDescent="0.2">
      <c r="B150" s="426">
        <v>45438</v>
      </c>
      <c r="C150" s="394">
        <v>613</v>
      </c>
      <c r="D150" s="420">
        <f t="shared" si="4"/>
        <v>2.0561058852909486E-2</v>
      </c>
      <c r="E150" s="394"/>
      <c r="F150" s="418">
        <v>22530.7</v>
      </c>
      <c r="G150" s="420">
        <f t="shared" si="5"/>
        <v>-1.8573774562117951E-2</v>
      </c>
      <c r="H150" s="397"/>
      <c r="I150" s="397"/>
      <c r="J150" s="397"/>
      <c r="K150" s="394"/>
      <c r="L150" s="396"/>
      <c r="S150" s="393"/>
      <c r="T150" s="394"/>
      <c r="U150" s="394"/>
    </row>
    <row r="151" spans="2:21" x14ac:dyDescent="0.2">
      <c r="B151" s="426">
        <v>45445</v>
      </c>
      <c r="C151" s="394">
        <v>625.95000000000005</v>
      </c>
      <c r="D151" s="420">
        <f t="shared" si="4"/>
        <v>2.1125611745513861E-2</v>
      </c>
      <c r="E151" s="394"/>
      <c r="F151" s="418">
        <v>23290.15</v>
      </c>
      <c r="G151" s="420">
        <f t="shared" si="5"/>
        <v>3.3707341538434354E-2</v>
      </c>
      <c r="H151" s="397"/>
      <c r="I151" s="397"/>
      <c r="J151" s="397"/>
      <c r="K151" s="394"/>
      <c r="L151" s="396"/>
      <c r="S151" s="393"/>
      <c r="T151" s="394"/>
      <c r="U151" s="394"/>
    </row>
    <row r="152" spans="2:21" x14ac:dyDescent="0.2">
      <c r="B152" s="426">
        <v>45452</v>
      </c>
      <c r="C152" s="394">
        <v>683.6</v>
      </c>
      <c r="D152" s="420">
        <f t="shared" si="4"/>
        <v>9.2100007987858445E-2</v>
      </c>
      <c r="E152" s="394"/>
      <c r="F152" s="418">
        <v>23465.599999999999</v>
      </c>
      <c r="G152" s="420">
        <f t="shared" si="5"/>
        <v>7.5332275661599279E-3</v>
      </c>
      <c r="H152" s="397"/>
      <c r="I152" s="397"/>
      <c r="J152" s="397"/>
      <c r="K152" s="394"/>
      <c r="L152" s="396"/>
      <c r="S152" s="393"/>
      <c r="T152" s="394"/>
      <c r="U152" s="394"/>
    </row>
    <row r="153" spans="2:21" x14ac:dyDescent="0.2">
      <c r="B153" s="426">
        <v>45459</v>
      </c>
      <c r="C153" s="394">
        <v>723.65</v>
      </c>
      <c r="D153" s="420">
        <f t="shared" si="4"/>
        <v>5.8586892919836098E-2</v>
      </c>
      <c r="E153" s="394"/>
      <c r="F153" s="418">
        <v>23501.1</v>
      </c>
      <c r="G153" s="420">
        <f t="shared" si="5"/>
        <v>1.5128528569481325E-3</v>
      </c>
      <c r="H153" s="397"/>
      <c r="I153" s="397"/>
      <c r="J153" s="397"/>
      <c r="K153" s="394"/>
      <c r="L153" s="396"/>
      <c r="S153" s="393"/>
      <c r="T153" s="394"/>
      <c r="U153" s="394"/>
    </row>
    <row r="154" spans="2:21" x14ac:dyDescent="0.2">
      <c r="B154" s="426">
        <v>45466</v>
      </c>
      <c r="C154" s="394">
        <v>734.5</v>
      </c>
      <c r="D154" s="420">
        <f t="shared" si="4"/>
        <v>1.4993436053340803E-2</v>
      </c>
      <c r="E154" s="394"/>
      <c r="F154" s="418">
        <v>24010.6</v>
      </c>
      <c r="G154" s="420">
        <f t="shared" si="5"/>
        <v>2.1679836262983532E-2</v>
      </c>
      <c r="H154" s="397"/>
      <c r="I154" s="397"/>
      <c r="J154" s="397"/>
      <c r="K154" s="394"/>
      <c r="L154" s="396"/>
      <c r="S154" s="393"/>
      <c r="T154" s="394"/>
      <c r="U154" s="394"/>
    </row>
    <row r="155" spans="2:21" x14ac:dyDescent="0.2">
      <c r="B155" s="426">
        <v>45473</v>
      </c>
      <c r="C155" s="394">
        <v>736.6</v>
      </c>
      <c r="D155" s="420">
        <f t="shared" si="4"/>
        <v>2.8590878148400112E-3</v>
      </c>
      <c r="E155" s="394"/>
      <c r="F155" s="418">
        <v>24323.85</v>
      </c>
      <c r="G155" s="420">
        <f t="shared" si="5"/>
        <v>1.3046321208133094E-2</v>
      </c>
      <c r="H155" s="397"/>
      <c r="I155" s="397"/>
      <c r="J155" s="397"/>
      <c r="K155" s="394"/>
      <c r="L155" s="396"/>
      <c r="S155" s="393"/>
      <c r="T155" s="394"/>
      <c r="U155" s="394"/>
    </row>
    <row r="156" spans="2:21" x14ac:dyDescent="0.2">
      <c r="B156" s="426">
        <v>45480</v>
      </c>
      <c r="C156" s="394">
        <v>713.15</v>
      </c>
      <c r="D156" s="420">
        <f t="shared" si="4"/>
        <v>-3.1835460222644607E-2</v>
      </c>
      <c r="E156" s="394"/>
      <c r="F156" s="418">
        <v>24502.15</v>
      </c>
      <c r="G156" s="420">
        <f t="shared" si="5"/>
        <v>7.3302540510651326E-3</v>
      </c>
      <c r="H156" s="397"/>
      <c r="I156" s="397"/>
      <c r="J156" s="397"/>
      <c r="K156" s="394"/>
      <c r="L156" s="396"/>
      <c r="S156" s="393"/>
      <c r="T156" s="394"/>
      <c r="U156" s="394"/>
    </row>
    <row r="157" spans="2:21" x14ac:dyDescent="0.2">
      <c r="B157" s="426">
        <v>45487</v>
      </c>
      <c r="C157" s="394">
        <v>705</v>
      </c>
      <c r="D157" s="420">
        <f t="shared" si="4"/>
        <v>-1.1428170791558556E-2</v>
      </c>
      <c r="E157" s="394"/>
      <c r="F157" s="418">
        <v>24530.9</v>
      </c>
      <c r="G157" s="420">
        <f t="shared" si="5"/>
        <v>1.1733664188653403E-3</v>
      </c>
      <c r="H157" s="397"/>
      <c r="I157" s="397"/>
      <c r="J157" s="397"/>
      <c r="K157" s="394"/>
      <c r="L157" s="396"/>
      <c r="S157" s="393"/>
      <c r="T157" s="394"/>
      <c r="U157" s="394"/>
    </row>
    <row r="158" spans="2:21" x14ac:dyDescent="0.2">
      <c r="B158" s="426">
        <v>45494</v>
      </c>
      <c r="C158" s="394">
        <v>693.55</v>
      </c>
      <c r="D158" s="420">
        <f t="shared" si="4"/>
        <v>-1.6241134751773134E-2</v>
      </c>
      <c r="E158" s="394"/>
      <c r="F158" s="418">
        <v>24834.85</v>
      </c>
      <c r="G158" s="420">
        <f t="shared" si="5"/>
        <v>1.2390495252925682E-2</v>
      </c>
      <c r="H158" s="397"/>
      <c r="I158" s="397"/>
      <c r="J158" s="397"/>
      <c r="K158" s="394"/>
      <c r="L158" s="396"/>
      <c r="S158" s="393"/>
      <c r="T158" s="394"/>
      <c r="U158" s="394"/>
    </row>
    <row r="159" spans="2:21" x14ac:dyDescent="0.2">
      <c r="B159" s="426">
        <v>45501</v>
      </c>
      <c r="C159" s="394">
        <v>722.05</v>
      </c>
      <c r="D159" s="420">
        <f t="shared" si="4"/>
        <v>4.109292769086581E-2</v>
      </c>
      <c r="E159" s="394"/>
      <c r="F159" s="418">
        <v>24717.7</v>
      </c>
      <c r="G159" s="420">
        <f t="shared" si="5"/>
        <v>-4.7171615693268887E-3</v>
      </c>
      <c r="H159" s="397"/>
      <c r="I159" s="397"/>
      <c r="J159" s="397"/>
      <c r="K159" s="394"/>
      <c r="L159" s="396"/>
      <c r="S159" s="393"/>
      <c r="T159" s="394"/>
      <c r="U159" s="394"/>
    </row>
    <row r="160" spans="2:21" x14ac:dyDescent="0.2">
      <c r="B160" s="426">
        <v>45508</v>
      </c>
      <c r="C160" s="394">
        <v>703</v>
      </c>
      <c r="D160" s="420">
        <f t="shared" si="4"/>
        <v>-2.6383214458832405E-2</v>
      </c>
      <c r="E160" s="394"/>
      <c r="F160" s="418">
        <v>24367.5</v>
      </c>
      <c r="G160" s="420">
        <f t="shared" si="5"/>
        <v>-1.4167984885325113E-2</v>
      </c>
      <c r="H160" s="397"/>
      <c r="I160" s="397"/>
      <c r="J160" s="397"/>
      <c r="K160" s="394"/>
      <c r="L160" s="396"/>
      <c r="S160" s="393"/>
      <c r="T160" s="394"/>
      <c r="U160" s="394"/>
    </row>
    <row r="161" spans="2:21" x14ac:dyDescent="0.2">
      <c r="B161" s="426">
        <v>45515</v>
      </c>
      <c r="C161" s="394">
        <v>665.05</v>
      </c>
      <c r="D161" s="420">
        <f t="shared" si="4"/>
        <v>-5.3982930298719811E-2</v>
      </c>
      <c r="E161" s="394"/>
      <c r="F161" s="418">
        <v>24541.15</v>
      </c>
      <c r="G161" s="420">
        <f t="shared" si="5"/>
        <v>7.1262952703396998E-3</v>
      </c>
      <c r="H161" s="397"/>
      <c r="I161" s="397"/>
      <c r="J161" s="397"/>
      <c r="K161" s="394"/>
      <c r="L161" s="396"/>
      <c r="S161" s="393"/>
      <c r="T161" s="394"/>
      <c r="U161" s="394"/>
    </row>
    <row r="162" spans="2:21" x14ac:dyDescent="0.2">
      <c r="B162" s="426">
        <v>45522</v>
      </c>
      <c r="C162" s="394">
        <v>703.85</v>
      </c>
      <c r="D162" s="420">
        <f t="shared" si="4"/>
        <v>5.8341478084354748E-2</v>
      </c>
      <c r="E162" s="394"/>
      <c r="F162" s="418">
        <v>24823.15</v>
      </c>
      <c r="G162" s="420">
        <f t="shared" si="5"/>
        <v>1.1490904052988471E-2</v>
      </c>
      <c r="H162" s="397"/>
      <c r="I162" s="397"/>
      <c r="J162" s="397"/>
      <c r="K162" s="394"/>
      <c r="L162" s="396"/>
      <c r="S162" s="393"/>
      <c r="T162" s="394"/>
      <c r="U162" s="394"/>
    </row>
    <row r="163" spans="2:21" x14ac:dyDescent="0.2">
      <c r="B163" s="426">
        <v>45529</v>
      </c>
      <c r="C163" s="394">
        <v>711.15</v>
      </c>
      <c r="D163" s="420">
        <f t="shared" si="4"/>
        <v>1.0371528024436971E-2</v>
      </c>
      <c r="E163" s="394"/>
      <c r="F163" s="418">
        <v>25235.9</v>
      </c>
      <c r="G163" s="420">
        <f t="shared" si="5"/>
        <v>1.6627623810837822E-2</v>
      </c>
      <c r="H163" s="397"/>
      <c r="I163" s="397"/>
      <c r="J163" s="397"/>
      <c r="K163" s="394"/>
      <c r="L163" s="396"/>
      <c r="S163" s="393"/>
      <c r="T163" s="394"/>
      <c r="U163" s="394"/>
    </row>
    <row r="164" spans="2:21" x14ac:dyDescent="0.2">
      <c r="B164" s="426">
        <v>45536</v>
      </c>
      <c r="C164" s="394">
        <v>709.55</v>
      </c>
      <c r="D164" s="420">
        <f t="shared" si="4"/>
        <v>-2.2498769598537915E-3</v>
      </c>
      <c r="E164" s="394"/>
      <c r="F164" s="418">
        <v>24852.15</v>
      </c>
      <c r="G164" s="420">
        <f t="shared" si="5"/>
        <v>-1.5206511358818231E-2</v>
      </c>
      <c r="H164" s="397"/>
      <c r="I164" s="397"/>
      <c r="J164" s="397"/>
      <c r="K164" s="394"/>
      <c r="L164" s="396"/>
      <c r="S164" s="393"/>
      <c r="T164" s="394"/>
      <c r="U164" s="394"/>
    </row>
    <row r="165" spans="2:21" x14ac:dyDescent="0.2">
      <c r="B165" s="426">
        <v>45543</v>
      </c>
      <c r="C165" s="394">
        <v>768.25</v>
      </c>
      <c r="D165" s="420">
        <f t="shared" si="4"/>
        <v>8.2728489887957224E-2</v>
      </c>
      <c r="E165" s="394"/>
      <c r="F165" s="418">
        <v>25356.5</v>
      </c>
      <c r="G165" s="420">
        <f t="shared" si="5"/>
        <v>2.0294018827344829E-2</v>
      </c>
      <c r="H165" s="397"/>
      <c r="I165" s="397"/>
      <c r="J165" s="397"/>
      <c r="K165" s="394"/>
      <c r="L165" s="396"/>
      <c r="S165" s="393"/>
      <c r="T165" s="394"/>
      <c r="U165" s="394"/>
    </row>
    <row r="166" spans="2:21" x14ac:dyDescent="0.2">
      <c r="B166" s="426">
        <v>45550</v>
      </c>
      <c r="C166" s="394">
        <v>782.35</v>
      </c>
      <c r="D166" s="420">
        <f t="shared" si="4"/>
        <v>1.835340058574686E-2</v>
      </c>
      <c r="E166" s="394"/>
      <c r="F166" s="418">
        <v>25790.95</v>
      </c>
      <c r="G166" s="420">
        <f t="shared" si="5"/>
        <v>1.7133673811448702E-2</v>
      </c>
      <c r="H166" s="397"/>
      <c r="I166" s="397"/>
      <c r="J166" s="397"/>
      <c r="K166" s="394"/>
      <c r="L166" s="396"/>
      <c r="S166" s="393"/>
      <c r="T166" s="394"/>
      <c r="U166" s="394"/>
    </row>
    <row r="167" spans="2:21" x14ac:dyDescent="0.2">
      <c r="B167" s="426">
        <v>45557</v>
      </c>
      <c r="C167" s="394">
        <v>740.3</v>
      </c>
      <c r="D167" s="420">
        <f t="shared" si="4"/>
        <v>-5.3748322362114243E-2</v>
      </c>
      <c r="E167" s="394"/>
      <c r="F167" s="418">
        <v>26178.95</v>
      </c>
      <c r="G167" s="420">
        <f t="shared" si="5"/>
        <v>1.5044036764834123E-2</v>
      </c>
      <c r="H167" s="397"/>
      <c r="I167" s="397"/>
      <c r="J167" s="397"/>
      <c r="K167" s="394"/>
      <c r="L167" s="396"/>
      <c r="S167" s="393"/>
      <c r="T167" s="394"/>
      <c r="U167" s="394"/>
    </row>
    <row r="168" spans="2:21" x14ac:dyDescent="0.2">
      <c r="B168" s="426">
        <v>45564</v>
      </c>
      <c r="C168" s="394">
        <v>699.5</v>
      </c>
      <c r="D168" s="420">
        <f t="shared" si="4"/>
        <v>-5.5112792111306153E-2</v>
      </c>
      <c r="E168" s="394"/>
      <c r="F168" s="418">
        <v>25014.6</v>
      </c>
      <c r="G168" s="420">
        <f t="shared" si="5"/>
        <v>-4.4476573735768743E-2</v>
      </c>
      <c r="H168" s="397"/>
      <c r="I168" s="397"/>
      <c r="J168" s="397"/>
      <c r="K168" s="394"/>
      <c r="L168" s="396"/>
      <c r="S168" s="393"/>
      <c r="T168" s="394"/>
      <c r="U168" s="394"/>
    </row>
    <row r="169" spans="2:21" x14ac:dyDescent="0.2">
      <c r="B169" s="426">
        <v>45571</v>
      </c>
      <c r="C169" s="394">
        <v>706.7</v>
      </c>
      <c r="D169" s="420">
        <f t="shared" si="4"/>
        <v>1.0293066476054324E-2</v>
      </c>
      <c r="E169" s="394"/>
      <c r="F169" s="418">
        <v>24964.25</v>
      </c>
      <c r="G169" s="420">
        <f t="shared" si="5"/>
        <v>-2.0128245104857889E-3</v>
      </c>
      <c r="H169" s="397"/>
      <c r="I169" s="397"/>
      <c r="J169" s="397"/>
      <c r="K169" s="394"/>
      <c r="L169" s="396"/>
      <c r="S169" s="393"/>
      <c r="T169" s="394"/>
      <c r="U169" s="394"/>
    </row>
    <row r="170" spans="2:21" x14ac:dyDescent="0.2">
      <c r="B170" s="426">
        <v>45578</v>
      </c>
      <c r="C170" s="394">
        <v>676.85</v>
      </c>
      <c r="D170" s="420">
        <f t="shared" si="4"/>
        <v>-4.2238573652186195E-2</v>
      </c>
      <c r="E170" s="394"/>
      <c r="F170" s="418">
        <v>24854.05</v>
      </c>
      <c r="G170" s="420">
        <f t="shared" si="5"/>
        <v>-4.4143124668275524E-3</v>
      </c>
      <c r="H170" s="397"/>
      <c r="I170" s="397"/>
      <c r="J170" s="397"/>
      <c r="K170" s="394"/>
      <c r="L170" s="396"/>
      <c r="S170" s="393"/>
      <c r="T170" s="394"/>
      <c r="U170" s="394"/>
    </row>
    <row r="171" spans="2:21" x14ac:dyDescent="0.2">
      <c r="B171" s="426">
        <v>45585</v>
      </c>
      <c r="C171" s="394">
        <v>668.9</v>
      </c>
      <c r="D171" s="420">
        <f t="shared" si="4"/>
        <v>-1.1745586171234446E-2</v>
      </c>
      <c r="E171" s="394"/>
      <c r="F171" s="418">
        <v>24180.799999999999</v>
      </c>
      <c r="G171" s="420">
        <f t="shared" si="5"/>
        <v>-2.7088140564616281E-2</v>
      </c>
      <c r="H171" s="397"/>
      <c r="I171" s="397"/>
      <c r="J171" s="397"/>
      <c r="K171" s="394"/>
      <c r="L171" s="396"/>
      <c r="S171" s="393"/>
      <c r="T171" s="394"/>
      <c r="U171" s="394"/>
    </row>
    <row r="172" spans="2:21" x14ac:dyDescent="0.2">
      <c r="B172" s="426">
        <v>45592</v>
      </c>
      <c r="C172" s="394">
        <v>682.65</v>
      </c>
      <c r="D172" s="420">
        <f t="shared" si="4"/>
        <v>2.0556136941246805E-2</v>
      </c>
      <c r="E172" s="394"/>
      <c r="F172" s="418">
        <v>24304.35</v>
      </c>
      <c r="G172" s="420">
        <f t="shared" si="5"/>
        <v>5.1094256600276999E-3</v>
      </c>
      <c r="H172" s="397"/>
      <c r="I172" s="397"/>
      <c r="J172" s="397"/>
      <c r="K172" s="394"/>
      <c r="L172" s="396"/>
      <c r="S172" s="393"/>
      <c r="T172" s="394"/>
      <c r="U172" s="394"/>
    </row>
    <row r="173" spans="2:21" x14ac:dyDescent="0.2">
      <c r="B173" s="426">
        <v>45599</v>
      </c>
      <c r="C173" s="394">
        <v>712.05</v>
      </c>
      <c r="D173" s="420">
        <f t="shared" si="4"/>
        <v>4.3067457701603917E-2</v>
      </c>
      <c r="E173" s="394"/>
      <c r="F173" s="418">
        <v>24148.2</v>
      </c>
      <c r="G173" s="420">
        <f t="shared" si="5"/>
        <v>-6.4247758117372822E-3</v>
      </c>
      <c r="H173" s="397"/>
      <c r="I173" s="397"/>
      <c r="J173" s="397"/>
      <c r="K173" s="394"/>
      <c r="L173" s="396"/>
      <c r="S173" s="393"/>
      <c r="T173" s="394"/>
      <c r="U173" s="394"/>
    </row>
    <row r="174" spans="2:21" x14ac:dyDescent="0.2">
      <c r="B174" s="426">
        <v>45606</v>
      </c>
      <c r="C174" s="394">
        <v>732</v>
      </c>
      <c r="D174" s="420">
        <f t="shared" si="4"/>
        <v>2.8017695386560071E-2</v>
      </c>
      <c r="E174" s="394"/>
      <c r="F174" s="418">
        <v>23532.7</v>
      </c>
      <c r="G174" s="420">
        <f t="shared" si="5"/>
        <v>-2.5488442202731498E-2</v>
      </c>
      <c r="H174" s="397"/>
      <c r="I174" s="397"/>
      <c r="J174" s="397"/>
      <c r="K174" s="394"/>
      <c r="L174" s="396"/>
      <c r="S174" s="393"/>
      <c r="T174" s="394"/>
      <c r="U174" s="394"/>
    </row>
    <row r="175" spans="2:21" x14ac:dyDescent="0.2">
      <c r="B175" s="426">
        <v>45613</v>
      </c>
      <c r="C175" s="394">
        <v>688.9</v>
      </c>
      <c r="D175" s="420">
        <f t="shared" si="4"/>
        <v>-5.8879781420765109E-2</v>
      </c>
      <c r="E175" s="394"/>
      <c r="F175" s="418">
        <v>23907.25</v>
      </c>
      <c r="G175" s="420">
        <f t="shared" si="5"/>
        <v>1.5916150717937061E-2</v>
      </c>
      <c r="H175" s="397"/>
      <c r="I175" s="397"/>
      <c r="J175" s="397"/>
      <c r="K175" s="394"/>
      <c r="L175" s="396"/>
      <c r="S175" s="393"/>
      <c r="T175" s="394"/>
      <c r="U175" s="394"/>
    </row>
    <row r="176" spans="2:21" x14ac:dyDescent="0.2">
      <c r="B176" s="426">
        <v>45620</v>
      </c>
      <c r="C176" s="394">
        <v>654.65</v>
      </c>
      <c r="D176" s="420">
        <f t="shared" si="4"/>
        <v>-4.9716940049354008E-2</v>
      </c>
      <c r="E176" s="394"/>
      <c r="F176" s="418">
        <v>24131.1</v>
      </c>
      <c r="G176" s="420">
        <f t="shared" si="5"/>
        <v>9.3632684645870157E-3</v>
      </c>
      <c r="H176" s="397"/>
      <c r="I176" s="397"/>
      <c r="J176" s="397"/>
      <c r="K176" s="394"/>
      <c r="L176" s="396"/>
      <c r="S176" s="393"/>
      <c r="T176" s="394"/>
      <c r="U176" s="394"/>
    </row>
    <row r="177" spans="2:21" x14ac:dyDescent="0.2">
      <c r="B177" s="426">
        <v>45627</v>
      </c>
      <c r="C177" s="394">
        <v>674.35</v>
      </c>
      <c r="D177" s="420">
        <f t="shared" si="4"/>
        <v>3.0092415794699567E-2</v>
      </c>
      <c r="E177" s="394"/>
      <c r="F177" s="418">
        <v>24677.8</v>
      </c>
      <c r="G177" s="420">
        <f t="shared" si="5"/>
        <v>2.2655411481449228E-2</v>
      </c>
      <c r="H177" s="397"/>
      <c r="I177" s="397"/>
      <c r="J177" s="397"/>
      <c r="K177" s="394"/>
      <c r="L177" s="396"/>
      <c r="S177" s="393"/>
      <c r="T177" s="394"/>
      <c r="U177" s="394"/>
    </row>
    <row r="178" spans="2:21" x14ac:dyDescent="0.2">
      <c r="B178" s="426">
        <v>45634</v>
      </c>
      <c r="C178" s="394">
        <v>678.6</v>
      </c>
      <c r="D178" s="420">
        <f t="shared" si="4"/>
        <v>6.3023652406020148E-3</v>
      </c>
      <c r="E178" s="394"/>
      <c r="F178" s="418">
        <v>24768.3</v>
      </c>
      <c r="G178" s="420">
        <f t="shared" si="5"/>
        <v>3.6672636944945491E-3</v>
      </c>
      <c r="H178" s="397"/>
      <c r="I178" s="397"/>
      <c r="J178" s="397"/>
      <c r="K178" s="394"/>
      <c r="L178" s="396"/>
      <c r="S178" s="393"/>
      <c r="T178" s="394"/>
      <c r="U178" s="394"/>
    </row>
    <row r="179" spans="2:21" x14ac:dyDescent="0.2">
      <c r="B179" s="426">
        <v>45641</v>
      </c>
      <c r="C179" s="394">
        <v>669.8</v>
      </c>
      <c r="D179" s="420">
        <f t="shared" si="4"/>
        <v>-1.2967875036840604E-2</v>
      </c>
      <c r="E179" s="394"/>
      <c r="F179" s="418">
        <v>23587.5</v>
      </c>
      <c r="G179" s="420">
        <f t="shared" si="5"/>
        <v>-4.7673841159869612E-2</v>
      </c>
      <c r="H179" s="397"/>
      <c r="I179" s="397"/>
      <c r="J179" s="397"/>
      <c r="K179" s="394"/>
      <c r="L179" s="396"/>
      <c r="S179" s="393"/>
      <c r="T179" s="394"/>
      <c r="U179" s="394"/>
    </row>
    <row r="180" spans="2:21" x14ac:dyDescent="0.2">
      <c r="B180" s="426">
        <v>45648</v>
      </c>
      <c r="C180" s="394">
        <v>625.79999999999995</v>
      </c>
      <c r="D180" s="420">
        <f t="shared" si="4"/>
        <v>-6.5691251119737282E-2</v>
      </c>
      <c r="E180" s="394"/>
      <c r="F180" s="418">
        <v>23813.4</v>
      </c>
      <c r="G180" s="420">
        <f t="shared" si="5"/>
        <v>9.5771065182830295E-3</v>
      </c>
      <c r="H180" s="397"/>
      <c r="I180" s="397"/>
      <c r="J180" s="397"/>
      <c r="K180" s="394"/>
      <c r="L180" s="396"/>
      <c r="S180" s="393"/>
      <c r="T180" s="394"/>
      <c r="U180" s="394"/>
    </row>
    <row r="181" spans="2:21" x14ac:dyDescent="0.2">
      <c r="B181" s="426">
        <v>45655</v>
      </c>
      <c r="C181" s="394">
        <v>634.4</v>
      </c>
      <c r="D181" s="420">
        <f t="shared" si="4"/>
        <v>1.3742409715564063E-2</v>
      </c>
      <c r="E181" s="394"/>
      <c r="F181" s="418">
        <v>24004.75</v>
      </c>
      <c r="G181" s="420">
        <f t="shared" si="5"/>
        <v>8.035391838208783E-3</v>
      </c>
      <c r="H181" s="397"/>
      <c r="I181" s="397"/>
      <c r="J181" s="397"/>
      <c r="K181" s="394"/>
      <c r="L181" s="396"/>
      <c r="S181" s="393"/>
      <c r="T181" s="394"/>
      <c r="U181" s="394"/>
    </row>
    <row r="182" spans="2:21" x14ac:dyDescent="0.2">
      <c r="B182" s="426">
        <v>45662</v>
      </c>
      <c r="C182" s="394">
        <v>539.6</v>
      </c>
      <c r="D182" s="420">
        <f t="shared" si="4"/>
        <v>-0.1494325346784362</v>
      </c>
      <c r="E182" s="394"/>
      <c r="F182" s="418">
        <v>23431.5</v>
      </c>
      <c r="G182" s="420">
        <f t="shared" si="5"/>
        <v>-2.3880690280048689E-2</v>
      </c>
      <c r="H182" s="397"/>
      <c r="I182" s="397"/>
      <c r="J182" s="397"/>
      <c r="K182" s="394"/>
      <c r="L182" s="396"/>
      <c r="S182" s="393"/>
      <c r="T182" s="394"/>
      <c r="U182" s="394"/>
    </row>
    <row r="183" spans="2:21" x14ac:dyDescent="0.2">
      <c r="B183" s="426">
        <v>45669</v>
      </c>
      <c r="C183" s="394">
        <v>568</v>
      </c>
      <c r="D183" s="420">
        <f t="shared" si="4"/>
        <v>5.2631578947368363E-2</v>
      </c>
      <c r="E183" s="394"/>
      <c r="F183" s="418">
        <v>23203.200000000001</v>
      </c>
      <c r="G183" s="420">
        <f t="shared" si="5"/>
        <v>-9.7432942833365344E-3</v>
      </c>
      <c r="H183" s="397"/>
      <c r="I183" s="397"/>
      <c r="J183" s="397"/>
      <c r="K183" s="394"/>
      <c r="L183" s="396"/>
      <c r="S183" s="393"/>
      <c r="T183" s="394"/>
      <c r="U183" s="394"/>
    </row>
    <row r="184" spans="2:21" x14ac:dyDescent="0.2">
      <c r="B184" s="426">
        <v>45676</v>
      </c>
      <c r="C184" s="394">
        <v>544.15</v>
      </c>
      <c r="D184" s="420">
        <f t="shared" si="4"/>
        <v>-4.1989436619718323E-2</v>
      </c>
      <c r="E184" s="394"/>
      <c r="F184" s="418">
        <v>23092.2</v>
      </c>
      <c r="G184" s="420">
        <f t="shared" si="5"/>
        <v>-4.7838229209764549E-3</v>
      </c>
      <c r="H184" s="397"/>
      <c r="I184" s="397"/>
      <c r="J184" s="397"/>
      <c r="K184" s="394"/>
      <c r="L184" s="396"/>
      <c r="S184" s="393"/>
      <c r="T184" s="394"/>
      <c r="U184" s="394"/>
    </row>
    <row r="185" spans="2:21" x14ac:dyDescent="0.2">
      <c r="B185" s="426">
        <v>45683</v>
      </c>
      <c r="C185" s="394">
        <v>508.6</v>
      </c>
      <c r="D185" s="420">
        <f t="shared" si="4"/>
        <v>-6.5331250574290123E-2</v>
      </c>
      <c r="E185" s="394"/>
      <c r="F185" s="418">
        <v>23508.400000000001</v>
      </c>
      <c r="G185" s="420">
        <f t="shared" si="5"/>
        <v>1.8023401841314346E-2</v>
      </c>
      <c r="H185" s="397"/>
      <c r="I185" s="397"/>
      <c r="J185" s="397"/>
      <c r="K185" s="394"/>
      <c r="L185" s="396"/>
      <c r="S185" s="393"/>
      <c r="T185" s="394"/>
      <c r="U185" s="394"/>
    </row>
    <row r="186" spans="2:21" x14ac:dyDescent="0.2">
      <c r="B186" s="426">
        <v>45690</v>
      </c>
      <c r="C186" s="394">
        <v>484.65</v>
      </c>
      <c r="D186" s="420">
        <f t="shared" si="4"/>
        <v>-4.7090051120723619E-2</v>
      </c>
      <c r="E186" s="394"/>
      <c r="F186" s="418">
        <v>23559.95</v>
      </c>
      <c r="G186" s="420">
        <f t="shared" si="5"/>
        <v>2.1928332000475947E-3</v>
      </c>
      <c r="H186" s="397"/>
      <c r="I186" s="397"/>
      <c r="J186" s="397"/>
      <c r="K186" s="394"/>
      <c r="L186" s="396"/>
      <c r="S186" s="393"/>
      <c r="T186" s="394"/>
      <c r="U186" s="394"/>
    </row>
    <row r="187" spans="2:21" x14ac:dyDescent="0.2">
      <c r="B187" s="426">
        <v>45697</v>
      </c>
      <c r="C187" s="394">
        <v>437.1</v>
      </c>
      <c r="D187" s="420">
        <f t="shared" si="4"/>
        <v>-9.8112039616217839E-2</v>
      </c>
      <c r="E187" s="394"/>
      <c r="F187" s="418">
        <v>22929.25</v>
      </c>
      <c r="G187" s="420">
        <f t="shared" si="5"/>
        <v>-2.6770005878620329E-2</v>
      </c>
      <c r="H187" s="397"/>
      <c r="I187" s="397"/>
      <c r="J187" s="397"/>
      <c r="K187" s="394"/>
      <c r="L187" s="396"/>
      <c r="S187" s="393"/>
      <c r="T187" s="394"/>
      <c r="U187" s="394"/>
    </row>
    <row r="188" spans="2:21" x14ac:dyDescent="0.2">
      <c r="B188" s="426">
        <v>45704</v>
      </c>
      <c r="C188" s="394">
        <v>496.6</v>
      </c>
      <c r="D188" s="420">
        <f t="shared" si="4"/>
        <v>0.13612445664607642</v>
      </c>
      <c r="E188" s="394"/>
      <c r="F188" s="418">
        <v>22795.9</v>
      </c>
      <c r="G188" s="420">
        <f t="shared" si="5"/>
        <v>-5.8157157342695331E-3</v>
      </c>
      <c r="H188" s="397"/>
      <c r="I188" s="397"/>
      <c r="J188" s="397"/>
      <c r="K188" s="394"/>
      <c r="L188" s="396"/>
      <c r="S188" s="393"/>
      <c r="T188" s="394"/>
      <c r="U188" s="394"/>
    </row>
    <row r="189" spans="2:21" x14ac:dyDescent="0.2">
      <c r="B189" s="426">
        <v>45711</v>
      </c>
      <c r="C189" s="394">
        <v>464.1</v>
      </c>
      <c r="D189" s="420">
        <f t="shared" si="4"/>
        <v>-6.5445026178010512E-2</v>
      </c>
      <c r="E189" s="394"/>
      <c r="F189" s="418">
        <v>22124.7</v>
      </c>
      <c r="G189" s="420">
        <f t="shared" si="5"/>
        <v>-2.9443891226053842E-2</v>
      </c>
      <c r="H189" s="397"/>
      <c r="I189" s="397"/>
      <c r="J189" s="397"/>
      <c r="K189" s="394"/>
      <c r="L189" s="396"/>
      <c r="S189" s="393"/>
      <c r="T189" s="394"/>
      <c r="U189" s="394"/>
    </row>
    <row r="190" spans="2:21" x14ac:dyDescent="0.2">
      <c r="B190" s="426">
        <v>45718</v>
      </c>
      <c r="C190" s="394">
        <v>491.7</v>
      </c>
      <c r="D190" s="420">
        <f t="shared" si="4"/>
        <v>5.946994182288301E-2</v>
      </c>
      <c r="E190" s="394"/>
      <c r="F190" s="418">
        <v>22552.5</v>
      </c>
      <c r="G190" s="420">
        <f t="shared" si="5"/>
        <v>1.9335855401429125E-2</v>
      </c>
      <c r="H190" s="397"/>
      <c r="I190" s="397"/>
      <c r="J190" s="397"/>
      <c r="K190" s="394"/>
      <c r="L190" s="396"/>
      <c r="S190" s="393"/>
      <c r="T190" s="394"/>
      <c r="U190" s="394"/>
    </row>
    <row r="191" spans="2:21" x14ac:dyDescent="0.2">
      <c r="B191" s="426">
        <v>45725</v>
      </c>
      <c r="C191" s="394">
        <v>514.1</v>
      </c>
      <c r="D191" s="420">
        <f t="shared" si="4"/>
        <v>4.5556233475696706E-2</v>
      </c>
      <c r="E191" s="394"/>
      <c r="F191" s="418">
        <v>22397.200000000001</v>
      </c>
      <c r="G191" s="420">
        <f t="shared" si="5"/>
        <v>-6.8861545283227521E-3</v>
      </c>
      <c r="H191" s="397"/>
      <c r="I191" s="397"/>
      <c r="J191" s="397"/>
      <c r="K191" s="394"/>
      <c r="L191" s="396"/>
      <c r="S191" s="393"/>
      <c r="T191" s="394"/>
      <c r="U191" s="394"/>
    </row>
    <row r="192" spans="2:21" x14ac:dyDescent="0.2">
      <c r="B192" s="426">
        <v>45732</v>
      </c>
      <c r="C192" s="394">
        <v>559.70000000000005</v>
      </c>
      <c r="D192" s="420">
        <f t="shared" si="4"/>
        <v>8.86986967516048E-2</v>
      </c>
      <c r="E192" s="394"/>
      <c r="F192" s="418">
        <v>23350.400000000001</v>
      </c>
      <c r="G192" s="420">
        <f t="shared" si="5"/>
        <v>4.2558891289982803E-2</v>
      </c>
      <c r="H192" s="397"/>
      <c r="I192" s="397"/>
      <c r="J192" s="397"/>
      <c r="K192" s="394"/>
      <c r="L192" s="396"/>
      <c r="S192" s="393"/>
      <c r="T192" s="394"/>
      <c r="U192" s="394"/>
    </row>
    <row r="193" spans="2:21" x14ac:dyDescent="0.2">
      <c r="B193" s="426">
        <v>45739</v>
      </c>
      <c r="C193" s="394">
        <v>537.9</v>
      </c>
      <c r="D193" s="420">
        <f t="shared" si="4"/>
        <v>-3.8949437198499304E-2</v>
      </c>
      <c r="E193" s="394"/>
      <c r="F193" s="418">
        <v>23519.35</v>
      </c>
      <c r="G193" s="420">
        <f t="shared" si="5"/>
        <v>7.2354220912702605E-3</v>
      </c>
      <c r="H193" s="397"/>
      <c r="I193" s="397"/>
      <c r="J193" s="397"/>
      <c r="K193" s="394"/>
      <c r="L193" s="396"/>
      <c r="S193" s="393"/>
      <c r="T193" s="394"/>
      <c r="U193" s="394"/>
    </row>
    <row r="194" spans="2:21" x14ac:dyDescent="0.2">
      <c r="B194" s="426">
        <v>45746</v>
      </c>
      <c r="C194" s="394">
        <v>506.4</v>
      </c>
      <c r="D194" s="420">
        <f t="shared" si="4"/>
        <v>-5.8561070831009476E-2</v>
      </c>
      <c r="E194" s="394"/>
      <c r="F194" s="418">
        <v>22904.45</v>
      </c>
      <c r="G194" s="420">
        <f t="shared" si="5"/>
        <v>-2.6144430011883713E-2</v>
      </c>
      <c r="H194" s="397"/>
      <c r="I194" s="397"/>
      <c r="J194" s="397"/>
      <c r="K194" s="394"/>
      <c r="L194" s="396"/>
      <c r="S194" s="393"/>
      <c r="T194" s="394"/>
      <c r="U194" s="394"/>
    </row>
    <row r="195" spans="2:21" x14ac:dyDescent="0.2">
      <c r="B195" s="426">
        <v>45753</v>
      </c>
      <c r="C195" s="394">
        <v>493.95</v>
      </c>
      <c r="D195" s="420">
        <f t="shared" si="4"/>
        <v>-2.458530805687198E-2</v>
      </c>
      <c r="E195" s="394"/>
      <c r="F195" s="418">
        <v>22828.55</v>
      </c>
      <c r="G195" s="420">
        <f t="shared" si="5"/>
        <v>-3.3137665388167648E-3</v>
      </c>
      <c r="H195" s="397"/>
      <c r="I195" s="397"/>
      <c r="J195" s="397"/>
      <c r="K195" s="394"/>
      <c r="L195" s="396"/>
      <c r="S195" s="393"/>
      <c r="T195" s="394"/>
      <c r="U195" s="394"/>
    </row>
    <row r="196" spans="2:21" x14ac:dyDescent="0.2">
      <c r="B196" s="426">
        <v>45760</v>
      </c>
      <c r="C196" s="394">
        <v>507.9</v>
      </c>
      <c r="D196" s="420">
        <f t="shared" si="4"/>
        <v>2.8241724870938345E-2</v>
      </c>
      <c r="E196" s="394"/>
      <c r="F196" s="418">
        <v>23851.65</v>
      </c>
      <c r="G196" s="420">
        <f t="shared" si="5"/>
        <v>4.4816687875489425E-2</v>
      </c>
      <c r="H196" s="397"/>
      <c r="I196" s="397"/>
      <c r="J196" s="397"/>
      <c r="K196" s="394"/>
      <c r="L196" s="396"/>
      <c r="S196" s="393"/>
      <c r="T196" s="394"/>
      <c r="U196" s="394"/>
    </row>
    <row r="197" spans="2:21" x14ac:dyDescent="0.2">
      <c r="B197" s="426">
        <v>45767</v>
      </c>
      <c r="C197" s="394">
        <v>482.7</v>
      </c>
      <c r="D197" s="420">
        <f t="shared" si="4"/>
        <v>-4.961606615475489E-2</v>
      </c>
      <c r="E197" s="394"/>
      <c r="F197" s="418">
        <v>24039.35</v>
      </c>
      <c r="G197" s="420">
        <f t="shared" si="5"/>
        <v>7.86947653516612E-3</v>
      </c>
      <c r="H197" s="397"/>
      <c r="I197" s="397"/>
      <c r="J197" s="397"/>
      <c r="K197" s="394"/>
      <c r="L197" s="396"/>
      <c r="S197" s="393"/>
      <c r="T197" s="394"/>
      <c r="U197" s="394"/>
    </row>
    <row r="198" spans="2:21" x14ac:dyDescent="0.2">
      <c r="B198" s="426">
        <v>45774</v>
      </c>
      <c r="C198" s="394">
        <v>469.6</v>
      </c>
      <c r="D198" s="420">
        <f t="shared" si="4"/>
        <v>-2.7139009736896536E-2</v>
      </c>
      <c r="E198" s="394"/>
      <c r="F198" s="418">
        <v>24346.7</v>
      </c>
      <c r="G198" s="420">
        <f t="shared" si="5"/>
        <v>1.2785287455775673E-2</v>
      </c>
      <c r="H198" s="397"/>
      <c r="I198" s="397"/>
      <c r="J198" s="397"/>
      <c r="K198" s="394"/>
      <c r="L198" s="396"/>
      <c r="S198" s="393"/>
      <c r="T198" s="394"/>
      <c r="U198" s="394"/>
    </row>
    <row r="199" spans="2:21" x14ac:dyDescent="0.2">
      <c r="B199" s="426">
        <v>45781</v>
      </c>
      <c r="C199" s="394">
        <v>459.85</v>
      </c>
      <c r="D199" s="420">
        <f t="shared" si="4"/>
        <v>-2.0762350936967655E-2</v>
      </c>
      <c r="E199" s="394"/>
      <c r="F199" s="418">
        <v>24008</v>
      </c>
      <c r="G199" s="420">
        <f t="shared" si="5"/>
        <v>-1.391153626569519E-2</v>
      </c>
      <c r="H199" s="397"/>
      <c r="I199" s="397"/>
      <c r="J199" s="397"/>
      <c r="K199" s="394"/>
      <c r="L199" s="396"/>
      <c r="S199" s="393"/>
      <c r="T199" s="394"/>
      <c r="U199" s="394"/>
    </row>
    <row r="200" spans="2:21" x14ac:dyDescent="0.2">
      <c r="B200" s="426">
        <v>45788</v>
      </c>
      <c r="C200" s="394">
        <v>503.85</v>
      </c>
      <c r="D200" s="420">
        <f t="shared" si="4"/>
        <v>9.5683375013591476E-2</v>
      </c>
      <c r="E200" s="394"/>
      <c r="F200" s="418">
        <v>25019.8</v>
      </c>
      <c r="G200" s="420">
        <f t="shared" si="5"/>
        <v>4.2144285238253865E-2</v>
      </c>
      <c r="H200" s="397"/>
      <c r="I200" s="397"/>
      <c r="J200" s="397"/>
      <c r="K200" s="394"/>
      <c r="L200" s="396"/>
      <c r="S200" s="393"/>
      <c r="T200" s="394"/>
      <c r="U200" s="394"/>
    </row>
    <row r="201" spans="2:21" x14ac:dyDescent="0.2">
      <c r="B201" s="426">
        <v>45795</v>
      </c>
      <c r="C201" s="394">
        <v>496.6</v>
      </c>
      <c r="D201" s="420">
        <f t="shared" si="4"/>
        <v>-1.4389203135853901E-2</v>
      </c>
      <c r="E201" s="394"/>
      <c r="F201" s="418">
        <v>24853.15</v>
      </c>
      <c r="G201" s="420">
        <f t="shared" si="5"/>
        <v>-6.660724706032739E-3</v>
      </c>
      <c r="H201" s="397"/>
      <c r="I201" s="397"/>
      <c r="J201" s="397"/>
      <c r="K201" s="394"/>
      <c r="L201" s="396"/>
      <c r="S201" s="393"/>
      <c r="T201" s="394"/>
      <c r="U201" s="394"/>
    </row>
    <row r="202" spans="2:21" x14ac:dyDescent="0.2">
      <c r="B202" s="426">
        <v>45802</v>
      </c>
      <c r="C202" s="394">
        <v>487.95</v>
      </c>
      <c r="D202" s="420">
        <f t="shared" si="4"/>
        <v>-1.7418445428916685E-2</v>
      </c>
      <c r="E202" s="394"/>
      <c r="F202" s="418">
        <v>24750.7</v>
      </c>
      <c r="G202" s="420">
        <f t="shared" si="5"/>
        <v>-4.1222138843567402E-3</v>
      </c>
      <c r="H202" s="397"/>
      <c r="I202" s="397"/>
      <c r="J202" s="397"/>
      <c r="K202" s="394"/>
      <c r="L202" s="396"/>
      <c r="S202" s="393"/>
      <c r="T202" s="394"/>
      <c r="U202" s="394"/>
    </row>
    <row r="203" spans="2:21" x14ac:dyDescent="0.2">
      <c r="B203" s="426">
        <v>45809</v>
      </c>
      <c r="C203" s="394">
        <v>522.85</v>
      </c>
      <c r="D203" s="420">
        <f t="shared" ref="D203:D266" si="6">C203/C202-1</f>
        <v>7.1523721692796416E-2</v>
      </c>
      <c r="E203" s="394"/>
      <c r="F203" s="418">
        <v>25003.05</v>
      </c>
      <c r="G203" s="420">
        <f t="shared" si="5"/>
        <v>1.0195671233540704E-2</v>
      </c>
      <c r="H203" s="397"/>
      <c r="I203" s="397"/>
      <c r="J203" s="397"/>
      <c r="K203" s="394"/>
      <c r="L203" s="396"/>
      <c r="S203" s="393"/>
      <c r="T203" s="394"/>
      <c r="U203" s="394"/>
    </row>
    <row r="204" spans="2:21" x14ac:dyDescent="0.2">
      <c r="B204" s="426">
        <v>45816</v>
      </c>
      <c r="C204" s="394">
        <v>506.85</v>
      </c>
      <c r="D204" s="420">
        <f t="shared" si="6"/>
        <v>-3.0601510949603172E-2</v>
      </c>
      <c r="E204" s="394"/>
      <c r="F204" s="418">
        <v>24718.6</v>
      </c>
      <c r="G204" s="420">
        <f t="shared" ref="G204:G267" si="7">F204/F203-1</f>
        <v>-1.1376612053329516E-2</v>
      </c>
      <c r="H204" s="397"/>
      <c r="I204" s="397"/>
      <c r="J204" s="397"/>
      <c r="K204" s="394"/>
      <c r="L204" s="396"/>
      <c r="S204" s="393"/>
      <c r="T204" s="394"/>
      <c r="U204" s="394"/>
    </row>
    <row r="205" spans="2:21" x14ac:dyDescent="0.2">
      <c r="B205" s="426">
        <v>45823</v>
      </c>
      <c r="C205" s="394">
        <v>499.3</v>
      </c>
      <c r="D205" s="420">
        <f t="shared" si="6"/>
        <v>-1.4895925816316491E-2</v>
      </c>
      <c r="E205" s="394"/>
      <c r="F205" s="418">
        <v>25112.400000000001</v>
      </c>
      <c r="G205" s="420">
        <f t="shared" si="7"/>
        <v>1.5931322971365791E-2</v>
      </c>
      <c r="H205" s="397"/>
      <c r="I205" s="397"/>
      <c r="J205" s="397"/>
      <c r="K205" s="394"/>
      <c r="L205" s="396"/>
      <c r="S205" s="393"/>
      <c r="T205" s="394"/>
      <c r="U205" s="394"/>
    </row>
    <row r="206" spans="2:21" x14ac:dyDescent="0.2">
      <c r="B206" s="426">
        <v>45830</v>
      </c>
      <c r="C206" s="394">
        <v>522.5</v>
      </c>
      <c r="D206" s="420">
        <f t="shared" si="6"/>
        <v>4.6465051071500119E-2</v>
      </c>
      <c r="E206" s="394"/>
      <c r="F206" s="418">
        <v>25637.8</v>
      </c>
      <c r="G206" s="420">
        <f t="shared" si="7"/>
        <v>2.092193498032846E-2</v>
      </c>
      <c r="H206" s="397"/>
      <c r="I206" s="397"/>
      <c r="J206" s="397"/>
      <c r="K206" s="394"/>
      <c r="L206" s="396"/>
      <c r="S206" s="393"/>
      <c r="T206" s="394"/>
      <c r="U206" s="394"/>
    </row>
    <row r="207" spans="2:21" x14ac:dyDescent="0.2">
      <c r="B207" s="426">
        <v>45837</v>
      </c>
      <c r="C207" s="394">
        <v>512</v>
      </c>
      <c r="D207" s="420">
        <f t="shared" si="6"/>
        <v>-2.0095693779904278E-2</v>
      </c>
      <c r="E207" s="394"/>
      <c r="F207" s="418">
        <v>25461</v>
      </c>
      <c r="G207" s="420">
        <f t="shared" si="7"/>
        <v>-6.8960675252947023E-3</v>
      </c>
      <c r="H207" s="397"/>
      <c r="I207" s="397"/>
      <c r="J207" s="397"/>
      <c r="K207" s="394"/>
      <c r="L207" s="396"/>
      <c r="S207" s="393"/>
      <c r="T207" s="394"/>
      <c r="U207" s="394"/>
    </row>
    <row r="208" spans="2:21" x14ac:dyDescent="0.2">
      <c r="B208" s="426">
        <v>45844</v>
      </c>
      <c r="C208" s="394">
        <v>523.70000000000005</v>
      </c>
      <c r="D208" s="420">
        <f t="shared" si="6"/>
        <v>2.2851562500000089E-2</v>
      </c>
      <c r="E208" s="394"/>
      <c r="F208" s="418">
        <v>25149.85</v>
      </c>
      <c r="G208" s="420">
        <f t="shared" si="7"/>
        <v>-1.2220651192019205E-2</v>
      </c>
      <c r="H208" s="397"/>
      <c r="I208" s="397"/>
      <c r="J208" s="397"/>
      <c r="K208" s="394"/>
      <c r="L208" s="396"/>
      <c r="S208" s="393"/>
      <c r="T208" s="394"/>
      <c r="U208" s="394"/>
    </row>
    <row r="209" spans="2:21" x14ac:dyDescent="0.2">
      <c r="B209" s="426">
        <v>45851</v>
      </c>
      <c r="C209" s="394">
        <v>530.4</v>
      </c>
      <c r="D209" s="420">
        <f t="shared" si="6"/>
        <v>1.2793584113041767E-2</v>
      </c>
      <c r="E209" s="394"/>
      <c r="F209" s="418">
        <v>24968.400000000001</v>
      </c>
      <c r="G209" s="420">
        <f t="shared" si="7"/>
        <v>-7.214754759968578E-3</v>
      </c>
      <c r="H209" s="397"/>
      <c r="I209" s="397"/>
      <c r="J209" s="397"/>
      <c r="K209" s="394"/>
      <c r="L209" s="396"/>
      <c r="S209" s="393"/>
      <c r="T209" s="394"/>
      <c r="U209" s="394"/>
    </row>
    <row r="210" spans="2:21" x14ac:dyDescent="0.2">
      <c r="B210" s="426">
        <v>45858</v>
      </c>
      <c r="C210" s="394">
        <v>518.1</v>
      </c>
      <c r="D210" s="420">
        <f t="shared" si="6"/>
        <v>-2.3190045248868696E-2</v>
      </c>
      <c r="E210" s="394"/>
      <c r="F210" s="418">
        <v>24837</v>
      </c>
      <c r="G210" s="420">
        <f t="shared" si="7"/>
        <v>-5.2626519921180615E-3</v>
      </c>
      <c r="H210" s="397"/>
      <c r="I210" s="397"/>
      <c r="J210" s="397"/>
      <c r="K210" s="394"/>
      <c r="L210" s="396"/>
      <c r="S210" s="393"/>
      <c r="T210" s="394"/>
      <c r="U210" s="394"/>
    </row>
    <row r="211" spans="2:21" x14ac:dyDescent="0.2">
      <c r="B211" s="426">
        <v>45865</v>
      </c>
      <c r="C211" s="394">
        <v>511.65</v>
      </c>
      <c r="D211" s="420">
        <f t="shared" si="6"/>
        <v>-1.2449334105385179E-2</v>
      </c>
      <c r="E211" s="394"/>
      <c r="F211" s="418">
        <v>24565.35</v>
      </c>
      <c r="G211" s="420">
        <f t="shared" si="7"/>
        <v>-1.0937311269477057E-2</v>
      </c>
      <c r="H211" s="397"/>
      <c r="I211" s="397"/>
      <c r="J211" s="397"/>
      <c r="K211" s="394"/>
      <c r="L211" s="396"/>
      <c r="S211" s="393"/>
      <c r="T211" s="394"/>
      <c r="U211" s="394"/>
    </row>
    <row r="212" spans="2:21" x14ac:dyDescent="0.2">
      <c r="B212" s="426">
        <v>45872</v>
      </c>
      <c r="C212" s="394">
        <v>518.29999999999995</v>
      </c>
      <c r="D212" s="420">
        <f t="shared" si="6"/>
        <v>1.2997166031466723E-2</v>
      </c>
      <c r="E212" s="394"/>
      <c r="F212" s="418">
        <v>24363.3</v>
      </c>
      <c r="G212" s="420">
        <f t="shared" si="7"/>
        <v>-8.2249998473459263E-3</v>
      </c>
      <c r="H212" s="397"/>
      <c r="I212" s="397"/>
      <c r="J212" s="397"/>
      <c r="K212" s="394"/>
      <c r="L212" s="396"/>
      <c r="S212" s="393"/>
      <c r="T212" s="394"/>
      <c r="U212" s="394"/>
    </row>
    <row r="213" spans="2:21" x14ac:dyDescent="0.2">
      <c r="B213" s="426">
        <v>45879</v>
      </c>
      <c r="C213" s="394">
        <v>529.15</v>
      </c>
      <c r="D213" s="420">
        <f t="shared" si="6"/>
        <v>2.093382211074668E-2</v>
      </c>
      <c r="E213" s="394"/>
      <c r="F213" s="418">
        <v>24631.3</v>
      </c>
      <c r="G213" s="420">
        <f t="shared" si="7"/>
        <v>1.100015186776826E-2</v>
      </c>
      <c r="H213" s="397"/>
      <c r="I213" s="397"/>
      <c r="J213" s="397"/>
      <c r="K213" s="394"/>
      <c r="L213" s="396"/>
      <c r="S213" s="393"/>
      <c r="T213" s="394"/>
      <c r="U213" s="394"/>
    </row>
    <row r="214" spans="2:21" x14ac:dyDescent="0.2">
      <c r="B214" s="426">
        <v>45886</v>
      </c>
      <c r="C214" s="394">
        <v>517.9</v>
      </c>
      <c r="D214" s="420">
        <f t="shared" si="6"/>
        <v>-2.1260512142114663E-2</v>
      </c>
      <c r="E214" s="394"/>
      <c r="F214" s="418">
        <v>24870.1</v>
      </c>
      <c r="G214" s="420">
        <f t="shared" si="7"/>
        <v>9.6949815884666002E-3</v>
      </c>
      <c r="H214" s="397"/>
      <c r="I214" s="397"/>
      <c r="J214" s="397"/>
      <c r="K214" s="394"/>
      <c r="L214" s="396"/>
      <c r="S214" s="393"/>
      <c r="T214" s="394"/>
      <c r="U214" s="394"/>
    </row>
    <row r="215" spans="2:21" x14ac:dyDescent="0.2">
      <c r="B215" s="426">
        <v>45893</v>
      </c>
      <c r="C215" s="394">
        <v>488.45</v>
      </c>
      <c r="D215" s="420">
        <f t="shared" si="6"/>
        <v>-5.6864259509557757E-2</v>
      </c>
      <c r="E215" s="394"/>
      <c r="F215" s="418">
        <v>24426.85</v>
      </c>
      <c r="G215" s="420">
        <f t="shared" si="7"/>
        <v>-1.7822606262138052E-2</v>
      </c>
      <c r="H215" s="397"/>
      <c r="I215" s="397"/>
      <c r="J215" s="397"/>
      <c r="K215" s="394"/>
      <c r="L215" s="396"/>
      <c r="S215" s="393"/>
      <c r="T215" s="394"/>
      <c r="U215" s="394"/>
    </row>
    <row r="216" spans="2:21" x14ac:dyDescent="0.2">
      <c r="B216" s="426">
        <v>45900</v>
      </c>
      <c r="C216" s="394">
        <v>504.1</v>
      </c>
      <c r="D216" s="420">
        <f t="shared" si="6"/>
        <v>3.2040126932132429E-2</v>
      </c>
      <c r="E216" s="394"/>
      <c r="F216" s="418">
        <v>24741</v>
      </c>
      <c r="G216" s="420">
        <f t="shared" si="7"/>
        <v>1.2860847796584585E-2</v>
      </c>
      <c r="H216" s="397"/>
      <c r="I216" s="397"/>
      <c r="J216" s="397"/>
      <c r="K216" s="394"/>
      <c r="L216" s="396"/>
      <c r="S216" s="393"/>
      <c r="T216" s="394"/>
      <c r="U216" s="394"/>
    </row>
    <row r="217" spans="2:21" x14ac:dyDescent="0.2">
      <c r="B217" s="426">
        <v>45907</v>
      </c>
      <c r="C217" s="394">
        <v>525.75</v>
      </c>
      <c r="D217" s="420">
        <f t="shared" si="6"/>
        <v>4.2947827811941952E-2</v>
      </c>
      <c r="E217" s="394"/>
      <c r="F217" s="418">
        <v>25114</v>
      </c>
      <c r="G217" s="420">
        <f t="shared" si="7"/>
        <v>1.5076189321369338E-2</v>
      </c>
      <c r="H217" s="397"/>
      <c r="I217" s="397"/>
      <c r="J217" s="397"/>
      <c r="K217" s="394"/>
      <c r="L217" s="396"/>
      <c r="S217" s="393"/>
      <c r="T217" s="394"/>
      <c r="U217" s="394"/>
    </row>
    <row r="218" spans="2:21" x14ac:dyDescent="0.2">
      <c r="B218" s="426">
        <v>45914</v>
      </c>
      <c r="C218" s="394">
        <v>545.5</v>
      </c>
      <c r="D218" s="420">
        <f t="shared" si="6"/>
        <v>3.756538278649546E-2</v>
      </c>
      <c r="E218" s="394"/>
      <c r="F218" s="418">
        <v>25327.05</v>
      </c>
      <c r="G218" s="420">
        <f t="shared" si="7"/>
        <v>8.4833160786812467E-3</v>
      </c>
      <c r="H218" s="397"/>
      <c r="I218" s="397"/>
      <c r="J218" s="397"/>
      <c r="K218" s="394"/>
      <c r="L218" s="396"/>
      <c r="S218" s="393"/>
      <c r="T218" s="394"/>
      <c r="U218" s="394"/>
    </row>
    <row r="219" spans="2:21" x14ac:dyDescent="0.2">
      <c r="B219" s="426">
        <v>45921</v>
      </c>
      <c r="C219" s="394">
        <v>520.1</v>
      </c>
      <c r="D219" s="420">
        <f t="shared" si="6"/>
        <v>-4.6562786434463765E-2</v>
      </c>
      <c r="E219" s="394"/>
      <c r="F219" s="418">
        <v>24654.7</v>
      </c>
      <c r="G219" s="420">
        <f t="shared" si="7"/>
        <v>-2.6546715863079107E-2</v>
      </c>
      <c r="H219" s="397"/>
      <c r="I219" s="397"/>
      <c r="J219" s="397"/>
      <c r="K219" s="394"/>
      <c r="L219" s="396"/>
      <c r="S219" s="393"/>
      <c r="T219" s="394"/>
      <c r="U219" s="394"/>
    </row>
    <row r="220" spans="2:21" x14ac:dyDescent="0.2">
      <c r="B220" s="426">
        <v>45928</v>
      </c>
      <c r="C220" s="394">
        <v>539.9</v>
      </c>
      <c r="D220" s="420">
        <f t="shared" si="6"/>
        <v>3.8069601999615399E-2</v>
      </c>
      <c r="E220" s="394"/>
      <c r="F220" s="418">
        <v>24894.25</v>
      </c>
      <c r="G220" s="420">
        <f t="shared" si="7"/>
        <v>9.7162001565624934E-3</v>
      </c>
      <c r="H220" s="397"/>
      <c r="I220" s="397"/>
      <c r="J220" s="397"/>
      <c r="K220" s="394"/>
      <c r="L220" s="396"/>
      <c r="S220" s="393"/>
      <c r="T220" s="394"/>
      <c r="U220" s="394"/>
    </row>
    <row r="221" spans="2:21" x14ac:dyDescent="0.2">
      <c r="B221" s="426">
        <v>45935</v>
      </c>
      <c r="C221" s="394">
        <v>546</v>
      </c>
      <c r="D221" s="420">
        <f t="shared" si="6"/>
        <v>1.1298388590479824E-2</v>
      </c>
      <c r="E221" s="394"/>
      <c r="F221" s="418">
        <v>25285.35</v>
      </c>
      <c r="G221" s="420">
        <f t="shared" si="7"/>
        <v>1.5710455225604214E-2</v>
      </c>
      <c r="H221" s="397"/>
      <c r="I221" s="397"/>
      <c r="J221" s="397"/>
      <c r="K221" s="394"/>
      <c r="L221" s="396"/>
      <c r="S221" s="393"/>
      <c r="T221" s="394"/>
      <c r="U221" s="394"/>
    </row>
    <row r="222" spans="2:21" x14ac:dyDescent="0.2">
      <c r="B222" s="426">
        <v>45942</v>
      </c>
      <c r="C222" s="394">
        <v>540.79999999999995</v>
      </c>
      <c r="D222" s="420">
        <f t="shared" si="6"/>
        <v>-9.523809523809601E-3</v>
      </c>
      <c r="E222" s="394"/>
      <c r="F222" s="418">
        <v>25709.85</v>
      </c>
      <c r="G222" s="420">
        <f t="shared" si="7"/>
        <v>1.6788377459675319E-2</v>
      </c>
      <c r="H222" s="397"/>
      <c r="I222" s="397"/>
      <c r="J222" s="397"/>
      <c r="K222" s="394"/>
      <c r="L222" s="396"/>
      <c r="S222" s="393"/>
      <c r="T222" s="394"/>
      <c r="U222" s="394"/>
    </row>
    <row r="223" spans="2:21" x14ac:dyDescent="0.2">
      <c r="B223" s="426">
        <v>45949</v>
      </c>
      <c r="C223" s="394">
        <v>531.15</v>
      </c>
      <c r="D223" s="420">
        <f t="shared" si="6"/>
        <v>-1.7843934911242587E-2</v>
      </c>
      <c r="E223" s="394"/>
      <c r="F223" s="418">
        <v>25795.15</v>
      </c>
      <c r="G223" s="420">
        <f t="shared" si="7"/>
        <v>3.3177945417808274E-3</v>
      </c>
      <c r="H223" s="397"/>
      <c r="I223" s="397"/>
      <c r="J223" s="397"/>
      <c r="K223" s="394"/>
      <c r="L223" s="396"/>
      <c r="S223" s="393"/>
      <c r="T223" s="394"/>
      <c r="U223" s="394"/>
    </row>
    <row r="224" spans="2:21" x14ac:dyDescent="0.2">
      <c r="B224" s="426">
        <v>45956</v>
      </c>
      <c r="C224" s="394">
        <v>527.45000000000005</v>
      </c>
      <c r="D224" s="420">
        <f t="shared" si="6"/>
        <v>-6.9660171326365594E-3</v>
      </c>
      <c r="E224" s="394"/>
      <c r="F224" s="418">
        <v>25722.1</v>
      </c>
      <c r="G224" s="420">
        <f t="shared" si="7"/>
        <v>-2.8319277073404203E-3</v>
      </c>
      <c r="H224" s="397"/>
      <c r="I224" s="397"/>
      <c r="J224" s="397"/>
      <c r="K224" s="394"/>
      <c r="L224" s="396"/>
      <c r="S224" s="393"/>
      <c r="T224" s="394"/>
      <c r="U224" s="394"/>
    </row>
    <row r="225" spans="2:21" x14ac:dyDescent="0.2">
      <c r="B225" s="426">
        <v>45963</v>
      </c>
      <c r="C225" s="394">
        <v>519.15</v>
      </c>
      <c r="D225" s="420">
        <f t="shared" si="6"/>
        <v>-1.5736088728789621E-2</v>
      </c>
      <c r="E225" s="394"/>
      <c r="F225" s="418">
        <v>25492.3</v>
      </c>
      <c r="G225" s="420">
        <f t="shared" si="7"/>
        <v>-8.9339517379996014E-3</v>
      </c>
      <c r="H225" s="397"/>
      <c r="I225" s="397"/>
      <c r="J225" s="397"/>
      <c r="K225" s="394"/>
      <c r="L225" s="396"/>
      <c r="S225" s="393"/>
      <c r="T225" s="394"/>
      <c r="U225" s="394"/>
    </row>
    <row r="226" spans="2:21" x14ac:dyDescent="0.2">
      <c r="B226" s="426">
        <v>45970</v>
      </c>
      <c r="C226" s="394">
        <v>528.79999999999995</v>
      </c>
      <c r="D226" s="420">
        <f t="shared" si="6"/>
        <v>1.8588076663777375E-2</v>
      </c>
      <c r="E226" s="394"/>
      <c r="F226" s="418">
        <v>25910.05</v>
      </c>
      <c r="G226" s="420">
        <f t="shared" si="7"/>
        <v>1.6387301263518728E-2</v>
      </c>
      <c r="H226" s="397"/>
      <c r="I226" s="397"/>
      <c r="J226" s="397"/>
      <c r="K226" s="394"/>
      <c r="L226" s="396"/>
      <c r="S226" s="393"/>
      <c r="T226" s="394"/>
      <c r="U226" s="394"/>
    </row>
    <row r="227" spans="2:21" x14ac:dyDescent="0.2">
      <c r="B227" s="426">
        <v>45977</v>
      </c>
      <c r="C227" s="394">
        <v>484.55</v>
      </c>
      <c r="D227" s="420">
        <f t="shared" si="6"/>
        <v>-8.3680030257185956E-2</v>
      </c>
      <c r="E227" s="394"/>
      <c r="F227" s="418">
        <v>26068.15</v>
      </c>
      <c r="G227" s="420">
        <f t="shared" si="7"/>
        <v>6.1018793865701415E-3</v>
      </c>
      <c r="H227" s="397"/>
      <c r="I227" s="397"/>
      <c r="J227" s="397"/>
      <c r="K227" s="394"/>
      <c r="L227" s="396"/>
      <c r="S227" s="393"/>
      <c r="T227" s="394"/>
      <c r="U227" s="394"/>
    </row>
    <row r="228" spans="2:21" x14ac:dyDescent="0.2">
      <c r="B228" s="426">
        <v>45984</v>
      </c>
      <c r="C228" s="394">
        <v>488.65</v>
      </c>
      <c r="D228" s="420">
        <f t="shared" si="6"/>
        <v>8.4614590857496896E-3</v>
      </c>
      <c r="E228" s="394"/>
      <c r="F228" s="418">
        <v>26202.95</v>
      </c>
      <c r="G228" s="420">
        <f t="shared" si="7"/>
        <v>5.1710612375637233E-3</v>
      </c>
      <c r="H228" s="397"/>
      <c r="I228" s="397"/>
      <c r="J228" s="397"/>
      <c r="K228" s="394"/>
      <c r="L228" s="396"/>
      <c r="S228" s="393"/>
      <c r="T228" s="394"/>
      <c r="U228" s="394"/>
    </row>
    <row r="229" spans="2:21" x14ac:dyDescent="0.2">
      <c r="B229" s="426">
        <v>45991</v>
      </c>
      <c r="C229" s="394">
        <v>461.95</v>
      </c>
      <c r="D229" s="420">
        <f t="shared" si="6"/>
        <v>-5.464033561854087E-2</v>
      </c>
      <c r="E229" s="394"/>
      <c r="F229" s="418">
        <v>26186.45</v>
      </c>
      <c r="G229" s="420">
        <f t="shared" si="7"/>
        <v>-6.297000910202577E-4</v>
      </c>
      <c r="H229" s="397"/>
      <c r="I229" s="397"/>
      <c r="J229" s="397"/>
      <c r="K229" s="394"/>
      <c r="L229" s="396"/>
      <c r="S229" s="393"/>
      <c r="T229" s="394"/>
      <c r="U229" s="394"/>
    </row>
    <row r="230" spans="2:21" x14ac:dyDescent="0.2">
      <c r="B230" s="426">
        <v>45998</v>
      </c>
      <c r="C230" s="394">
        <v>482.2</v>
      </c>
      <c r="D230" s="420">
        <f t="shared" si="6"/>
        <v>4.3835912977594926E-2</v>
      </c>
      <c r="E230" s="394"/>
      <c r="F230" s="418">
        <v>26046.95</v>
      </c>
      <c r="G230" s="420">
        <f t="shared" si="7"/>
        <v>-5.3271825696113995E-3</v>
      </c>
      <c r="H230" s="397"/>
      <c r="I230" s="397"/>
      <c r="J230" s="397"/>
      <c r="K230" s="394"/>
      <c r="L230" s="396"/>
      <c r="S230" s="393"/>
      <c r="T230" s="394"/>
      <c r="U230" s="394"/>
    </row>
    <row r="231" spans="2:21" x14ac:dyDescent="0.2">
      <c r="B231" s="426">
        <v>46005</v>
      </c>
      <c r="C231" s="394">
        <v>478.25</v>
      </c>
      <c r="D231" s="420">
        <f t="shared" si="6"/>
        <v>-8.1916217337204555E-3</v>
      </c>
      <c r="E231" s="394"/>
      <c r="F231" s="418">
        <v>25966.400000000001</v>
      </c>
      <c r="G231" s="420">
        <f t="shared" si="7"/>
        <v>-3.0924925951022475E-3</v>
      </c>
      <c r="H231" s="397"/>
      <c r="I231" s="397"/>
      <c r="J231" s="397"/>
      <c r="K231" s="394"/>
      <c r="L231" s="396"/>
      <c r="S231" s="393"/>
      <c r="T231" s="394"/>
      <c r="U231" s="394"/>
    </row>
    <row r="232" spans="2:21" x14ac:dyDescent="0.2">
      <c r="B232" s="426">
        <v>46012</v>
      </c>
      <c r="C232" s="394">
        <v>479.4</v>
      </c>
      <c r="D232" s="420">
        <f t="shared" si="6"/>
        <v>2.4046001045476828E-3</v>
      </c>
      <c r="E232" s="394"/>
      <c r="F232" s="418">
        <v>26042.3</v>
      </c>
      <c r="G232" s="420">
        <f t="shared" si="7"/>
        <v>2.9230081952060782E-3</v>
      </c>
      <c r="H232" s="397"/>
      <c r="I232" s="397"/>
      <c r="J232" s="397"/>
      <c r="K232" s="394"/>
      <c r="L232" s="396"/>
      <c r="S232" s="393"/>
      <c r="T232" s="394"/>
      <c r="U232" s="394"/>
    </row>
    <row r="233" spans="2:21" x14ac:dyDescent="0.2">
      <c r="B233" s="426">
        <v>46019</v>
      </c>
      <c r="C233" s="394">
        <v>510.65</v>
      </c>
      <c r="D233" s="420">
        <f t="shared" si="6"/>
        <v>6.5185648727576151E-2</v>
      </c>
      <c r="E233" s="394"/>
      <c r="F233" s="418">
        <v>26328.55</v>
      </c>
      <c r="G233" s="420">
        <f t="shared" si="7"/>
        <v>1.0991732681061128E-2</v>
      </c>
      <c r="H233" s="397"/>
      <c r="I233" s="397"/>
      <c r="J233" s="397"/>
      <c r="K233" s="394"/>
      <c r="L233" s="396"/>
      <c r="S233" s="393"/>
      <c r="T233" s="394"/>
      <c r="U233" s="394"/>
    </row>
    <row r="234" spans="2:21" x14ac:dyDescent="0.2">
      <c r="B234" s="426">
        <v>46026</v>
      </c>
      <c r="C234" s="394">
        <v>490.25</v>
      </c>
      <c r="D234" s="420">
        <f t="shared" si="6"/>
        <v>-3.9949084500146781E-2</v>
      </c>
      <c r="E234" s="394"/>
      <c r="F234" s="418">
        <v>25683.3</v>
      </c>
      <c r="G234" s="420">
        <f t="shared" si="7"/>
        <v>-2.4507616256877029E-2</v>
      </c>
      <c r="H234" s="397"/>
      <c r="I234" s="397"/>
      <c r="J234" s="397"/>
      <c r="K234" s="394"/>
      <c r="L234" s="396"/>
      <c r="S234" s="393"/>
      <c r="T234" s="394"/>
      <c r="U234" s="394"/>
    </row>
    <row r="235" spans="2:21" x14ac:dyDescent="0.2">
      <c r="B235" s="426">
        <v>46033</v>
      </c>
      <c r="C235" s="394">
        <v>492.8</v>
      </c>
      <c r="D235" s="420">
        <f t="shared" si="6"/>
        <v>5.2014278429373118E-3</v>
      </c>
      <c r="E235" s="394"/>
      <c r="F235" s="418">
        <v>25694.35</v>
      </c>
      <c r="G235" s="420">
        <f t="shared" si="7"/>
        <v>4.3024066222008273E-4</v>
      </c>
      <c r="H235" s="397"/>
      <c r="I235" s="397"/>
      <c r="J235" s="397"/>
      <c r="K235" s="394"/>
      <c r="L235" s="396"/>
      <c r="S235" s="393"/>
      <c r="T235" s="394"/>
      <c r="U235" s="394"/>
    </row>
    <row r="236" spans="2:21" x14ac:dyDescent="0.2">
      <c r="B236" s="426">
        <v>46040</v>
      </c>
      <c r="C236" s="394">
        <v>477.65</v>
      </c>
      <c r="D236" s="420">
        <f t="shared" si="6"/>
        <v>-3.074269480519487E-2</v>
      </c>
      <c r="E236" s="394"/>
      <c r="F236" s="418">
        <v>25048.65</v>
      </c>
      <c r="G236" s="420">
        <f t="shared" si="7"/>
        <v>-2.5130038315816394E-2</v>
      </c>
      <c r="H236" s="397"/>
      <c r="I236" s="397"/>
      <c r="J236" s="397"/>
      <c r="K236" s="394"/>
      <c r="L236" s="396"/>
      <c r="S236" s="393"/>
      <c r="T236" s="394"/>
      <c r="U236" s="394"/>
    </row>
    <row r="237" spans="2:21" x14ac:dyDescent="0.2">
      <c r="B237" s="426">
        <v>46047</v>
      </c>
      <c r="C237" s="394">
        <v>459.8</v>
      </c>
      <c r="D237" s="420">
        <f t="shared" si="6"/>
        <v>-3.7370459541505197E-2</v>
      </c>
      <c r="E237" s="394"/>
      <c r="F237" s="418">
        <v>25320.65</v>
      </c>
      <c r="G237" s="420">
        <f t="shared" si="7"/>
        <v>1.0858868641623332E-2</v>
      </c>
      <c r="H237" s="397"/>
      <c r="I237" s="397"/>
      <c r="J237" s="397"/>
      <c r="K237" s="394"/>
      <c r="L237" s="396"/>
      <c r="S237" s="393"/>
      <c r="T237" s="394"/>
      <c r="U237" s="394"/>
    </row>
    <row r="238" spans="2:21" x14ac:dyDescent="0.2">
      <c r="B238" s="426">
        <v>46054</v>
      </c>
      <c r="C238" s="394">
        <v>473.15</v>
      </c>
      <c r="D238" s="420">
        <f t="shared" si="6"/>
        <v>2.9034362766420019E-2</v>
      </c>
      <c r="E238" s="394"/>
      <c r="F238" s="418">
        <v>25693.7</v>
      </c>
      <c r="G238" s="420">
        <f t="shared" si="7"/>
        <v>1.4733034104574605E-2</v>
      </c>
      <c r="H238" s="397"/>
      <c r="I238" s="397"/>
      <c r="J238" s="397"/>
      <c r="K238" s="394"/>
      <c r="L238" s="396"/>
      <c r="S238" s="393"/>
      <c r="T238" s="394"/>
      <c r="U238" s="394"/>
    </row>
    <row r="239" spans="2:21" x14ac:dyDescent="0.2">
      <c r="B239" s="426">
        <v>46061</v>
      </c>
      <c r="C239" s="394">
        <v>474.7</v>
      </c>
      <c r="D239" s="420">
        <f t="shared" si="6"/>
        <v>3.2759167283102908E-3</v>
      </c>
      <c r="E239" s="394"/>
      <c r="F239" s="418">
        <v>25471.1</v>
      </c>
      <c r="G239" s="420">
        <f t="shared" si="7"/>
        <v>-8.6636023616685209E-3</v>
      </c>
      <c r="H239" s="397"/>
      <c r="I239" s="397"/>
      <c r="J239" s="397"/>
      <c r="K239" s="394"/>
      <c r="L239" s="396"/>
      <c r="S239" s="393"/>
      <c r="T239" s="394"/>
      <c r="U239" s="394"/>
    </row>
    <row r="240" spans="2:21" x14ac:dyDescent="0.2">
      <c r="B240" s="426">
        <v>46068</v>
      </c>
      <c r="C240" s="394">
        <v>493.95</v>
      </c>
      <c r="D240" s="420">
        <f t="shared" si="6"/>
        <v>4.0551927533178933E-2</v>
      </c>
      <c r="E240" s="394"/>
      <c r="F240" s="418">
        <v>25571.25</v>
      </c>
      <c r="G240" s="420">
        <f t="shared" si="7"/>
        <v>3.9319071418195684E-3</v>
      </c>
      <c r="H240" s="397"/>
      <c r="I240" s="397"/>
      <c r="J240" s="397"/>
      <c r="K240" s="394"/>
      <c r="L240" s="396"/>
      <c r="S240" s="393"/>
      <c r="T240" s="394"/>
      <c r="U240" s="394"/>
    </row>
    <row r="241" spans="2:21" x14ac:dyDescent="0.2">
      <c r="B241" s="426">
        <v>46075</v>
      </c>
      <c r="C241" s="394">
        <v>487.75</v>
      </c>
      <c r="D241" s="420">
        <f t="shared" si="6"/>
        <v>-1.2551877720416993E-2</v>
      </c>
      <c r="E241" s="394"/>
      <c r="F241" s="418">
        <v>25178.65</v>
      </c>
      <c r="G241" s="420">
        <f t="shared" si="7"/>
        <v>-1.5353179840641329E-2</v>
      </c>
      <c r="H241" s="397"/>
      <c r="I241" s="397"/>
      <c r="J241" s="397"/>
      <c r="K241" s="394"/>
      <c r="L241" s="396"/>
      <c r="S241" s="393"/>
      <c r="T241" s="394"/>
      <c r="U241" s="394"/>
    </row>
    <row r="242" spans="2:21" x14ac:dyDescent="0.2">
      <c r="B242" s="426">
        <v>46082</v>
      </c>
      <c r="C242" s="394">
        <v>488.2</v>
      </c>
      <c r="D242" s="420">
        <f t="shared" si="6"/>
        <v>9.2260379292663508E-4</v>
      </c>
      <c r="E242" s="394"/>
      <c r="F242" s="418">
        <v>24450.45</v>
      </c>
      <c r="G242" s="420">
        <f t="shared" si="7"/>
        <v>-2.892132818876314E-2</v>
      </c>
      <c r="H242" s="397"/>
      <c r="I242" s="397"/>
      <c r="J242" s="397"/>
      <c r="K242" s="394"/>
      <c r="L242" s="396"/>
      <c r="S242" s="393"/>
      <c r="T242" s="394"/>
      <c r="U242" s="394"/>
    </row>
    <row r="243" spans="2:21" x14ac:dyDescent="0.2">
      <c r="B243" s="426">
        <v>46089</v>
      </c>
      <c r="C243" s="394">
        <v>512.95000000000005</v>
      </c>
      <c r="D243" s="420">
        <f t="shared" si="6"/>
        <v>5.0696435886931734E-2</v>
      </c>
      <c r="E243" s="394"/>
      <c r="F243" s="418">
        <v>23151.1</v>
      </c>
      <c r="G243" s="420">
        <f t="shared" si="7"/>
        <v>-5.3142171207482991E-2</v>
      </c>
      <c r="H243" s="397"/>
      <c r="I243" s="397"/>
      <c r="J243" s="397"/>
      <c r="K243" s="394"/>
      <c r="L243" s="396"/>
      <c r="S243" s="393"/>
      <c r="T243" s="394"/>
      <c r="U243" s="394"/>
    </row>
    <row r="244" spans="2:21" x14ac:dyDescent="0.2">
      <c r="B244" s="426">
        <v>46096</v>
      </c>
      <c r="C244" s="394">
        <v>507.05</v>
      </c>
      <c r="D244" s="420">
        <f t="shared" si="6"/>
        <v>-1.1502095720830607E-2</v>
      </c>
      <c r="E244" s="394"/>
      <c r="F244" s="418">
        <v>23114.5</v>
      </c>
      <c r="G244" s="420">
        <f t="shared" si="7"/>
        <v>-1.5809184012853805E-3</v>
      </c>
      <c r="H244" s="397"/>
      <c r="I244" s="397"/>
      <c r="J244" s="397"/>
      <c r="K244" s="394"/>
      <c r="L244" s="396"/>
      <c r="S244" s="393"/>
      <c r="T244" s="394"/>
      <c r="U244" s="394"/>
    </row>
    <row r="245" spans="2:21" x14ac:dyDescent="0.2">
      <c r="B245" s="426">
        <v>46103</v>
      </c>
      <c r="C245" s="394">
        <v>484.8</v>
      </c>
      <c r="D245" s="420">
        <f t="shared" si="6"/>
        <v>-4.38812740360911E-2</v>
      </c>
      <c r="E245" s="394"/>
      <c r="F245" s="418">
        <v>22819.599999999999</v>
      </c>
      <c r="G245" s="420">
        <f t="shared" si="7"/>
        <v>-1.275822535637805E-2</v>
      </c>
      <c r="H245" s="397"/>
      <c r="I245" s="397"/>
      <c r="J245" s="397"/>
      <c r="K245" s="394"/>
      <c r="L245" s="396"/>
      <c r="S245" s="393"/>
      <c r="T245" s="394"/>
      <c r="U245" s="394"/>
    </row>
    <row r="246" spans="2:21" x14ac:dyDescent="0.2">
      <c r="B246" s="426">
        <v>46110</v>
      </c>
      <c r="C246" s="394">
        <v>491.1</v>
      </c>
      <c r="D246" s="420">
        <f t="shared" si="6"/>
        <v>1.2995049504950451E-2</v>
      </c>
      <c r="E246" s="394"/>
      <c r="F246" s="418">
        <v>22713.1</v>
      </c>
      <c r="G246" s="420">
        <f t="shared" si="7"/>
        <v>-4.6670406142088616E-3</v>
      </c>
      <c r="H246" s="397"/>
      <c r="I246" s="397"/>
      <c r="J246" s="397"/>
      <c r="K246" s="394"/>
      <c r="L246" s="396"/>
      <c r="S246" s="393"/>
      <c r="T246" s="394"/>
      <c r="U246" s="394"/>
    </row>
    <row r="247" spans="2:21" x14ac:dyDescent="0.2">
      <c r="B247" s="426">
        <v>46117</v>
      </c>
      <c r="C247" s="394">
        <v>488.85</v>
      </c>
      <c r="D247" s="420">
        <f t="shared" si="6"/>
        <v>-4.5815516188149052E-3</v>
      </c>
      <c r="E247" s="394"/>
      <c r="F247" s="418">
        <v>24050.6</v>
      </c>
      <c r="G247" s="420">
        <f t="shared" si="7"/>
        <v>5.8886721759689342E-2</v>
      </c>
      <c r="H247" s="397"/>
      <c r="I247" s="397"/>
      <c r="J247" s="397"/>
      <c r="K247" s="394"/>
      <c r="L247" s="396"/>
      <c r="S247" s="393"/>
      <c r="T247" s="394"/>
      <c r="U247" s="394"/>
    </row>
    <row r="248" spans="2:21" x14ac:dyDescent="0.2">
      <c r="B248" s="426">
        <v>46124</v>
      </c>
      <c r="C248" s="394">
        <v>538.04999999999995</v>
      </c>
      <c r="D248" s="420">
        <f t="shared" si="6"/>
        <v>0.10064436943847799</v>
      </c>
      <c r="E248" s="394"/>
      <c r="F248" s="418">
        <v>24353.55</v>
      </c>
      <c r="G248" s="420">
        <f t="shared" si="7"/>
        <v>1.2596359342386565E-2</v>
      </c>
      <c r="H248" s="397"/>
      <c r="I248" s="397"/>
      <c r="J248" s="397"/>
      <c r="K248" s="394"/>
      <c r="L248" s="396"/>
      <c r="S248" s="393"/>
      <c r="T248" s="394"/>
      <c r="U248" s="394"/>
    </row>
    <row r="249" spans="2:21" x14ac:dyDescent="0.2">
      <c r="B249" s="426">
        <v>46131</v>
      </c>
      <c r="C249" s="394">
        <v>544.95000000000005</v>
      </c>
      <c r="D249" s="420">
        <f t="shared" si="6"/>
        <v>1.2824086980764093E-2</v>
      </c>
      <c r="E249" s="394"/>
      <c r="F249" s="418">
        <v>23897.95</v>
      </c>
      <c r="G249" s="420">
        <f t="shared" si="7"/>
        <v>-1.8707744866764742E-2</v>
      </c>
      <c r="H249" s="397"/>
      <c r="I249" s="397"/>
      <c r="J249" s="397"/>
      <c r="K249" s="394"/>
      <c r="L249" s="396"/>
      <c r="S249" s="393"/>
      <c r="T249" s="394"/>
      <c r="U249" s="394"/>
    </row>
    <row r="250" spans="2:21" x14ac:dyDescent="0.2">
      <c r="B250" s="426">
        <v>46138</v>
      </c>
      <c r="C250" s="394">
        <v>561.15</v>
      </c>
      <c r="D250" s="420">
        <f t="shared" si="6"/>
        <v>2.9727497935590375E-2</v>
      </c>
      <c r="E250" s="394"/>
      <c r="F250" s="418">
        <v>23997.55</v>
      </c>
      <c r="G250" s="420">
        <f t="shared" si="7"/>
        <v>4.167721499124255E-3</v>
      </c>
      <c r="H250" s="397"/>
      <c r="I250" s="397"/>
      <c r="J250" s="397"/>
      <c r="K250" s="394"/>
      <c r="L250" s="396"/>
      <c r="S250" s="393"/>
      <c r="T250" s="394"/>
      <c r="U250" s="394"/>
    </row>
    <row r="251" spans="2:21" x14ac:dyDescent="0.2">
      <c r="B251" s="426">
        <v>46145</v>
      </c>
      <c r="C251" s="394">
        <v>571.20000000000005</v>
      </c>
      <c r="D251" s="420">
        <f t="shared" si="6"/>
        <v>1.7909649826249874E-2</v>
      </c>
      <c r="E251" s="394"/>
      <c r="F251" s="418">
        <v>24176.15</v>
      </c>
      <c r="G251" s="420">
        <f t="shared" si="7"/>
        <v>7.4424264143633234E-3</v>
      </c>
      <c r="H251" s="397"/>
      <c r="I251" s="397"/>
      <c r="J251" s="397"/>
      <c r="K251" s="394"/>
      <c r="L251" s="396"/>
      <c r="S251" s="393"/>
      <c r="T251" s="394"/>
      <c r="U251" s="394"/>
    </row>
    <row r="252" spans="2:21" x14ac:dyDescent="0.2">
      <c r="B252" s="426">
        <v>46152</v>
      </c>
      <c r="C252" s="394">
        <v>515.04999999999995</v>
      </c>
      <c r="D252" s="420">
        <f t="shared" si="6"/>
        <v>-9.8301820728291522E-2</v>
      </c>
      <c r="E252" s="394"/>
      <c r="F252" s="418">
        <v>23643.5</v>
      </c>
      <c r="G252" s="420">
        <f t="shared" si="7"/>
        <v>-2.2032043977225579E-2</v>
      </c>
      <c r="H252" s="397"/>
      <c r="I252" s="397"/>
      <c r="J252" s="397"/>
      <c r="K252" s="394"/>
      <c r="L252" s="396"/>
      <c r="S252" s="393"/>
      <c r="T252" s="394"/>
      <c r="U252" s="394"/>
    </row>
    <row r="253" spans="2:21" x14ac:dyDescent="0.2">
      <c r="B253" s="426">
        <v>46159</v>
      </c>
      <c r="C253" s="394">
        <v>551.25</v>
      </c>
      <c r="D253" s="420">
        <f t="shared" si="6"/>
        <v>7.0284438404038641E-2</v>
      </c>
      <c r="E253" s="394"/>
      <c r="F253" s="418">
        <v>23719.3</v>
      </c>
      <c r="G253" s="420">
        <f t="shared" si="7"/>
        <v>3.2059551250871454E-3</v>
      </c>
      <c r="H253" s="397"/>
      <c r="I253" s="397"/>
      <c r="J253" s="397"/>
      <c r="K253" s="394"/>
      <c r="L253" s="396"/>
      <c r="S253" s="393"/>
      <c r="T253" s="394"/>
      <c r="U253" s="394"/>
    </row>
    <row r="254" spans="2:21" x14ac:dyDescent="0.2">
      <c r="B254" s="426">
        <v>46166</v>
      </c>
      <c r="C254" s="394">
        <v>595.04999999999995</v>
      </c>
      <c r="D254" s="420">
        <f t="shared" si="6"/>
        <v>7.9455782312925161E-2</v>
      </c>
      <c r="E254" s="394"/>
      <c r="F254" s="418">
        <v>23547.75</v>
      </c>
      <c r="G254" s="420">
        <f t="shared" si="7"/>
        <v>-7.2325068615008981E-3</v>
      </c>
      <c r="H254" s="397"/>
      <c r="I254" s="397"/>
      <c r="J254" s="397"/>
      <c r="K254" s="394"/>
      <c r="L254" s="396"/>
      <c r="S254" s="393"/>
      <c r="T254" s="394"/>
      <c r="U254" s="394"/>
    </row>
    <row r="255" spans="2:21" x14ac:dyDescent="0.2">
      <c r="B255" s="426">
        <v>46173</v>
      </c>
      <c r="C255" s="394">
        <v>584.20000000000005</v>
      </c>
      <c r="D255" s="420">
        <f t="shared" si="6"/>
        <v>-1.8233761868750364E-2</v>
      </c>
      <c r="E255" s="394"/>
      <c r="F255" s="418">
        <v>23366.7</v>
      </c>
      <c r="G255" s="420">
        <f t="shared" si="7"/>
        <v>-7.6886326719113329E-3</v>
      </c>
      <c r="H255" s="397"/>
      <c r="I255" s="397"/>
      <c r="J255" s="397"/>
      <c r="K255" s="394"/>
      <c r="L255" s="396"/>
      <c r="S255" s="393"/>
      <c r="T255" s="394"/>
      <c r="U255" s="394"/>
    </row>
    <row r="256" spans="2:21" x14ac:dyDescent="0.2">
      <c r="B256" s="426">
        <v>46180</v>
      </c>
      <c r="C256" s="394">
        <v>559.35</v>
      </c>
      <c r="D256" s="420">
        <f t="shared" si="6"/>
        <v>-4.2536802464909318E-2</v>
      </c>
      <c r="E256" s="394"/>
      <c r="F256" s="418">
        <v>23622.9</v>
      </c>
      <c r="G256" s="420">
        <f t="shared" si="7"/>
        <v>1.0964321020940027E-2</v>
      </c>
      <c r="H256" s="397"/>
      <c r="I256" s="397"/>
      <c r="J256" s="397"/>
      <c r="K256" s="394"/>
      <c r="L256" s="396"/>
      <c r="S256" s="393"/>
      <c r="T256" s="394"/>
      <c r="U256" s="394"/>
    </row>
    <row r="257" spans="2:21" x14ac:dyDescent="0.2">
      <c r="B257" s="426">
        <v>46187</v>
      </c>
      <c r="C257" s="394">
        <v>570.1</v>
      </c>
      <c r="D257" s="420">
        <f t="shared" si="6"/>
        <v>1.9218736032895256E-2</v>
      </c>
      <c r="E257" s="394"/>
      <c r="F257" s="418">
        <v>24013.1</v>
      </c>
      <c r="G257" s="420">
        <f t="shared" si="7"/>
        <v>1.6517870371546062E-2</v>
      </c>
      <c r="H257" s="397"/>
      <c r="I257" s="397"/>
      <c r="J257" s="397"/>
      <c r="K257" s="394"/>
      <c r="L257" s="396"/>
      <c r="S257" s="393"/>
      <c r="T257" s="394"/>
      <c r="U257" s="394"/>
    </row>
    <row r="258" spans="2:21" x14ac:dyDescent="0.2">
      <c r="B258" s="426">
        <v>46194</v>
      </c>
      <c r="C258" s="394">
        <v>573.5</v>
      </c>
      <c r="D258" s="420">
        <f t="shared" si="6"/>
        <v>5.9638659884231338E-3</v>
      </c>
      <c r="E258" s="394"/>
      <c r="F258" s="418">
        <v>24056</v>
      </c>
      <c r="G258" s="420">
        <f t="shared" si="7"/>
        <v>1.7865248551833801E-3</v>
      </c>
      <c r="H258" s="397"/>
      <c r="I258" s="397"/>
      <c r="J258" s="397"/>
      <c r="K258" s="394"/>
      <c r="L258" s="396"/>
      <c r="S258" s="393"/>
      <c r="T258" s="394"/>
      <c r="U258" s="394"/>
    </row>
    <row r="259" spans="2:21" x14ac:dyDescent="0.2">
      <c r="B259" s="426">
        <v>46201</v>
      </c>
      <c r="C259" s="394">
        <v>550.20000000000005</v>
      </c>
      <c r="D259" s="420">
        <f t="shared" si="6"/>
        <v>-4.0627724498692119E-2</v>
      </c>
      <c r="E259" s="394"/>
      <c r="F259" s="418">
        <v>24270.85</v>
      </c>
      <c r="G259" s="420">
        <f t="shared" si="7"/>
        <v>8.9312437645492349E-3</v>
      </c>
      <c r="H259" s="397"/>
      <c r="I259" s="397"/>
      <c r="J259" s="397"/>
      <c r="K259" s="394"/>
      <c r="L259" s="396"/>
      <c r="S259" s="393"/>
      <c r="T259" s="394"/>
      <c r="U259" s="394"/>
    </row>
    <row r="260" spans="2:21" x14ac:dyDescent="0.2">
      <c r="B260" s="426">
        <v>46208</v>
      </c>
      <c r="C260" s="394">
        <v>553.45000000000005</v>
      </c>
      <c r="D260" s="420">
        <f t="shared" si="6"/>
        <v>5.9069429298437282E-3</v>
      </c>
      <c r="E260" s="394"/>
      <c r="F260" s="418">
        <v>24206.9</v>
      </c>
      <c r="G260" s="420">
        <f t="shared" si="7"/>
        <v>-2.6348479760699428E-3</v>
      </c>
      <c r="H260" s="397"/>
      <c r="I260" s="397"/>
      <c r="J260" s="397"/>
      <c r="K260" s="394"/>
      <c r="L260" s="396"/>
      <c r="S260" s="393"/>
      <c r="T260" s="394"/>
      <c r="U260" s="394"/>
    </row>
    <row r="261" spans="2:21" x14ac:dyDescent="0.2">
      <c r="B261" s="426">
        <v>46215</v>
      </c>
      <c r="C261" s="394">
        <v>541.20000000000005</v>
      </c>
      <c r="D261" s="420">
        <f t="shared" si="6"/>
        <v>-2.2133887433372523E-2</v>
      </c>
      <c r="E261" s="394"/>
      <c r="F261" s="418">
        <v>24334.3</v>
      </c>
      <c r="G261" s="420">
        <f t="shared" si="7"/>
        <v>5.262962213253175E-3</v>
      </c>
      <c r="H261" s="397"/>
      <c r="I261" s="397"/>
      <c r="J261" s="397"/>
      <c r="K261" s="394"/>
      <c r="L261" s="396"/>
      <c r="S261" s="393"/>
      <c r="T261" s="394"/>
      <c r="U261" s="394"/>
    </row>
    <row r="262" spans="2:21" x14ac:dyDescent="0.2">
      <c r="B262" s="426">
        <v>46222</v>
      </c>
      <c r="C262" s="394">
        <v>551.65</v>
      </c>
      <c r="D262" s="420">
        <f t="shared" si="6"/>
        <v>1.9308943089430874E-2</v>
      </c>
      <c r="E262" s="394"/>
      <c r="F262" s="418">
        <v>23767.45</v>
      </c>
      <c r="G262" s="420">
        <f t="shared" si="7"/>
        <v>-2.3294280090242925E-2</v>
      </c>
      <c r="H262" s="397"/>
      <c r="I262" s="397"/>
      <c r="J262" s="397"/>
      <c r="K262" s="394"/>
      <c r="L262" s="396"/>
      <c r="S262" s="393"/>
      <c r="T262" s="394"/>
      <c r="U262" s="394"/>
    </row>
    <row r="263" spans="2:21" x14ac:dyDescent="0.2">
      <c r="B263" s="426">
        <v>46229</v>
      </c>
      <c r="C263" s="394">
        <v>554.65</v>
      </c>
      <c r="D263" s="420">
        <f t="shared" si="6"/>
        <v>5.438230762258689E-3</v>
      </c>
      <c r="E263" s="394"/>
      <c r="F263" s="418">
        <v>24383.599999999999</v>
      </c>
      <c r="G263" s="420">
        <f t="shared" si="7"/>
        <v>2.5924110495656683E-2</v>
      </c>
      <c r="H263" s="397"/>
      <c r="I263" s="397"/>
      <c r="J263" s="397"/>
      <c r="K263" s="394"/>
      <c r="L263" s="396"/>
      <c r="S263" s="393"/>
      <c r="T263" s="394"/>
      <c r="U263" s="394"/>
    </row>
    <row r="264" spans="2:21" x14ac:dyDescent="0.2">
      <c r="B264" s="426">
        <v>46236</v>
      </c>
      <c r="C264" s="394">
        <v>564.4</v>
      </c>
      <c r="D264" s="420">
        <f t="shared" si="6"/>
        <v>1.7578653204723738E-2</v>
      </c>
      <c r="E264" s="394"/>
      <c r="F264" s="418">
        <v>24570.65</v>
      </c>
      <c r="G264" s="420">
        <f t="shared" si="7"/>
        <v>7.6711396184321323E-3</v>
      </c>
      <c r="H264" s="397"/>
      <c r="I264" s="397"/>
      <c r="J264" s="397"/>
      <c r="K264" s="394"/>
      <c r="L264" s="396"/>
      <c r="S264" s="393"/>
      <c r="T264" s="394"/>
      <c r="U264" s="394"/>
    </row>
    <row r="265" spans="2:21" x14ac:dyDescent="0.2">
      <c r="B265" s="426">
        <v>46243</v>
      </c>
      <c r="C265" s="394">
        <v>560</v>
      </c>
      <c r="D265" s="420">
        <f t="shared" si="6"/>
        <v>-7.795889440113335E-3</v>
      </c>
      <c r="E265" s="394"/>
      <c r="F265" s="418">
        <v>24366</v>
      </c>
      <c r="G265" s="420">
        <f t="shared" si="7"/>
        <v>-8.3290429842108882E-3</v>
      </c>
      <c r="H265" s="397"/>
      <c r="I265" s="397"/>
      <c r="J265" s="397"/>
      <c r="K265" s="394"/>
      <c r="L265" s="396"/>
      <c r="S265" s="393"/>
      <c r="T265" s="394"/>
      <c r="U265" s="394"/>
    </row>
    <row r="266" spans="2:21" x14ac:dyDescent="0.2">
      <c r="B266" s="426">
        <v>46250</v>
      </c>
      <c r="C266" s="394">
        <v>544.95000000000005</v>
      </c>
      <c r="D266" s="420">
        <f t="shared" si="6"/>
        <v>-2.6874999999999871E-2</v>
      </c>
      <c r="E266" s="394"/>
      <c r="F266" s="418">
        <v>24252</v>
      </c>
      <c r="G266" s="420">
        <f t="shared" si="7"/>
        <v>-4.6786505786752253E-3</v>
      </c>
      <c r="H266" s="397"/>
      <c r="I266" s="397"/>
      <c r="J266" s="397"/>
      <c r="K266" s="394"/>
      <c r="L266" s="396"/>
      <c r="S266" s="393"/>
      <c r="T266" s="394"/>
      <c r="U266" s="394"/>
    </row>
    <row r="267" spans="2:21" x14ac:dyDescent="0.2">
      <c r="B267" s="426">
        <v>46257</v>
      </c>
      <c r="C267" s="394">
        <v>535.29999999999995</v>
      </c>
      <c r="D267" s="420">
        <f t="shared" ref="D267:D270" si="8">C267/C266-1</f>
        <v>-1.770804660978087E-2</v>
      </c>
      <c r="E267" s="394"/>
      <c r="F267" s="418">
        <v>24175.65</v>
      </c>
      <c r="G267" s="420">
        <f t="shared" si="7"/>
        <v>-3.1481939633843936E-3</v>
      </c>
      <c r="H267" s="397"/>
      <c r="I267" s="397"/>
      <c r="J267" s="397"/>
      <c r="K267" s="394"/>
      <c r="L267" s="396"/>
      <c r="S267" s="393"/>
      <c r="T267" s="394"/>
      <c r="U267" s="394"/>
    </row>
    <row r="268" spans="2:21" x14ac:dyDescent="0.2">
      <c r="B268" s="426">
        <v>46264</v>
      </c>
      <c r="C268" s="394">
        <v>539.85</v>
      </c>
      <c r="D268" s="420">
        <f t="shared" si="8"/>
        <v>8.4999065944331154E-3</v>
      </c>
      <c r="E268" s="394"/>
      <c r="F268" s="418">
        <v>23897.7</v>
      </c>
      <c r="G268" s="420">
        <f t="shared" ref="G268:G270" si="9">F268/F267-1</f>
        <v>-1.1497105558692322E-2</v>
      </c>
      <c r="H268" s="397"/>
      <c r="I268" s="397"/>
      <c r="J268" s="397"/>
      <c r="K268" s="394"/>
      <c r="L268" s="396"/>
      <c r="S268" s="393"/>
      <c r="T268" s="394"/>
      <c r="U268" s="394"/>
    </row>
    <row r="269" spans="2:21" x14ac:dyDescent="0.2">
      <c r="B269" s="426">
        <v>46271</v>
      </c>
      <c r="C269" s="394">
        <v>526.45000000000005</v>
      </c>
      <c r="D269" s="420">
        <f t="shared" si="8"/>
        <v>-2.4821709734185404E-2</v>
      </c>
      <c r="E269" s="394"/>
      <c r="F269" s="418">
        <v>23398.1</v>
      </c>
      <c r="G269" s="420">
        <f t="shared" si="9"/>
        <v>-2.0905777543445692E-2</v>
      </c>
      <c r="H269" s="397"/>
      <c r="I269" s="397"/>
      <c r="J269" s="397"/>
      <c r="K269" s="394"/>
      <c r="L269" s="396"/>
      <c r="S269" s="393"/>
      <c r="T269" s="394"/>
      <c r="U269" s="394"/>
    </row>
    <row r="270" spans="2:21" x14ac:dyDescent="0.2">
      <c r="B270" s="427">
        <v>46278</v>
      </c>
      <c r="C270" s="428">
        <v>505</v>
      </c>
      <c r="D270" s="422">
        <f t="shared" si="8"/>
        <v>-4.0744610124418323E-2</v>
      </c>
      <c r="E270" s="394"/>
      <c r="F270" s="421">
        <v>23118.6</v>
      </c>
      <c r="G270" s="422">
        <f t="shared" si="9"/>
        <v>-1.1945414371252405E-2</v>
      </c>
      <c r="H270" s="397"/>
      <c r="I270" s="397"/>
      <c r="J270" s="397"/>
      <c r="S270" s="393"/>
      <c r="T270" s="394"/>
      <c r="U270" s="394"/>
    </row>
    <row r="273" customFormat="1" x14ac:dyDescent="0.2"/>
    <row r="274" customFormat="1" x14ac:dyDescent="0.2"/>
    <row r="275" customFormat="1" x14ac:dyDescent="0.2"/>
  </sheetData>
  <pageMargins left="0.7" right="0.7" top="0.75" bottom="0.75" header="0.3" footer="0.3"/>
  <pageSetup paperSize="9" scale="46" orientation="portrait" horizontalDpi="0" verticalDpi="0"/>
  <rowBreaks count="1" manualBreakCount="1">
    <brk id="39"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22454-29B7-9349-851E-CBAD9CBB8234}">
  <dimension ref="A1:U275"/>
  <sheetViews>
    <sheetView showGridLines="0" view="pageBreakPreview" zoomScale="60" zoomScaleNormal="100" workbookViewId="0">
      <selection activeCell="B1" sqref="B1"/>
    </sheetView>
  </sheetViews>
  <sheetFormatPr baseColWidth="10" defaultRowHeight="15" x14ac:dyDescent="0.2"/>
  <cols>
    <col min="1" max="1" width="3.83203125" customWidth="1"/>
    <col min="4" max="4" width="15.83203125" customWidth="1"/>
    <col min="5" max="5" width="5.83203125" customWidth="1"/>
    <col min="8" max="8" width="5.83203125" customWidth="1"/>
    <col min="9" max="9" width="15.83203125" customWidth="1"/>
  </cols>
  <sheetData>
    <row r="1" spans="1:21" ht="21" x14ac:dyDescent="0.25">
      <c r="B1" s="381" t="s">
        <v>511</v>
      </c>
      <c r="C1" s="5"/>
      <c r="D1" s="5"/>
      <c r="E1" s="5"/>
      <c r="F1" s="5"/>
      <c r="G1" s="5"/>
      <c r="H1" s="5"/>
      <c r="I1" s="5"/>
      <c r="J1" s="5"/>
      <c r="K1" s="5"/>
      <c r="L1" s="5"/>
      <c r="M1" s="5"/>
      <c r="N1" s="5"/>
      <c r="O1" s="5"/>
      <c r="P1" s="5"/>
      <c r="Q1" s="5"/>
    </row>
    <row r="2" spans="1:21" ht="19" x14ac:dyDescent="0.25">
      <c r="B2" s="492" t="s">
        <v>508</v>
      </c>
      <c r="C2" s="491"/>
      <c r="D2" s="491"/>
      <c r="E2" s="491"/>
      <c r="F2" s="491"/>
      <c r="G2" s="491"/>
      <c r="H2" s="491"/>
      <c r="I2" s="491"/>
      <c r="J2" s="491"/>
      <c r="K2" s="491"/>
      <c r="L2" s="491"/>
      <c r="M2" s="491"/>
      <c r="N2" s="491"/>
      <c r="O2" s="491"/>
      <c r="P2" s="491"/>
      <c r="Q2" s="491"/>
    </row>
    <row r="3" spans="1:21" ht="3" customHeight="1" thickBot="1" x14ac:dyDescent="0.25">
      <c r="B3" s="208"/>
      <c r="C3" s="208"/>
      <c r="D3" s="208"/>
      <c r="E3" s="208"/>
      <c r="F3" s="208"/>
      <c r="G3" s="208"/>
      <c r="H3" s="208"/>
      <c r="I3" s="208"/>
      <c r="J3" s="208"/>
      <c r="K3" s="208"/>
      <c r="L3" s="208"/>
      <c r="M3" s="208"/>
      <c r="N3" s="208"/>
      <c r="O3" s="208"/>
      <c r="P3" s="208"/>
      <c r="Q3" s="208"/>
    </row>
    <row r="4" spans="1:21" ht="16" thickTop="1" x14ac:dyDescent="0.2"/>
    <row r="5" spans="1:21" x14ac:dyDescent="0.2">
      <c r="B5" s="410" t="s">
        <v>471</v>
      </c>
      <c r="C5" s="423"/>
      <c r="D5" s="411"/>
      <c r="F5" s="410" t="s">
        <v>475</v>
      </c>
      <c r="G5" s="411"/>
      <c r="I5" s="410" t="s">
        <v>502</v>
      </c>
      <c r="J5" s="411"/>
      <c r="K5" s="398"/>
    </row>
    <row r="6" spans="1:21" ht="3" customHeight="1" x14ac:dyDescent="0.2">
      <c r="A6" s="58"/>
      <c r="B6" s="7"/>
      <c r="C6" s="7"/>
      <c r="D6" s="7"/>
      <c r="F6" s="7"/>
      <c r="G6" s="7"/>
      <c r="I6" s="7"/>
      <c r="J6" s="7"/>
    </row>
    <row r="7" spans="1:21" ht="3" customHeight="1" x14ac:dyDescent="0.2">
      <c r="A7" s="58"/>
      <c r="B7" s="8"/>
      <c r="C7" s="8"/>
      <c r="D7" s="8"/>
      <c r="F7" s="8"/>
      <c r="G7" s="8"/>
      <c r="I7" s="8"/>
      <c r="J7" s="8"/>
    </row>
    <row r="8" spans="1:21" ht="3" customHeight="1" x14ac:dyDescent="0.2">
      <c r="A8" s="58"/>
      <c r="B8" s="9"/>
      <c r="C8" s="9"/>
      <c r="D8" s="9"/>
      <c r="F8" s="9"/>
      <c r="G8" s="9"/>
      <c r="I8" s="9"/>
      <c r="J8" s="9"/>
    </row>
    <row r="9" spans="1:21" x14ac:dyDescent="0.2">
      <c r="B9" s="424" t="s">
        <v>472</v>
      </c>
      <c r="C9" s="403" t="s">
        <v>473</v>
      </c>
      <c r="D9" s="425" t="s">
        <v>474</v>
      </c>
      <c r="E9" s="402"/>
      <c r="F9" s="416" t="s">
        <v>473</v>
      </c>
      <c r="G9" s="417" t="s">
        <v>476</v>
      </c>
      <c r="H9" s="392"/>
      <c r="I9" s="58" t="s">
        <v>503</v>
      </c>
      <c r="J9" s="429">
        <f>J17</f>
        <v>1.1576002707025141</v>
      </c>
      <c r="L9" s="397"/>
      <c r="S9" s="392"/>
      <c r="T9" s="392"/>
      <c r="U9" s="392"/>
    </row>
    <row r="10" spans="1:21" x14ac:dyDescent="0.2">
      <c r="B10" s="426">
        <v>44458</v>
      </c>
      <c r="C10" s="394">
        <v>486.04</v>
      </c>
      <c r="D10" s="419">
        <v>0</v>
      </c>
      <c r="E10" s="394"/>
      <c r="F10" s="418">
        <v>17853.2</v>
      </c>
      <c r="G10" s="419">
        <v>0</v>
      </c>
      <c r="H10" s="397"/>
      <c r="I10" s="58" t="s">
        <v>504</v>
      </c>
      <c r="J10" s="413">
        <v>0.75</v>
      </c>
      <c r="L10" s="397"/>
      <c r="S10" s="393"/>
      <c r="T10" s="394"/>
      <c r="U10" s="394"/>
    </row>
    <row r="11" spans="1:21" x14ac:dyDescent="0.2">
      <c r="B11" s="426">
        <v>44465</v>
      </c>
      <c r="C11" s="394">
        <v>488.82</v>
      </c>
      <c r="D11" s="420">
        <f t="shared" ref="D11:D74" si="0">C11/C10-1</f>
        <v>5.7196938523578211E-3</v>
      </c>
      <c r="E11" s="394"/>
      <c r="F11" s="418">
        <v>17532.05</v>
      </c>
      <c r="G11" s="420">
        <f>F11/F10-1</f>
        <v>-1.7988371832500683E-2</v>
      </c>
      <c r="H11" s="397"/>
      <c r="I11" s="58" t="s">
        <v>505</v>
      </c>
      <c r="J11" s="414">
        <v>1</v>
      </c>
      <c r="L11" s="397"/>
      <c r="S11" s="393"/>
      <c r="T11" s="394"/>
      <c r="U11" s="394"/>
    </row>
    <row r="12" spans="1:21" x14ac:dyDescent="0.2">
      <c r="B12" s="426">
        <v>44472</v>
      </c>
      <c r="C12" s="394">
        <v>491.35</v>
      </c>
      <c r="D12" s="420">
        <f t="shared" si="0"/>
        <v>5.1757293073115829E-3</v>
      </c>
      <c r="E12" s="394"/>
      <c r="F12" s="418">
        <v>17895.2</v>
      </c>
      <c r="G12" s="420">
        <f t="shared" ref="G12:G75" si="1">F12/F11-1</f>
        <v>2.0713493288006868E-2</v>
      </c>
      <c r="H12" s="397"/>
      <c r="I12" s="58" t="s">
        <v>506</v>
      </c>
      <c r="J12" s="413">
        <v>0.25</v>
      </c>
      <c r="L12" s="397"/>
      <c r="S12" s="393"/>
      <c r="T12" s="394"/>
      <c r="U12" s="394"/>
    </row>
    <row r="13" spans="1:21" x14ac:dyDescent="0.2">
      <c r="B13" s="426">
        <v>44479</v>
      </c>
      <c r="C13" s="394">
        <v>502.46</v>
      </c>
      <c r="D13" s="420">
        <f t="shared" si="0"/>
        <v>2.2611173298056286E-2</v>
      </c>
      <c r="E13" s="394"/>
      <c r="F13" s="418">
        <v>18338.55</v>
      </c>
      <c r="G13" s="420">
        <f t="shared" si="1"/>
        <v>2.4774799946354342E-2</v>
      </c>
      <c r="H13" s="397"/>
      <c r="I13" s="58"/>
      <c r="J13" s="22"/>
      <c r="L13" s="397"/>
      <c r="S13" s="393"/>
      <c r="T13" s="394"/>
      <c r="U13" s="394"/>
    </row>
    <row r="14" spans="1:21" x14ac:dyDescent="0.2">
      <c r="B14" s="426">
        <v>44486</v>
      </c>
      <c r="C14" s="394">
        <v>484.62</v>
      </c>
      <c r="D14" s="420">
        <f t="shared" si="0"/>
        <v>-3.5505313855829224E-2</v>
      </c>
      <c r="E14" s="394"/>
      <c r="F14" s="418">
        <v>18114.900000000001</v>
      </c>
      <c r="G14" s="420">
        <f t="shared" si="1"/>
        <v>-1.2195620700655052E-2</v>
      </c>
      <c r="H14" s="397"/>
      <c r="I14" s="431" t="s">
        <v>507</v>
      </c>
      <c r="J14" s="432">
        <f>(J9*J10)+(J11*J12)</f>
        <v>1.1182002030268856</v>
      </c>
      <c r="L14" s="397"/>
      <c r="S14" s="393"/>
      <c r="T14" s="394"/>
      <c r="U14" s="394"/>
    </row>
    <row r="15" spans="1:21" x14ac:dyDescent="0.2">
      <c r="B15" s="426">
        <v>44493</v>
      </c>
      <c r="C15" s="394">
        <v>487.4</v>
      </c>
      <c r="D15" s="420">
        <f t="shared" si="0"/>
        <v>5.7364533036192711E-3</v>
      </c>
      <c r="E15" s="394"/>
      <c r="F15" s="418">
        <v>17671.650000000001</v>
      </c>
      <c r="G15" s="420">
        <f t="shared" si="1"/>
        <v>-2.4468807445804264E-2</v>
      </c>
      <c r="H15" s="397"/>
      <c r="L15" s="397"/>
      <c r="S15" s="393"/>
      <c r="T15" s="394"/>
      <c r="U15" s="394"/>
    </row>
    <row r="16" spans="1:21" x14ac:dyDescent="0.2">
      <c r="B16" s="426">
        <v>44500</v>
      </c>
      <c r="C16" s="394">
        <v>502.61</v>
      </c>
      <c r="D16" s="420">
        <f t="shared" si="0"/>
        <v>3.1206401313089938E-2</v>
      </c>
      <c r="E16" s="394"/>
      <c r="F16" s="418">
        <v>17916.8</v>
      </c>
      <c r="G16" s="420">
        <f t="shared" si="1"/>
        <v>1.3872502001793796E-2</v>
      </c>
      <c r="H16" s="397"/>
      <c r="L16" s="397"/>
      <c r="S16" s="393"/>
      <c r="T16" s="394"/>
      <c r="U16" s="394"/>
    </row>
    <row r="17" spans="2:21" ht="17" x14ac:dyDescent="0.2">
      <c r="B17" s="426">
        <v>44507</v>
      </c>
      <c r="C17" s="394">
        <v>525.76</v>
      </c>
      <c r="D17" s="420">
        <f t="shared" si="0"/>
        <v>4.6059569049561322E-2</v>
      </c>
      <c r="E17" s="394"/>
      <c r="F17" s="418">
        <v>18102.75</v>
      </c>
      <c r="G17" s="420">
        <f t="shared" si="1"/>
        <v>1.0378527415610073E-2</v>
      </c>
      <c r="H17" s="397"/>
      <c r="I17" s="433" t="s">
        <v>509</v>
      </c>
      <c r="J17" s="430">
        <f>J36</f>
        <v>1.1576002707025141</v>
      </c>
      <c r="K17" s="267"/>
      <c r="L17" s="404"/>
      <c r="M17" s="267"/>
      <c r="N17" s="267"/>
      <c r="O17" s="267"/>
      <c r="P17" s="267"/>
      <c r="Q17" s="405"/>
      <c r="S17" s="393"/>
      <c r="T17" s="394"/>
      <c r="U17" s="394"/>
    </row>
    <row r="18" spans="2:21" x14ac:dyDescent="0.2">
      <c r="B18" s="426">
        <v>44514</v>
      </c>
      <c r="C18" s="394">
        <v>513.33000000000004</v>
      </c>
      <c r="D18" s="420">
        <f t="shared" si="0"/>
        <v>-2.3641965916007202E-2</v>
      </c>
      <c r="E18" s="394"/>
      <c r="F18" s="418">
        <v>17764.8</v>
      </c>
      <c r="G18" s="420">
        <f t="shared" si="1"/>
        <v>-1.8668434353896535E-2</v>
      </c>
      <c r="H18" s="397"/>
      <c r="I18" s="58"/>
      <c r="L18" s="397"/>
      <c r="Q18" s="22"/>
      <c r="S18" s="393"/>
      <c r="T18" s="394"/>
      <c r="U18" s="394"/>
    </row>
    <row r="19" spans="2:21" x14ac:dyDescent="0.2">
      <c r="B19" s="426">
        <v>44521</v>
      </c>
      <c r="C19" s="394">
        <v>524.59</v>
      </c>
      <c r="D19" s="420">
        <f t="shared" si="0"/>
        <v>2.1935207371476473E-2</v>
      </c>
      <c r="E19" s="394"/>
      <c r="F19" s="418">
        <v>17026.45</v>
      </c>
      <c r="G19" s="420">
        <f t="shared" si="1"/>
        <v>-4.1562528145546174E-2</v>
      </c>
      <c r="H19" s="397"/>
      <c r="I19" s="58" t="s">
        <v>477</v>
      </c>
      <c r="Q19" s="22"/>
      <c r="S19" s="393"/>
      <c r="T19" s="394"/>
      <c r="U19" s="394"/>
    </row>
    <row r="20" spans="2:21" ht="16" thickBot="1" x14ac:dyDescent="0.25">
      <c r="B20" s="426">
        <v>44528</v>
      </c>
      <c r="C20" s="394">
        <v>551.11</v>
      </c>
      <c r="D20" s="420">
        <f t="shared" si="0"/>
        <v>5.0553765798051709E-2</v>
      </c>
      <c r="E20" s="394"/>
      <c r="F20" s="418">
        <v>17196.7</v>
      </c>
      <c r="G20" s="420">
        <f t="shared" si="1"/>
        <v>9.9991483838381967E-3</v>
      </c>
      <c r="H20" s="397"/>
      <c r="I20" s="58"/>
      <c r="Q20" s="22"/>
      <c r="S20" s="393"/>
      <c r="T20" s="394"/>
      <c r="U20" s="394"/>
    </row>
    <row r="21" spans="2:21" x14ac:dyDescent="0.2">
      <c r="B21" s="426">
        <v>44535</v>
      </c>
      <c r="C21" s="394">
        <v>565.15</v>
      </c>
      <c r="D21" s="420">
        <f t="shared" si="0"/>
        <v>2.5475857814229341E-2</v>
      </c>
      <c r="E21" s="394"/>
      <c r="F21" s="418">
        <v>17511.3</v>
      </c>
      <c r="G21" s="420">
        <f t="shared" si="1"/>
        <v>1.8294207609599322E-2</v>
      </c>
      <c r="H21" s="397"/>
      <c r="I21" s="406" t="s">
        <v>478</v>
      </c>
      <c r="J21" s="401"/>
      <c r="Q21" s="22"/>
      <c r="S21" s="393"/>
      <c r="T21" s="394"/>
      <c r="U21" s="394"/>
    </row>
    <row r="22" spans="2:21" x14ac:dyDescent="0.2">
      <c r="B22" s="426">
        <v>44542</v>
      </c>
      <c r="C22" s="394">
        <v>530.78</v>
      </c>
      <c r="D22" s="420">
        <f t="shared" si="0"/>
        <v>-6.0815712642661279E-2</v>
      </c>
      <c r="E22" s="394"/>
      <c r="F22" s="418">
        <v>16985.2</v>
      </c>
      <c r="G22" s="420">
        <f t="shared" si="1"/>
        <v>-3.004345765305827E-2</v>
      </c>
      <c r="H22" s="397"/>
      <c r="I22" s="58" t="s">
        <v>479</v>
      </c>
      <c r="J22">
        <v>0.42044815500233623</v>
      </c>
      <c r="Q22" s="22"/>
      <c r="S22" s="393"/>
      <c r="T22" s="394"/>
      <c r="U22" s="394"/>
    </row>
    <row r="23" spans="2:21" x14ac:dyDescent="0.2">
      <c r="B23" s="426">
        <v>44549</v>
      </c>
      <c r="C23" s="394">
        <v>520.01</v>
      </c>
      <c r="D23" s="420">
        <f t="shared" si="0"/>
        <v>-2.0290892648554881E-2</v>
      </c>
      <c r="E23" s="394"/>
      <c r="F23" s="418">
        <v>17003.75</v>
      </c>
      <c r="G23" s="420">
        <f t="shared" si="1"/>
        <v>1.0921272637354207E-3</v>
      </c>
      <c r="H23" s="397"/>
      <c r="I23" s="58" t="s">
        <v>480</v>
      </c>
      <c r="J23">
        <v>0.17677665104486853</v>
      </c>
      <c r="Q23" s="22"/>
      <c r="S23" s="393"/>
      <c r="T23" s="394"/>
      <c r="U23" s="394"/>
    </row>
    <row r="24" spans="2:21" x14ac:dyDescent="0.2">
      <c r="B24" s="426">
        <v>44556</v>
      </c>
      <c r="C24" s="394">
        <v>539.66</v>
      </c>
      <c r="D24" s="420">
        <f t="shared" si="0"/>
        <v>3.7787734851252752E-2</v>
      </c>
      <c r="E24" s="394"/>
      <c r="F24" s="418">
        <v>17354.05</v>
      </c>
      <c r="G24" s="420">
        <f t="shared" si="1"/>
        <v>2.0601337940160169E-2</v>
      </c>
      <c r="H24" s="397"/>
      <c r="I24" s="58" t="s">
        <v>481</v>
      </c>
      <c r="J24">
        <v>0.17358586287062383</v>
      </c>
      <c r="Q24" s="22"/>
      <c r="S24" s="393"/>
      <c r="T24" s="394"/>
      <c r="U24" s="394"/>
    </row>
    <row r="25" spans="2:21" x14ac:dyDescent="0.2">
      <c r="B25" s="426">
        <v>44563</v>
      </c>
      <c r="C25" s="394">
        <v>560.37</v>
      </c>
      <c r="D25" s="420">
        <f t="shared" si="0"/>
        <v>3.8376014527665703E-2</v>
      </c>
      <c r="E25" s="394"/>
      <c r="F25" s="418">
        <v>17812.7</v>
      </c>
      <c r="G25" s="420">
        <f t="shared" si="1"/>
        <v>2.6428989198486796E-2</v>
      </c>
      <c r="H25" s="397"/>
      <c r="I25" s="58" t="s">
        <v>482</v>
      </c>
      <c r="J25">
        <v>4.5300368835067634E-2</v>
      </c>
      <c r="Q25" s="22"/>
      <c r="S25" s="393"/>
      <c r="T25" s="394"/>
      <c r="U25" s="394"/>
    </row>
    <row r="26" spans="2:21" ht="16" thickBot="1" x14ac:dyDescent="0.25">
      <c r="B26" s="426">
        <v>44570</v>
      </c>
      <c r="C26" s="394">
        <v>564.32000000000005</v>
      </c>
      <c r="D26" s="420">
        <f t="shared" si="0"/>
        <v>7.0489141103200481E-3</v>
      </c>
      <c r="E26" s="394"/>
      <c r="F26" s="418">
        <v>18255.75</v>
      </c>
      <c r="G26" s="420">
        <f t="shared" si="1"/>
        <v>2.4872703183683509E-2</v>
      </c>
      <c r="H26" s="397"/>
      <c r="I26" s="407" t="s">
        <v>483</v>
      </c>
      <c r="J26" s="399">
        <v>260</v>
      </c>
      <c r="Q26" s="22"/>
      <c r="S26" s="393"/>
      <c r="T26" s="394"/>
      <c r="U26" s="394"/>
    </row>
    <row r="27" spans="2:21" x14ac:dyDescent="0.2">
      <c r="B27" s="426">
        <v>44577</v>
      </c>
      <c r="C27" s="394">
        <v>536.73</v>
      </c>
      <c r="D27" s="420">
        <f t="shared" si="0"/>
        <v>-4.8890700311879809E-2</v>
      </c>
      <c r="E27" s="394"/>
      <c r="F27" s="418">
        <v>17617.150000000001</v>
      </c>
      <c r="G27" s="420">
        <f t="shared" si="1"/>
        <v>-3.4980759486736956E-2</v>
      </c>
      <c r="H27" s="397"/>
      <c r="I27" s="58"/>
      <c r="Q27" s="22"/>
      <c r="S27" s="393"/>
      <c r="T27" s="394"/>
      <c r="U27" s="394"/>
    </row>
    <row r="28" spans="2:21" ht="16" thickBot="1" x14ac:dyDescent="0.25">
      <c r="B28" s="426">
        <v>44584</v>
      </c>
      <c r="C28" s="394">
        <v>528.4</v>
      </c>
      <c r="D28" s="420">
        <f t="shared" si="0"/>
        <v>-1.551990758854549E-2</v>
      </c>
      <c r="E28" s="394"/>
      <c r="F28" s="418">
        <v>17101.95</v>
      </c>
      <c r="G28" s="420">
        <f t="shared" si="1"/>
        <v>-2.9244230763772805E-2</v>
      </c>
      <c r="H28" s="397"/>
      <c r="I28" s="58" t="s">
        <v>484</v>
      </c>
      <c r="Q28" s="22"/>
      <c r="S28" s="393"/>
      <c r="T28" s="394"/>
      <c r="U28" s="394"/>
    </row>
    <row r="29" spans="2:21" x14ac:dyDescent="0.2">
      <c r="B29" s="426">
        <v>44591</v>
      </c>
      <c r="C29" s="394">
        <v>565.78</v>
      </c>
      <c r="D29" s="420">
        <f t="shared" si="0"/>
        <v>7.0741862225586649E-2</v>
      </c>
      <c r="E29" s="394"/>
      <c r="F29" s="418">
        <v>17516.3</v>
      </c>
      <c r="G29" s="420">
        <f t="shared" si="1"/>
        <v>2.4228231283567103E-2</v>
      </c>
      <c r="H29" s="397"/>
      <c r="I29" s="408"/>
      <c r="J29" s="400" t="s">
        <v>489</v>
      </c>
      <c r="K29" s="400" t="s">
        <v>490</v>
      </c>
      <c r="L29" s="400" t="s">
        <v>491</v>
      </c>
      <c r="M29" s="400" t="s">
        <v>492</v>
      </c>
      <c r="N29" s="400" t="s">
        <v>493</v>
      </c>
      <c r="Q29" s="22"/>
      <c r="S29" s="393"/>
      <c r="T29" s="394"/>
      <c r="U29" s="394"/>
    </row>
    <row r="30" spans="2:21" x14ac:dyDescent="0.2">
      <c r="B30" s="426">
        <v>44598</v>
      </c>
      <c r="C30" s="394">
        <v>482.97</v>
      </c>
      <c r="D30" s="420">
        <f t="shared" si="0"/>
        <v>-0.14636431121637372</v>
      </c>
      <c r="E30" s="394"/>
      <c r="F30" s="418">
        <v>17374.75</v>
      </c>
      <c r="G30" s="420">
        <f t="shared" si="1"/>
        <v>-8.0810445128252084E-3</v>
      </c>
      <c r="H30" s="397"/>
      <c r="I30" s="58" t="s">
        <v>485</v>
      </c>
      <c r="J30">
        <v>1</v>
      </c>
      <c r="K30">
        <v>0.11369213037840276</v>
      </c>
      <c r="L30">
        <v>0.11369213037840276</v>
      </c>
      <c r="M30">
        <v>55.402189487778841</v>
      </c>
      <c r="N30">
        <v>1.4666191611776084E-12</v>
      </c>
      <c r="Q30" s="22"/>
      <c r="S30" s="393"/>
      <c r="T30" s="394"/>
      <c r="U30" s="394"/>
    </row>
    <row r="31" spans="2:21" x14ac:dyDescent="0.2">
      <c r="B31" s="426">
        <v>44605</v>
      </c>
      <c r="C31" s="394">
        <v>467.46</v>
      </c>
      <c r="D31" s="420">
        <f t="shared" si="0"/>
        <v>-3.2113795887943497E-2</v>
      </c>
      <c r="E31" s="394"/>
      <c r="F31" s="418">
        <v>17276.3</v>
      </c>
      <c r="G31" s="420">
        <f t="shared" si="1"/>
        <v>-5.6662685794041101E-3</v>
      </c>
      <c r="H31" s="397"/>
      <c r="I31" s="58" t="s">
        <v>486</v>
      </c>
      <c r="J31">
        <v>258</v>
      </c>
      <c r="K31">
        <v>0.52944784148103707</v>
      </c>
      <c r="L31">
        <v>2.052123416593167E-3</v>
      </c>
      <c r="Q31" s="22"/>
      <c r="S31" s="393"/>
      <c r="T31" s="394"/>
      <c r="U31" s="394"/>
    </row>
    <row r="32" spans="2:21" ht="16" thickBot="1" x14ac:dyDescent="0.25">
      <c r="B32" s="426">
        <v>44612</v>
      </c>
      <c r="C32" s="394">
        <v>453.18</v>
      </c>
      <c r="D32" s="420">
        <f t="shared" si="0"/>
        <v>-3.0548068283917318E-2</v>
      </c>
      <c r="E32" s="394"/>
      <c r="F32" s="418">
        <v>16658.400000000001</v>
      </c>
      <c r="G32" s="420">
        <f t="shared" si="1"/>
        <v>-3.5765760029635829E-2</v>
      </c>
      <c r="H32" s="397"/>
      <c r="I32" s="407" t="s">
        <v>487</v>
      </c>
      <c r="J32" s="399">
        <v>259</v>
      </c>
      <c r="K32" s="399">
        <v>0.64313997185943983</v>
      </c>
      <c r="L32" s="399"/>
      <c r="M32" s="399"/>
      <c r="N32" s="399"/>
      <c r="Q32" s="22"/>
      <c r="S32" s="393"/>
      <c r="T32" s="394"/>
      <c r="U32" s="394"/>
    </row>
    <row r="33" spans="2:21" ht="16" thickBot="1" x14ac:dyDescent="0.25">
      <c r="B33" s="426">
        <v>44619</v>
      </c>
      <c r="C33" s="394">
        <v>456.98</v>
      </c>
      <c r="D33" s="420">
        <f t="shared" si="0"/>
        <v>8.3851891080806151E-3</v>
      </c>
      <c r="E33" s="394"/>
      <c r="F33" s="418">
        <v>16245.35</v>
      </c>
      <c r="G33" s="420">
        <f t="shared" si="1"/>
        <v>-2.4795298468040183E-2</v>
      </c>
      <c r="H33" s="397"/>
      <c r="I33" s="58"/>
      <c r="Q33" s="22"/>
      <c r="S33" s="393"/>
      <c r="T33" s="394"/>
      <c r="U33" s="394"/>
    </row>
    <row r="34" spans="2:21" x14ac:dyDescent="0.2">
      <c r="B34" s="426">
        <v>44626</v>
      </c>
      <c r="C34" s="394">
        <v>468.78</v>
      </c>
      <c r="D34" s="420">
        <f t="shared" si="0"/>
        <v>2.5821698980261543E-2</v>
      </c>
      <c r="E34" s="394"/>
      <c r="F34" s="418">
        <v>16630.45</v>
      </c>
      <c r="G34" s="420">
        <f t="shared" si="1"/>
        <v>2.3705244885459553E-2</v>
      </c>
      <c r="H34" s="397"/>
      <c r="I34" s="408"/>
      <c r="J34" s="400" t="s">
        <v>494</v>
      </c>
      <c r="K34" s="400" t="s">
        <v>482</v>
      </c>
      <c r="L34" s="400" t="s">
        <v>495</v>
      </c>
      <c r="M34" s="400" t="s">
        <v>496</v>
      </c>
      <c r="N34" s="400" t="s">
        <v>497</v>
      </c>
      <c r="O34" s="400" t="s">
        <v>498</v>
      </c>
      <c r="P34" s="400" t="s">
        <v>499</v>
      </c>
      <c r="Q34" s="409" t="s">
        <v>500</v>
      </c>
      <c r="S34" s="393"/>
      <c r="T34" s="394"/>
      <c r="U34" s="394"/>
    </row>
    <row r="35" spans="2:21" x14ac:dyDescent="0.2">
      <c r="B35" s="426">
        <v>44633</v>
      </c>
      <c r="C35" s="394">
        <v>471.07</v>
      </c>
      <c r="D35" s="420">
        <f t="shared" si="0"/>
        <v>4.8850206920090233E-3</v>
      </c>
      <c r="E35" s="394"/>
      <c r="F35" s="418">
        <v>17287.05</v>
      </c>
      <c r="G35" s="420">
        <f t="shared" si="1"/>
        <v>3.9481793938227705E-2</v>
      </c>
      <c r="H35" s="397"/>
      <c r="I35" s="58" t="s">
        <v>488</v>
      </c>
      <c r="J35">
        <v>3.6091032495164143E-3</v>
      </c>
      <c r="K35">
        <v>2.8156466598980444E-3</v>
      </c>
      <c r="L35">
        <v>1.2818026142694698</v>
      </c>
      <c r="M35">
        <v>0.20106258697074569</v>
      </c>
      <c r="N35">
        <v>-1.9354720562996855E-3</v>
      </c>
      <c r="O35">
        <v>9.1536785553325145E-3</v>
      </c>
      <c r="P35">
        <v>-1.9354720562996855E-3</v>
      </c>
      <c r="Q35" s="22">
        <v>9.1536785553325145E-3</v>
      </c>
      <c r="S35" s="393"/>
      <c r="T35" s="394"/>
      <c r="U35" s="394"/>
    </row>
    <row r="36" spans="2:21" x14ac:dyDescent="0.2">
      <c r="B36" s="426">
        <v>44640</v>
      </c>
      <c r="C36" s="394">
        <v>473.75</v>
      </c>
      <c r="D36" s="420">
        <f t="shared" si="0"/>
        <v>5.6891757063706194E-3</v>
      </c>
      <c r="E36" s="394"/>
      <c r="F36" s="418">
        <v>17153</v>
      </c>
      <c r="G36" s="420">
        <f t="shared" si="1"/>
        <v>-7.7543594771808388E-3</v>
      </c>
      <c r="H36" s="397"/>
      <c r="I36" s="24" t="s">
        <v>501</v>
      </c>
      <c r="J36" s="25">
        <v>1.1576002707025141</v>
      </c>
      <c r="K36" s="25">
        <v>0.15552318994184947</v>
      </c>
      <c r="L36" s="25">
        <v>7.4432647062817061</v>
      </c>
      <c r="M36" s="25">
        <v>1.4666191611775557E-12</v>
      </c>
      <c r="N36" s="25">
        <v>0.85134378947750489</v>
      </c>
      <c r="O36" s="25">
        <v>1.4638567519275234</v>
      </c>
      <c r="P36" s="25">
        <v>0.85134378947750489</v>
      </c>
      <c r="Q36" s="59">
        <v>1.4638567519275234</v>
      </c>
      <c r="S36" s="393"/>
      <c r="T36" s="394"/>
      <c r="U36" s="394"/>
    </row>
    <row r="37" spans="2:21" x14ac:dyDescent="0.2">
      <c r="B37" s="426">
        <v>44647</v>
      </c>
      <c r="C37" s="394">
        <v>489.89</v>
      </c>
      <c r="D37" s="420">
        <f t="shared" si="0"/>
        <v>3.4068601583113534E-2</v>
      </c>
      <c r="E37" s="394"/>
      <c r="F37" s="418">
        <v>17670.45</v>
      </c>
      <c r="G37" s="420">
        <f t="shared" si="1"/>
        <v>3.0166734681979834E-2</v>
      </c>
      <c r="H37" s="397"/>
      <c r="S37" s="393"/>
      <c r="T37" s="394"/>
      <c r="U37" s="394"/>
    </row>
    <row r="38" spans="2:21" x14ac:dyDescent="0.2">
      <c r="B38" s="426">
        <v>44654</v>
      </c>
      <c r="C38" s="394">
        <v>528.92999999999995</v>
      </c>
      <c r="D38" s="420">
        <f t="shared" si="0"/>
        <v>7.9691359284737251E-2</v>
      </c>
      <c r="E38" s="394"/>
      <c r="F38" s="418">
        <v>17784.349999999999</v>
      </c>
      <c r="G38" s="420">
        <f t="shared" si="1"/>
        <v>6.4457894394311932E-3</v>
      </c>
      <c r="H38" s="397"/>
      <c r="S38" s="393"/>
      <c r="T38" s="394"/>
      <c r="U38" s="394"/>
    </row>
    <row r="39" spans="2:21" x14ac:dyDescent="0.2">
      <c r="B39" s="426">
        <v>44661</v>
      </c>
      <c r="C39" s="394">
        <v>534.29</v>
      </c>
      <c r="D39" s="420">
        <f t="shared" si="0"/>
        <v>1.0133666080577752E-2</v>
      </c>
      <c r="E39" s="394"/>
      <c r="F39" s="418">
        <v>17475.650000000001</v>
      </c>
      <c r="G39" s="420">
        <f t="shared" si="1"/>
        <v>-1.7357957979909133E-2</v>
      </c>
      <c r="H39" s="397"/>
      <c r="S39" s="393"/>
      <c r="T39" s="394"/>
      <c r="U39" s="394"/>
    </row>
    <row r="40" spans="2:21" x14ac:dyDescent="0.2">
      <c r="B40" s="426">
        <v>44668</v>
      </c>
      <c r="C40" s="394">
        <v>528.01</v>
      </c>
      <c r="D40" s="420">
        <f t="shared" si="0"/>
        <v>-1.1753916412435172E-2</v>
      </c>
      <c r="E40" s="394"/>
      <c r="F40" s="418">
        <v>17171.95</v>
      </c>
      <c r="G40" s="420">
        <f t="shared" si="1"/>
        <v>-1.7378466609253462E-2</v>
      </c>
      <c r="H40" s="397"/>
      <c r="I40" s="397"/>
      <c r="J40" s="397"/>
      <c r="K40" s="394"/>
      <c r="L40" s="396"/>
      <c r="S40" s="393"/>
      <c r="T40" s="394"/>
      <c r="U40" s="394"/>
    </row>
    <row r="41" spans="2:21" x14ac:dyDescent="0.2">
      <c r="B41" s="426">
        <v>44675</v>
      </c>
      <c r="C41" s="394">
        <v>519.77</v>
      </c>
      <c r="D41" s="420">
        <f t="shared" si="0"/>
        <v>-1.5605765042328801E-2</v>
      </c>
      <c r="E41" s="394"/>
      <c r="F41" s="418">
        <v>17102.55</v>
      </c>
      <c r="G41" s="420">
        <f t="shared" si="1"/>
        <v>-4.0414746141237412E-3</v>
      </c>
      <c r="H41" s="397"/>
      <c r="I41" s="397"/>
      <c r="J41" s="397"/>
      <c r="K41" s="394"/>
      <c r="L41" s="396"/>
      <c r="S41" s="393"/>
      <c r="T41" s="394"/>
      <c r="U41" s="394"/>
    </row>
    <row r="42" spans="2:21" x14ac:dyDescent="0.2">
      <c r="B42" s="426">
        <v>44682</v>
      </c>
      <c r="C42" s="394">
        <v>481.07</v>
      </c>
      <c r="D42" s="420">
        <f t="shared" si="0"/>
        <v>-7.4456009388768063E-2</v>
      </c>
      <c r="E42" s="394"/>
      <c r="F42" s="418">
        <v>16411.25</v>
      </c>
      <c r="G42" s="420">
        <f t="shared" si="1"/>
        <v>-4.0420872910764682E-2</v>
      </c>
      <c r="H42" s="397"/>
      <c r="I42" s="397"/>
      <c r="J42" s="397"/>
      <c r="K42" s="394"/>
      <c r="L42" s="396"/>
      <c r="S42" s="393"/>
      <c r="T42" s="394"/>
      <c r="U42" s="394"/>
    </row>
    <row r="43" spans="2:21" x14ac:dyDescent="0.2">
      <c r="B43" s="426">
        <v>44689</v>
      </c>
      <c r="C43" s="394">
        <v>420.82</v>
      </c>
      <c r="D43" s="420">
        <f t="shared" si="0"/>
        <v>-0.1252416488244954</v>
      </c>
      <c r="E43" s="394"/>
      <c r="F43" s="418">
        <v>15782.15</v>
      </c>
      <c r="G43" s="420">
        <f t="shared" si="1"/>
        <v>-3.8333460278772158E-2</v>
      </c>
      <c r="H43" s="397"/>
      <c r="I43" s="397"/>
      <c r="J43" s="397"/>
      <c r="K43" s="394"/>
      <c r="L43" s="396"/>
      <c r="S43" s="393"/>
      <c r="T43" s="394"/>
      <c r="U43" s="394"/>
    </row>
    <row r="44" spans="2:21" x14ac:dyDescent="0.2">
      <c r="B44" s="426">
        <v>44696</v>
      </c>
      <c r="C44" s="394">
        <v>418.87</v>
      </c>
      <c r="D44" s="420">
        <f t="shared" si="0"/>
        <v>-4.6338101801245424E-3</v>
      </c>
      <c r="E44" s="394"/>
      <c r="F44" s="418">
        <v>16266.15</v>
      </c>
      <c r="G44" s="420">
        <f t="shared" si="1"/>
        <v>3.0667557968971249E-2</v>
      </c>
      <c r="H44" s="397"/>
      <c r="I44" s="397"/>
      <c r="J44" s="397"/>
      <c r="K44" s="394"/>
      <c r="L44" s="396"/>
      <c r="S44" s="393"/>
      <c r="T44" s="394"/>
      <c r="U44" s="394"/>
    </row>
    <row r="45" spans="2:21" x14ac:dyDescent="0.2">
      <c r="B45" s="426">
        <v>44703</v>
      </c>
      <c r="C45" s="394">
        <v>422.23</v>
      </c>
      <c r="D45" s="420">
        <f t="shared" si="0"/>
        <v>8.0215818750448697E-3</v>
      </c>
      <c r="E45" s="394"/>
      <c r="F45" s="418">
        <v>16352.45</v>
      </c>
      <c r="G45" s="420">
        <f t="shared" si="1"/>
        <v>5.3054963835941216E-3</v>
      </c>
      <c r="H45" s="397"/>
      <c r="I45" s="397"/>
      <c r="J45" s="397"/>
      <c r="K45" s="394"/>
      <c r="L45" s="396"/>
      <c r="S45" s="393"/>
      <c r="T45" s="394"/>
      <c r="U45" s="394"/>
    </row>
    <row r="46" spans="2:21" x14ac:dyDescent="0.2">
      <c r="B46" s="426">
        <v>44710</v>
      </c>
      <c r="C46" s="394">
        <v>453.86</v>
      </c>
      <c r="D46" s="420">
        <f t="shared" si="0"/>
        <v>7.4911777940932733E-2</v>
      </c>
      <c r="E46" s="394"/>
      <c r="F46" s="418">
        <v>16584.3</v>
      </c>
      <c r="G46" s="420">
        <f t="shared" si="1"/>
        <v>1.4178303556959371E-2</v>
      </c>
      <c r="H46" s="397"/>
      <c r="I46" s="397"/>
      <c r="J46" s="397"/>
      <c r="K46" s="394"/>
      <c r="L46" s="396"/>
      <c r="S46" s="393"/>
      <c r="T46" s="394"/>
      <c r="U46" s="394"/>
    </row>
    <row r="47" spans="2:21" x14ac:dyDescent="0.2">
      <c r="B47" s="426">
        <v>44717</v>
      </c>
      <c r="C47" s="394">
        <v>454.3</v>
      </c>
      <c r="D47" s="420">
        <f t="shared" si="0"/>
        <v>9.6946194861846635E-4</v>
      </c>
      <c r="E47" s="394"/>
      <c r="F47" s="418">
        <v>16201.8</v>
      </c>
      <c r="G47" s="420">
        <f t="shared" si="1"/>
        <v>-2.3063982200032584E-2</v>
      </c>
      <c r="H47" s="397"/>
      <c r="I47" s="397"/>
      <c r="J47" s="397"/>
      <c r="K47" s="394"/>
      <c r="L47" s="396"/>
      <c r="S47" s="393"/>
      <c r="T47" s="394"/>
      <c r="U47" s="394"/>
    </row>
    <row r="48" spans="2:21" x14ac:dyDescent="0.2">
      <c r="B48" s="426">
        <v>44724</v>
      </c>
      <c r="C48" s="394">
        <v>453.91</v>
      </c>
      <c r="D48" s="420">
        <f t="shared" si="0"/>
        <v>-8.5846357032792753E-4</v>
      </c>
      <c r="E48" s="394"/>
      <c r="F48" s="418">
        <v>15293.5</v>
      </c>
      <c r="G48" s="420">
        <f t="shared" si="1"/>
        <v>-5.6061672159883447E-2</v>
      </c>
      <c r="H48" s="397"/>
      <c r="I48" s="397"/>
      <c r="J48" s="397"/>
      <c r="K48" s="394"/>
      <c r="L48" s="396"/>
      <c r="S48" s="393"/>
      <c r="T48" s="394"/>
      <c r="U48" s="394"/>
    </row>
    <row r="49" spans="2:21" x14ac:dyDescent="0.2">
      <c r="B49" s="426">
        <v>44731</v>
      </c>
      <c r="C49" s="394">
        <v>450.99</v>
      </c>
      <c r="D49" s="420">
        <f t="shared" si="0"/>
        <v>-6.4329933246679571E-3</v>
      </c>
      <c r="E49" s="394"/>
      <c r="F49" s="418">
        <v>15699.25</v>
      </c>
      <c r="G49" s="420">
        <f t="shared" si="1"/>
        <v>2.6530879131657192E-2</v>
      </c>
      <c r="H49" s="397"/>
      <c r="I49" s="397"/>
      <c r="J49" s="397"/>
      <c r="K49" s="394"/>
      <c r="L49" s="396"/>
      <c r="S49" s="393"/>
      <c r="T49" s="394"/>
      <c r="U49" s="394"/>
    </row>
    <row r="50" spans="2:21" x14ac:dyDescent="0.2">
      <c r="B50" s="426">
        <v>44738</v>
      </c>
      <c r="C50" s="394">
        <v>446.89</v>
      </c>
      <c r="D50" s="420">
        <f t="shared" si="0"/>
        <v>-9.0911106676423437E-3</v>
      </c>
      <c r="E50" s="394"/>
      <c r="F50" s="418">
        <v>15752.05</v>
      </c>
      <c r="G50" s="420">
        <f t="shared" si="1"/>
        <v>3.3632179881204483E-3</v>
      </c>
      <c r="H50" s="397"/>
      <c r="I50" s="397"/>
      <c r="J50" s="397"/>
      <c r="K50" s="394"/>
      <c r="L50" s="396"/>
      <c r="S50" s="393"/>
      <c r="T50" s="394"/>
      <c r="U50" s="394"/>
    </row>
    <row r="51" spans="2:21" x14ac:dyDescent="0.2">
      <c r="B51" s="426">
        <v>44745</v>
      </c>
      <c r="C51" s="394">
        <v>468.78</v>
      </c>
      <c r="D51" s="420">
        <f t="shared" si="0"/>
        <v>4.8982971200966618E-2</v>
      </c>
      <c r="E51" s="394"/>
      <c r="F51" s="418">
        <v>16220.6</v>
      </c>
      <c r="G51" s="420">
        <f t="shared" si="1"/>
        <v>2.9745334734209372E-2</v>
      </c>
      <c r="H51" s="397"/>
      <c r="I51" s="397"/>
      <c r="J51" s="397"/>
      <c r="K51" s="394"/>
      <c r="L51" s="396"/>
      <c r="S51" s="393"/>
      <c r="T51" s="394"/>
      <c r="U51" s="394"/>
    </row>
    <row r="52" spans="2:21" x14ac:dyDescent="0.2">
      <c r="B52" s="426">
        <v>44752</v>
      </c>
      <c r="C52" s="394">
        <v>484.58</v>
      </c>
      <c r="D52" s="420">
        <f t="shared" si="0"/>
        <v>3.370450957805371E-2</v>
      </c>
      <c r="E52" s="394"/>
      <c r="F52" s="418">
        <v>16049.2</v>
      </c>
      <c r="G52" s="420">
        <f t="shared" si="1"/>
        <v>-1.0566810105668067E-2</v>
      </c>
      <c r="H52" s="397"/>
      <c r="I52" s="397"/>
      <c r="J52" s="397"/>
      <c r="K52" s="394"/>
      <c r="L52" s="396"/>
      <c r="S52" s="393"/>
      <c r="T52" s="394"/>
      <c r="U52" s="394"/>
    </row>
    <row r="53" spans="2:21" x14ac:dyDescent="0.2">
      <c r="B53" s="426">
        <v>44759</v>
      </c>
      <c r="C53" s="394">
        <v>490.57</v>
      </c>
      <c r="D53" s="420">
        <f t="shared" si="0"/>
        <v>1.2361220025589148E-2</v>
      </c>
      <c r="E53" s="394"/>
      <c r="F53" s="418">
        <v>16719.45</v>
      </c>
      <c r="G53" s="420">
        <f t="shared" si="1"/>
        <v>4.1762206215886222E-2</v>
      </c>
      <c r="H53" s="397"/>
      <c r="I53" s="397"/>
      <c r="J53" s="397"/>
      <c r="K53" s="394"/>
      <c r="L53" s="396"/>
      <c r="S53" s="393"/>
      <c r="T53" s="394"/>
      <c r="U53" s="394"/>
    </row>
    <row r="54" spans="2:21" x14ac:dyDescent="0.2">
      <c r="B54" s="426">
        <v>44766</v>
      </c>
      <c r="C54" s="394">
        <v>511.58</v>
      </c>
      <c r="D54" s="420">
        <f t="shared" si="0"/>
        <v>4.2827731006787939E-2</v>
      </c>
      <c r="E54" s="394"/>
      <c r="F54" s="418">
        <v>17158.25</v>
      </c>
      <c r="G54" s="420">
        <f t="shared" si="1"/>
        <v>2.6244882457257868E-2</v>
      </c>
      <c r="H54" s="397"/>
      <c r="I54" s="397"/>
      <c r="J54" s="397"/>
      <c r="K54" s="394"/>
      <c r="L54" s="396"/>
      <c r="S54" s="393"/>
      <c r="T54" s="394"/>
      <c r="U54" s="394"/>
    </row>
    <row r="55" spans="2:21" x14ac:dyDescent="0.2">
      <c r="B55" s="426">
        <v>44773</v>
      </c>
      <c r="C55" s="394">
        <v>527.28</v>
      </c>
      <c r="D55" s="420">
        <f t="shared" si="0"/>
        <v>3.068923726494388E-2</v>
      </c>
      <c r="E55" s="394"/>
      <c r="F55" s="418">
        <v>17397.5</v>
      </c>
      <c r="G55" s="420">
        <f t="shared" si="1"/>
        <v>1.3943729692713402E-2</v>
      </c>
      <c r="H55" s="397"/>
      <c r="I55" s="397"/>
      <c r="J55" s="397"/>
      <c r="K55" s="394"/>
      <c r="L55" s="396"/>
      <c r="S55" s="393"/>
      <c r="T55" s="394"/>
      <c r="U55" s="394"/>
    </row>
    <row r="56" spans="2:21" x14ac:dyDescent="0.2">
      <c r="B56" s="426">
        <v>44780</v>
      </c>
      <c r="C56" s="394">
        <v>564.66</v>
      </c>
      <c r="D56" s="420">
        <f t="shared" si="0"/>
        <v>7.0892125625853453E-2</v>
      </c>
      <c r="E56" s="394"/>
      <c r="F56" s="418">
        <v>17698.150000000001</v>
      </c>
      <c r="G56" s="420">
        <f t="shared" si="1"/>
        <v>1.7281218565885936E-2</v>
      </c>
      <c r="H56" s="397"/>
      <c r="I56" s="397"/>
      <c r="J56" s="397"/>
      <c r="K56" s="394"/>
      <c r="L56" s="396"/>
      <c r="S56" s="393"/>
      <c r="T56" s="394"/>
      <c r="U56" s="394"/>
    </row>
    <row r="57" spans="2:21" x14ac:dyDescent="0.2">
      <c r="B57" s="426">
        <v>44787</v>
      </c>
      <c r="C57" s="394">
        <v>571.67999999999995</v>
      </c>
      <c r="D57" s="420">
        <f t="shared" si="0"/>
        <v>1.2432260121134853E-2</v>
      </c>
      <c r="E57" s="394"/>
      <c r="F57" s="418">
        <v>17758.45</v>
      </c>
      <c r="G57" s="420">
        <f t="shared" si="1"/>
        <v>3.4071357740781405E-3</v>
      </c>
      <c r="H57" s="397"/>
      <c r="I57" s="397"/>
      <c r="J57" s="397"/>
      <c r="K57" s="394"/>
      <c r="L57" s="396"/>
      <c r="S57" s="393"/>
      <c r="T57" s="394"/>
      <c r="U57" s="394"/>
    </row>
    <row r="58" spans="2:21" x14ac:dyDescent="0.2">
      <c r="B58" s="426">
        <v>44794</v>
      </c>
      <c r="C58" s="394">
        <v>561.88</v>
      </c>
      <c r="D58" s="420">
        <f t="shared" si="0"/>
        <v>-1.7142457318779614E-2</v>
      </c>
      <c r="E58" s="394"/>
      <c r="F58" s="418">
        <v>17558.900000000001</v>
      </c>
      <c r="G58" s="420">
        <f t="shared" si="1"/>
        <v>-1.1236904121699753E-2</v>
      </c>
      <c r="H58" s="397"/>
      <c r="I58" s="397"/>
      <c r="J58" s="397"/>
      <c r="K58" s="394"/>
      <c r="L58" s="396"/>
      <c r="S58" s="393"/>
      <c r="T58" s="394"/>
      <c r="U58" s="394"/>
    </row>
    <row r="59" spans="2:21" x14ac:dyDescent="0.2">
      <c r="B59" s="426">
        <v>44801</v>
      </c>
      <c r="C59" s="394">
        <v>562.91</v>
      </c>
      <c r="D59" s="420">
        <f t="shared" si="0"/>
        <v>1.833131629529472E-3</v>
      </c>
      <c r="E59" s="394"/>
      <c r="F59" s="418">
        <v>17539.45</v>
      </c>
      <c r="G59" s="420">
        <f t="shared" si="1"/>
        <v>-1.1077003684741848E-3</v>
      </c>
      <c r="H59" s="397"/>
      <c r="I59" s="397"/>
      <c r="J59" s="397"/>
      <c r="K59" s="394"/>
      <c r="L59" s="396"/>
      <c r="S59" s="393"/>
      <c r="T59" s="394"/>
      <c r="U59" s="394"/>
    </row>
    <row r="60" spans="2:21" x14ac:dyDescent="0.2">
      <c r="B60" s="426">
        <v>44808</v>
      </c>
      <c r="C60" s="394">
        <v>551.5</v>
      </c>
      <c r="D60" s="420">
        <f t="shared" si="0"/>
        <v>-2.0269670107121884E-2</v>
      </c>
      <c r="E60" s="394"/>
      <c r="F60" s="418">
        <v>17833.349999999999</v>
      </c>
      <c r="G60" s="420">
        <f t="shared" si="1"/>
        <v>1.6756511749228098E-2</v>
      </c>
      <c r="H60" s="397"/>
      <c r="I60" s="397"/>
      <c r="J60" s="397"/>
      <c r="K60" s="394"/>
      <c r="L60" s="396"/>
      <c r="S60" s="393"/>
      <c r="T60" s="394"/>
      <c r="U60" s="394"/>
    </row>
    <row r="61" spans="2:21" x14ac:dyDescent="0.2">
      <c r="B61" s="426">
        <v>44815</v>
      </c>
      <c r="C61" s="394">
        <v>527.03</v>
      </c>
      <c r="D61" s="420">
        <f t="shared" si="0"/>
        <v>-4.4369900271985507E-2</v>
      </c>
      <c r="E61" s="394"/>
      <c r="F61" s="418">
        <v>17530.849999999999</v>
      </c>
      <c r="G61" s="420">
        <f t="shared" si="1"/>
        <v>-1.6962600969531838E-2</v>
      </c>
      <c r="H61" s="397"/>
      <c r="I61" s="397"/>
      <c r="J61" s="397"/>
      <c r="K61" s="394"/>
      <c r="L61" s="396"/>
      <c r="S61" s="393"/>
      <c r="T61" s="394"/>
      <c r="U61" s="394"/>
    </row>
    <row r="62" spans="2:21" x14ac:dyDescent="0.2">
      <c r="B62" s="426">
        <v>44822</v>
      </c>
      <c r="C62" s="394">
        <v>508.65</v>
      </c>
      <c r="D62" s="420">
        <f t="shared" si="0"/>
        <v>-3.4874675065935556E-2</v>
      </c>
      <c r="E62" s="394"/>
      <c r="F62" s="418">
        <v>17327.349999999999</v>
      </c>
      <c r="G62" s="420">
        <f t="shared" si="1"/>
        <v>-1.1608107992481798E-2</v>
      </c>
      <c r="H62" s="397"/>
      <c r="I62" s="397"/>
      <c r="J62" s="397"/>
      <c r="K62" s="394"/>
      <c r="L62" s="396"/>
      <c r="S62" s="393"/>
      <c r="T62" s="394"/>
      <c r="U62" s="394"/>
    </row>
    <row r="63" spans="2:21" x14ac:dyDescent="0.2">
      <c r="B63" s="426">
        <v>44829</v>
      </c>
      <c r="C63" s="394">
        <v>474.68</v>
      </c>
      <c r="D63" s="420">
        <f t="shared" si="0"/>
        <v>-6.6784625970706668E-2</v>
      </c>
      <c r="E63" s="394"/>
      <c r="F63" s="418">
        <v>17094.349999999999</v>
      </c>
      <c r="G63" s="420">
        <f t="shared" si="1"/>
        <v>-1.3446949475828696E-2</v>
      </c>
      <c r="H63" s="397"/>
      <c r="I63" s="397"/>
      <c r="J63" s="397"/>
      <c r="K63" s="394"/>
      <c r="L63" s="396"/>
      <c r="S63" s="393"/>
      <c r="T63" s="394"/>
      <c r="U63" s="394"/>
    </row>
    <row r="64" spans="2:21" x14ac:dyDescent="0.2">
      <c r="B64" s="426">
        <v>44836</v>
      </c>
      <c r="C64" s="394">
        <v>478.53</v>
      </c>
      <c r="D64" s="420">
        <f t="shared" si="0"/>
        <v>8.1107272267633146E-3</v>
      </c>
      <c r="E64" s="394"/>
      <c r="F64" s="418">
        <v>17314.650000000001</v>
      </c>
      <c r="G64" s="420">
        <f t="shared" si="1"/>
        <v>1.2887299019851861E-2</v>
      </c>
      <c r="H64" s="397"/>
      <c r="I64" s="397"/>
      <c r="J64" s="397"/>
      <c r="K64" s="394"/>
      <c r="L64" s="396"/>
      <c r="S64" s="393"/>
      <c r="T64" s="394"/>
      <c r="U64" s="394"/>
    </row>
    <row r="65" spans="2:21" x14ac:dyDescent="0.2">
      <c r="B65" s="426">
        <v>44843</v>
      </c>
      <c r="C65" s="394">
        <v>466</v>
      </c>
      <c r="D65" s="420">
        <f t="shared" si="0"/>
        <v>-2.6184356257705876E-2</v>
      </c>
      <c r="E65" s="394"/>
      <c r="F65" s="418">
        <v>17185.7</v>
      </c>
      <c r="G65" s="420">
        <f t="shared" si="1"/>
        <v>-7.4474505693156168E-3</v>
      </c>
      <c r="H65" s="397"/>
      <c r="I65" s="397"/>
      <c r="J65" s="397"/>
      <c r="K65" s="394"/>
      <c r="L65" s="396"/>
      <c r="S65" s="393"/>
      <c r="T65" s="394"/>
      <c r="U65" s="394"/>
    </row>
    <row r="66" spans="2:21" x14ac:dyDescent="0.2">
      <c r="B66" s="426">
        <v>44850</v>
      </c>
      <c r="C66" s="394">
        <v>472.24</v>
      </c>
      <c r="D66" s="420">
        <f t="shared" si="0"/>
        <v>1.3390557939914283E-2</v>
      </c>
      <c r="E66" s="394"/>
      <c r="F66" s="418">
        <v>17576.3</v>
      </c>
      <c r="G66" s="420">
        <f t="shared" si="1"/>
        <v>2.2728198444055048E-2</v>
      </c>
      <c r="H66" s="397"/>
      <c r="I66" s="397"/>
      <c r="J66" s="397"/>
      <c r="K66" s="394"/>
      <c r="L66" s="396"/>
      <c r="S66" s="393"/>
      <c r="T66" s="394"/>
      <c r="U66" s="394"/>
    </row>
    <row r="67" spans="2:21" x14ac:dyDescent="0.2">
      <c r="B67" s="426">
        <v>44857</v>
      </c>
      <c r="C67" s="394">
        <v>487.16</v>
      </c>
      <c r="D67" s="420">
        <f t="shared" si="0"/>
        <v>3.1594104692529212E-2</v>
      </c>
      <c r="E67" s="394"/>
      <c r="F67" s="418">
        <v>17786.8</v>
      </c>
      <c r="G67" s="420">
        <f t="shared" si="1"/>
        <v>1.1976354522851729E-2</v>
      </c>
      <c r="H67" s="397"/>
      <c r="I67" s="397"/>
      <c r="J67" s="397"/>
      <c r="K67" s="394"/>
      <c r="L67" s="396"/>
      <c r="S67" s="393"/>
      <c r="T67" s="394"/>
      <c r="U67" s="394"/>
    </row>
    <row r="68" spans="2:21" x14ac:dyDescent="0.2">
      <c r="B68" s="426">
        <v>44864</v>
      </c>
      <c r="C68" s="394">
        <v>497.93</v>
      </c>
      <c r="D68" s="420">
        <f t="shared" si="0"/>
        <v>2.2107726414319684E-2</v>
      </c>
      <c r="E68" s="394"/>
      <c r="F68" s="418">
        <v>18117.150000000001</v>
      </c>
      <c r="G68" s="420">
        <f t="shared" si="1"/>
        <v>1.8572761823374861E-2</v>
      </c>
      <c r="H68" s="397"/>
      <c r="I68" s="397"/>
      <c r="J68" s="397"/>
      <c r="K68" s="394"/>
      <c r="L68" s="396"/>
      <c r="S68" s="393"/>
      <c r="T68" s="394"/>
      <c r="U68" s="394"/>
    </row>
    <row r="69" spans="2:21" x14ac:dyDescent="0.2">
      <c r="B69" s="426">
        <v>44871</v>
      </c>
      <c r="C69" s="394">
        <v>496.23</v>
      </c>
      <c r="D69" s="420">
        <f t="shared" si="0"/>
        <v>-3.4141345168999804E-3</v>
      </c>
      <c r="E69" s="394"/>
      <c r="F69" s="418">
        <v>18349.7</v>
      </c>
      <c r="G69" s="420">
        <f t="shared" si="1"/>
        <v>1.2835904101914375E-2</v>
      </c>
      <c r="H69" s="397"/>
      <c r="I69" s="397"/>
      <c r="J69" s="397"/>
      <c r="K69" s="394"/>
      <c r="L69" s="396"/>
      <c r="S69" s="393"/>
      <c r="T69" s="394"/>
      <c r="U69" s="394"/>
    </row>
    <row r="70" spans="2:21" x14ac:dyDescent="0.2">
      <c r="B70" s="426">
        <v>44878</v>
      </c>
      <c r="C70" s="394">
        <v>499.25</v>
      </c>
      <c r="D70" s="420">
        <f t="shared" si="0"/>
        <v>6.0858875924469924E-3</v>
      </c>
      <c r="E70" s="394"/>
      <c r="F70" s="418">
        <v>18307.650000000001</v>
      </c>
      <c r="G70" s="420">
        <f t="shared" si="1"/>
        <v>-2.2915905982113793E-3</v>
      </c>
      <c r="H70" s="397"/>
      <c r="I70" s="397"/>
      <c r="J70" s="397"/>
      <c r="K70" s="394"/>
      <c r="L70" s="396"/>
      <c r="S70" s="393"/>
      <c r="T70" s="394"/>
      <c r="U70" s="394"/>
    </row>
    <row r="71" spans="2:21" x14ac:dyDescent="0.2">
      <c r="B71" s="426">
        <v>44885</v>
      </c>
      <c r="C71" s="394">
        <v>532.78</v>
      </c>
      <c r="D71" s="420">
        <f t="shared" si="0"/>
        <v>6.7160741111667477E-2</v>
      </c>
      <c r="E71" s="394"/>
      <c r="F71" s="418">
        <v>18512.75</v>
      </c>
      <c r="G71" s="420">
        <f t="shared" si="1"/>
        <v>1.1202967065680136E-2</v>
      </c>
      <c r="H71" s="397"/>
      <c r="I71" s="397"/>
      <c r="J71" s="397"/>
      <c r="K71" s="394"/>
      <c r="L71" s="396"/>
      <c r="S71" s="393"/>
      <c r="T71" s="394"/>
      <c r="U71" s="394"/>
    </row>
    <row r="72" spans="2:21" x14ac:dyDescent="0.2">
      <c r="B72" s="426">
        <v>44892</v>
      </c>
      <c r="C72" s="394">
        <v>535.9</v>
      </c>
      <c r="D72" s="420">
        <f t="shared" si="0"/>
        <v>5.8560756785164259E-3</v>
      </c>
      <c r="E72" s="394"/>
      <c r="F72" s="418">
        <v>18696.099999999999</v>
      </c>
      <c r="G72" s="420">
        <f t="shared" si="1"/>
        <v>9.9039850913558158E-3</v>
      </c>
      <c r="H72" s="397"/>
      <c r="I72" s="397"/>
      <c r="J72" s="397"/>
      <c r="K72" s="394"/>
      <c r="L72" s="396"/>
      <c r="S72" s="393"/>
      <c r="T72" s="394"/>
      <c r="U72" s="394"/>
    </row>
    <row r="73" spans="2:21" x14ac:dyDescent="0.2">
      <c r="B73" s="426">
        <v>44899</v>
      </c>
      <c r="C73" s="394">
        <v>515.38</v>
      </c>
      <c r="D73" s="420">
        <f t="shared" si="0"/>
        <v>-3.8290725881694354E-2</v>
      </c>
      <c r="E73" s="394"/>
      <c r="F73" s="418">
        <v>18496.599999999999</v>
      </c>
      <c r="G73" s="420">
        <f t="shared" si="1"/>
        <v>-1.0670674632677457E-2</v>
      </c>
      <c r="H73" s="397"/>
      <c r="I73" s="397"/>
      <c r="J73" s="397"/>
      <c r="K73" s="394"/>
      <c r="L73" s="396"/>
      <c r="S73" s="393"/>
      <c r="T73" s="394"/>
      <c r="U73" s="394"/>
    </row>
    <row r="74" spans="2:21" x14ac:dyDescent="0.2">
      <c r="B74" s="426">
        <v>44906</v>
      </c>
      <c r="C74" s="394">
        <v>500.71</v>
      </c>
      <c r="D74" s="420">
        <f t="shared" si="0"/>
        <v>-2.8464434009856876E-2</v>
      </c>
      <c r="E74" s="394"/>
      <c r="F74" s="418">
        <v>18269</v>
      </c>
      <c r="G74" s="420">
        <f t="shared" si="1"/>
        <v>-1.2304964155574472E-2</v>
      </c>
      <c r="H74" s="397"/>
      <c r="I74" s="397"/>
      <c r="J74" s="397"/>
      <c r="K74" s="394"/>
      <c r="L74" s="396"/>
      <c r="S74" s="393"/>
      <c r="T74" s="394"/>
      <c r="U74" s="394"/>
    </row>
    <row r="75" spans="2:21" x14ac:dyDescent="0.2">
      <c r="B75" s="426">
        <v>44913</v>
      </c>
      <c r="C75" s="394">
        <v>465.42</v>
      </c>
      <c r="D75" s="420">
        <f t="shared" ref="D75:D138" si="2">C75/C74-1</f>
        <v>-7.0479918515707674E-2</v>
      </c>
      <c r="E75" s="394"/>
      <c r="F75" s="418">
        <v>17806.8</v>
      </c>
      <c r="G75" s="420">
        <f t="shared" si="1"/>
        <v>-2.5299687996058973E-2</v>
      </c>
      <c r="H75" s="397"/>
      <c r="I75" s="397"/>
      <c r="J75" s="397"/>
      <c r="K75" s="394"/>
      <c r="L75" s="396"/>
      <c r="S75" s="393"/>
      <c r="T75" s="394"/>
      <c r="U75" s="394"/>
    </row>
    <row r="76" spans="2:21" x14ac:dyDescent="0.2">
      <c r="B76" s="426">
        <v>44920</v>
      </c>
      <c r="C76" s="394">
        <v>479.99</v>
      </c>
      <c r="D76" s="420">
        <f t="shared" si="2"/>
        <v>3.1305057797258451E-2</v>
      </c>
      <c r="E76" s="394"/>
      <c r="F76" s="418">
        <v>18105.3</v>
      </c>
      <c r="G76" s="420">
        <f t="shared" ref="G76:G139" si="3">F76/F75-1</f>
        <v>1.6763258979715534E-2</v>
      </c>
      <c r="H76" s="397"/>
      <c r="I76" s="397"/>
      <c r="J76" s="397"/>
      <c r="K76" s="394"/>
      <c r="L76" s="396"/>
      <c r="S76" s="393"/>
      <c r="T76" s="394"/>
      <c r="U76" s="394"/>
    </row>
    <row r="77" spans="2:21" x14ac:dyDescent="0.2">
      <c r="B77" s="426">
        <v>44927</v>
      </c>
      <c r="C77" s="394">
        <v>468.88</v>
      </c>
      <c r="D77" s="420">
        <f t="shared" si="2"/>
        <v>-2.3146315548240648E-2</v>
      </c>
      <c r="E77" s="394"/>
      <c r="F77" s="418">
        <v>17859.45</v>
      </c>
      <c r="G77" s="420">
        <f t="shared" si="3"/>
        <v>-1.3578896787128536E-2</v>
      </c>
      <c r="H77" s="397"/>
      <c r="I77" s="397"/>
      <c r="J77" s="397"/>
      <c r="K77" s="394"/>
      <c r="L77" s="396"/>
      <c r="S77" s="393"/>
      <c r="T77" s="394"/>
      <c r="U77" s="394"/>
    </row>
    <row r="78" spans="2:21" x14ac:dyDescent="0.2">
      <c r="B78" s="426">
        <v>44934</v>
      </c>
      <c r="C78" s="394">
        <v>468.93</v>
      </c>
      <c r="D78" s="420">
        <f t="shared" si="2"/>
        <v>1.0663709264635557E-4</v>
      </c>
      <c r="E78" s="394"/>
      <c r="F78" s="418">
        <v>17956.599999999999</v>
      </c>
      <c r="G78" s="420">
        <f t="shared" si="3"/>
        <v>5.4396971911228054E-3</v>
      </c>
      <c r="H78" s="397"/>
      <c r="I78" s="397"/>
      <c r="J78" s="397"/>
      <c r="K78" s="394"/>
      <c r="L78" s="396"/>
      <c r="S78" s="393"/>
      <c r="T78" s="394"/>
      <c r="U78" s="394"/>
    </row>
    <row r="79" spans="2:21" x14ac:dyDescent="0.2">
      <c r="B79" s="426">
        <v>44941</v>
      </c>
      <c r="C79" s="394">
        <v>448.45</v>
      </c>
      <c r="D79" s="420">
        <f t="shared" si="2"/>
        <v>-4.3673895890644743E-2</v>
      </c>
      <c r="E79" s="394"/>
      <c r="F79" s="418">
        <v>18027.650000000001</v>
      </c>
      <c r="G79" s="420">
        <f t="shared" si="3"/>
        <v>3.9567624160476988E-3</v>
      </c>
      <c r="H79" s="397"/>
      <c r="I79" s="397"/>
      <c r="J79" s="397"/>
      <c r="K79" s="394"/>
      <c r="L79" s="396"/>
      <c r="S79" s="393"/>
      <c r="T79" s="394"/>
      <c r="U79" s="394"/>
    </row>
    <row r="80" spans="2:21" x14ac:dyDescent="0.2">
      <c r="B80" s="426">
        <v>44948</v>
      </c>
      <c r="C80" s="394">
        <v>428.86</v>
      </c>
      <c r="D80" s="420">
        <f t="shared" si="2"/>
        <v>-4.3683799754710595E-2</v>
      </c>
      <c r="E80" s="394"/>
      <c r="F80" s="418">
        <v>17604.349999999999</v>
      </c>
      <c r="G80" s="420">
        <f t="shared" si="3"/>
        <v>-2.3480597859399488E-2</v>
      </c>
      <c r="H80" s="397"/>
      <c r="I80" s="397"/>
      <c r="J80" s="397"/>
      <c r="K80" s="394"/>
      <c r="L80" s="396"/>
      <c r="S80" s="393"/>
      <c r="T80" s="394"/>
      <c r="U80" s="394"/>
    </row>
    <row r="81" spans="2:21" x14ac:dyDescent="0.2">
      <c r="B81" s="426">
        <v>44955</v>
      </c>
      <c r="C81" s="394">
        <v>432.13</v>
      </c>
      <c r="D81" s="420">
        <f t="shared" si="2"/>
        <v>7.6248659236113348E-3</v>
      </c>
      <c r="E81" s="394"/>
      <c r="F81" s="418">
        <v>17854.05</v>
      </c>
      <c r="G81" s="420">
        <f t="shared" si="3"/>
        <v>1.4183994296864233E-2</v>
      </c>
      <c r="H81" s="397"/>
      <c r="I81" s="397"/>
      <c r="J81" s="397"/>
      <c r="K81" s="394"/>
      <c r="L81" s="396"/>
      <c r="S81" s="393"/>
      <c r="T81" s="394"/>
      <c r="U81" s="394"/>
    </row>
    <row r="82" spans="2:21" x14ac:dyDescent="0.2">
      <c r="B82" s="426">
        <v>44962</v>
      </c>
      <c r="C82" s="394">
        <v>441.87</v>
      </c>
      <c r="D82" s="420">
        <f t="shared" si="2"/>
        <v>2.2539513572304548E-2</v>
      </c>
      <c r="E82" s="394"/>
      <c r="F82" s="418">
        <v>17856.5</v>
      </c>
      <c r="G82" s="420">
        <f t="shared" si="3"/>
        <v>1.372237671564136E-4</v>
      </c>
      <c r="H82" s="397"/>
      <c r="I82" s="397"/>
      <c r="J82" s="397"/>
      <c r="K82" s="394"/>
      <c r="L82" s="396"/>
      <c r="S82" s="393"/>
      <c r="T82" s="394"/>
      <c r="U82" s="394"/>
    </row>
    <row r="83" spans="2:21" x14ac:dyDescent="0.2">
      <c r="B83" s="426">
        <v>44969</v>
      </c>
      <c r="C83" s="394">
        <v>494.03</v>
      </c>
      <c r="D83" s="420">
        <f t="shared" si="2"/>
        <v>0.11804376852920528</v>
      </c>
      <c r="E83" s="394"/>
      <c r="F83" s="418">
        <v>17944.2</v>
      </c>
      <c r="G83" s="420">
        <f t="shared" si="3"/>
        <v>4.9113768095652155E-3</v>
      </c>
      <c r="H83" s="397"/>
      <c r="I83" s="397"/>
      <c r="J83" s="397"/>
      <c r="K83" s="394"/>
      <c r="L83" s="396"/>
      <c r="S83" s="393"/>
      <c r="T83" s="394"/>
      <c r="U83" s="394"/>
    </row>
    <row r="84" spans="2:21" x14ac:dyDescent="0.2">
      <c r="B84" s="426">
        <v>44976</v>
      </c>
      <c r="C84" s="394">
        <v>496.7</v>
      </c>
      <c r="D84" s="420">
        <f t="shared" si="2"/>
        <v>5.4045300892657799E-3</v>
      </c>
      <c r="E84" s="394"/>
      <c r="F84" s="418">
        <v>17465.8</v>
      </c>
      <c r="G84" s="420">
        <f t="shared" si="3"/>
        <v>-2.6660425095574092E-2</v>
      </c>
      <c r="H84" s="397"/>
      <c r="I84" s="397"/>
      <c r="J84" s="397"/>
      <c r="K84" s="394"/>
      <c r="L84" s="396"/>
      <c r="S84" s="393"/>
      <c r="T84" s="394"/>
      <c r="U84" s="394"/>
    </row>
    <row r="85" spans="2:21" x14ac:dyDescent="0.2">
      <c r="B85" s="426">
        <v>44983</v>
      </c>
      <c r="C85" s="394">
        <v>510.75</v>
      </c>
      <c r="D85" s="420">
        <f t="shared" si="2"/>
        <v>2.8286692168310923E-2</v>
      </c>
      <c r="E85" s="394"/>
      <c r="F85" s="418">
        <v>17594.349999999999</v>
      </c>
      <c r="G85" s="420">
        <f t="shared" si="3"/>
        <v>7.360098020130712E-3</v>
      </c>
      <c r="H85" s="397"/>
      <c r="I85" s="397"/>
      <c r="J85" s="397"/>
      <c r="K85" s="394"/>
      <c r="L85" s="396"/>
      <c r="S85" s="393"/>
      <c r="T85" s="394"/>
      <c r="U85" s="394"/>
    </row>
    <row r="86" spans="2:21" x14ac:dyDescent="0.2">
      <c r="B86" s="426">
        <v>44990</v>
      </c>
      <c r="C86" s="394">
        <v>535.9</v>
      </c>
      <c r="D86" s="420">
        <f t="shared" si="2"/>
        <v>4.9241311796377918E-2</v>
      </c>
      <c r="E86" s="394"/>
      <c r="F86" s="418">
        <v>17412.900000000001</v>
      </c>
      <c r="G86" s="420">
        <f t="shared" si="3"/>
        <v>-1.0312969788596749E-2</v>
      </c>
      <c r="H86" s="397"/>
      <c r="I86" s="397"/>
      <c r="J86" s="397"/>
      <c r="K86" s="394"/>
      <c r="L86" s="396"/>
      <c r="S86" s="393"/>
      <c r="T86" s="394"/>
      <c r="U86" s="394"/>
    </row>
    <row r="87" spans="2:21" x14ac:dyDescent="0.2">
      <c r="B87" s="426">
        <v>44997</v>
      </c>
      <c r="C87" s="394">
        <v>535.35</v>
      </c>
      <c r="D87" s="420">
        <f t="shared" si="2"/>
        <v>-1.0263108788952646E-3</v>
      </c>
      <c r="E87" s="394"/>
      <c r="F87" s="418">
        <v>17100.05</v>
      </c>
      <c r="G87" s="420">
        <f t="shared" si="3"/>
        <v>-1.796656501788918E-2</v>
      </c>
      <c r="H87" s="397"/>
      <c r="I87" s="397"/>
      <c r="J87" s="397"/>
      <c r="K87" s="394"/>
      <c r="L87" s="396"/>
      <c r="S87" s="393"/>
      <c r="T87" s="394"/>
      <c r="U87" s="394"/>
    </row>
    <row r="88" spans="2:21" x14ac:dyDescent="0.2">
      <c r="B88" s="426">
        <v>45004</v>
      </c>
      <c r="C88" s="394">
        <v>502.9</v>
      </c>
      <c r="D88" s="420">
        <f t="shared" si="2"/>
        <v>-6.0614551228168612E-2</v>
      </c>
      <c r="E88" s="394"/>
      <c r="F88" s="418">
        <v>16945.05</v>
      </c>
      <c r="G88" s="420">
        <f t="shared" si="3"/>
        <v>-9.0643009815760678E-3</v>
      </c>
      <c r="H88" s="397"/>
      <c r="I88" s="397"/>
      <c r="J88" s="397"/>
      <c r="K88" s="394"/>
      <c r="L88" s="396"/>
      <c r="S88" s="393"/>
      <c r="T88" s="394"/>
      <c r="U88" s="394"/>
    </row>
    <row r="89" spans="2:21" x14ac:dyDescent="0.2">
      <c r="B89" s="426">
        <v>45011</v>
      </c>
      <c r="C89" s="394">
        <v>510.4</v>
      </c>
      <c r="D89" s="420">
        <f t="shared" si="2"/>
        <v>1.4913501690196895E-2</v>
      </c>
      <c r="E89" s="394"/>
      <c r="F89" s="418">
        <v>17359.75</v>
      </c>
      <c r="G89" s="420">
        <f t="shared" si="3"/>
        <v>2.4473223743807226E-2</v>
      </c>
      <c r="H89" s="397"/>
      <c r="I89" s="397"/>
      <c r="J89" s="397"/>
      <c r="K89" s="394"/>
      <c r="L89" s="396"/>
      <c r="S89" s="393"/>
      <c r="T89" s="394"/>
      <c r="U89" s="394"/>
    </row>
    <row r="90" spans="2:21" x14ac:dyDescent="0.2">
      <c r="B90" s="426">
        <v>45018</v>
      </c>
      <c r="C90" s="394">
        <v>521.35</v>
      </c>
      <c r="D90" s="420">
        <f t="shared" si="2"/>
        <v>2.1453761755485967E-2</v>
      </c>
      <c r="E90" s="394"/>
      <c r="F90" s="418">
        <v>17599.150000000001</v>
      </c>
      <c r="G90" s="420">
        <f t="shared" si="3"/>
        <v>1.3790521176860304E-2</v>
      </c>
      <c r="H90" s="397"/>
      <c r="I90" s="397"/>
      <c r="J90" s="397"/>
      <c r="K90" s="394"/>
      <c r="L90" s="396"/>
      <c r="S90" s="393"/>
      <c r="T90" s="394"/>
      <c r="U90" s="394"/>
    </row>
    <row r="91" spans="2:21" x14ac:dyDescent="0.2">
      <c r="B91" s="426">
        <v>45025</v>
      </c>
      <c r="C91" s="394">
        <v>539</v>
      </c>
      <c r="D91" s="420">
        <f t="shared" si="2"/>
        <v>3.3854416418912292E-2</v>
      </c>
      <c r="E91" s="394"/>
      <c r="F91" s="418">
        <v>17828</v>
      </c>
      <c r="G91" s="420">
        <f t="shared" si="3"/>
        <v>1.3003468917532901E-2</v>
      </c>
      <c r="H91" s="397"/>
      <c r="I91" s="397"/>
      <c r="J91" s="397"/>
      <c r="K91" s="394"/>
      <c r="L91" s="396"/>
      <c r="S91" s="393"/>
      <c r="T91" s="394"/>
      <c r="U91" s="394"/>
    </row>
    <row r="92" spans="2:21" x14ac:dyDescent="0.2">
      <c r="B92" s="426">
        <v>45032</v>
      </c>
      <c r="C92" s="394">
        <v>540.79999999999995</v>
      </c>
      <c r="D92" s="420">
        <f t="shared" si="2"/>
        <v>3.3395176252317693E-3</v>
      </c>
      <c r="E92" s="394"/>
      <c r="F92" s="418">
        <v>17624.05</v>
      </c>
      <c r="G92" s="420">
        <f t="shared" si="3"/>
        <v>-1.143986986762402E-2</v>
      </c>
      <c r="H92" s="397"/>
      <c r="I92" s="397"/>
      <c r="J92" s="397"/>
      <c r="K92" s="394"/>
      <c r="L92" s="396"/>
      <c r="S92" s="393"/>
      <c r="T92" s="394"/>
      <c r="U92" s="394"/>
    </row>
    <row r="93" spans="2:21" x14ac:dyDescent="0.2">
      <c r="B93" s="426">
        <v>45039</v>
      </c>
      <c r="C93" s="394">
        <v>551.4</v>
      </c>
      <c r="D93" s="420">
        <f t="shared" si="2"/>
        <v>1.9600591715976279E-2</v>
      </c>
      <c r="E93" s="394"/>
      <c r="F93" s="418">
        <v>18065</v>
      </c>
      <c r="G93" s="420">
        <f t="shared" si="3"/>
        <v>2.5019788300645995E-2</v>
      </c>
      <c r="H93" s="397"/>
      <c r="I93" s="397"/>
      <c r="J93" s="397"/>
      <c r="K93" s="394"/>
      <c r="L93" s="396"/>
      <c r="S93" s="393"/>
      <c r="T93" s="394"/>
      <c r="U93" s="394"/>
    </row>
    <row r="94" spans="2:21" x14ac:dyDescent="0.2">
      <c r="B94" s="426">
        <v>45046</v>
      </c>
      <c r="C94" s="394">
        <v>540.45000000000005</v>
      </c>
      <c r="D94" s="420">
        <f t="shared" si="2"/>
        <v>-1.9858541893362225E-2</v>
      </c>
      <c r="E94" s="394"/>
      <c r="F94" s="418">
        <v>18069</v>
      </c>
      <c r="G94" s="420">
        <f t="shared" si="3"/>
        <v>2.2142264046509652E-4</v>
      </c>
      <c r="H94" s="397"/>
      <c r="I94" s="397"/>
      <c r="J94" s="397"/>
      <c r="K94" s="394"/>
      <c r="L94" s="396"/>
      <c r="S94" s="393"/>
      <c r="T94" s="394"/>
      <c r="U94" s="394"/>
    </row>
    <row r="95" spans="2:21" x14ac:dyDescent="0.2">
      <c r="B95" s="426">
        <v>45053</v>
      </c>
      <c r="C95" s="394">
        <v>535.15</v>
      </c>
      <c r="D95" s="420">
        <f t="shared" si="2"/>
        <v>-9.8066426126377504E-3</v>
      </c>
      <c r="E95" s="394"/>
      <c r="F95" s="418">
        <v>18314.8</v>
      </c>
      <c r="G95" s="420">
        <f t="shared" si="3"/>
        <v>1.3603409153799317E-2</v>
      </c>
      <c r="H95" s="397"/>
      <c r="I95" s="397"/>
      <c r="J95" s="397"/>
      <c r="K95" s="394"/>
      <c r="L95" s="396"/>
      <c r="S95" s="393"/>
      <c r="T95" s="394"/>
      <c r="U95" s="394"/>
    </row>
    <row r="96" spans="2:21" x14ac:dyDescent="0.2">
      <c r="B96" s="426">
        <v>45060</v>
      </c>
      <c r="C96" s="394">
        <v>527.15</v>
      </c>
      <c r="D96" s="420">
        <f t="shared" si="2"/>
        <v>-1.4949079697281098E-2</v>
      </c>
      <c r="E96" s="394"/>
      <c r="F96" s="418">
        <v>18203.400000000001</v>
      </c>
      <c r="G96" s="420">
        <f t="shared" si="3"/>
        <v>-6.0825125035489647E-3</v>
      </c>
      <c r="H96" s="397"/>
      <c r="I96" s="397"/>
      <c r="J96" s="397"/>
      <c r="K96" s="394"/>
      <c r="L96" s="396"/>
      <c r="S96" s="393"/>
      <c r="T96" s="394"/>
      <c r="U96" s="394"/>
    </row>
    <row r="97" spans="2:21" x14ac:dyDescent="0.2">
      <c r="B97" s="426">
        <v>45067</v>
      </c>
      <c r="C97" s="394">
        <v>552.5</v>
      </c>
      <c r="D97" s="420">
        <f t="shared" si="2"/>
        <v>4.8088779284833683E-2</v>
      </c>
      <c r="E97" s="394"/>
      <c r="F97" s="418">
        <v>18499.349999999999</v>
      </c>
      <c r="G97" s="420">
        <f t="shared" si="3"/>
        <v>1.6257951811200044E-2</v>
      </c>
      <c r="H97" s="397"/>
      <c r="I97" s="397"/>
      <c r="J97" s="397"/>
      <c r="K97" s="394"/>
      <c r="L97" s="396"/>
      <c r="S97" s="393"/>
      <c r="T97" s="394"/>
      <c r="U97" s="394"/>
    </row>
    <row r="98" spans="2:21" x14ac:dyDescent="0.2">
      <c r="B98" s="426">
        <v>45074</v>
      </c>
      <c r="C98" s="394">
        <v>563.79999999999995</v>
      </c>
      <c r="D98" s="420">
        <f t="shared" si="2"/>
        <v>2.0452488687782822E-2</v>
      </c>
      <c r="E98" s="394"/>
      <c r="F98" s="418">
        <v>18534.099999999999</v>
      </c>
      <c r="G98" s="420">
        <f t="shared" si="3"/>
        <v>1.8784443777755122E-3</v>
      </c>
      <c r="H98" s="397"/>
      <c r="I98" s="397"/>
      <c r="J98" s="397"/>
      <c r="K98" s="394"/>
      <c r="L98" s="396"/>
      <c r="S98" s="393"/>
      <c r="T98" s="394"/>
      <c r="U98" s="394"/>
    </row>
    <row r="99" spans="2:21" x14ac:dyDescent="0.2">
      <c r="B99" s="426">
        <v>45081</v>
      </c>
      <c r="C99" s="394">
        <v>680.4</v>
      </c>
      <c r="D99" s="420">
        <f t="shared" si="2"/>
        <v>0.2068109258602342</v>
      </c>
      <c r="E99" s="394"/>
      <c r="F99" s="418">
        <v>18563.400000000001</v>
      </c>
      <c r="G99" s="420">
        <f t="shared" si="3"/>
        <v>1.5808698561032841E-3</v>
      </c>
      <c r="H99" s="397"/>
      <c r="I99" s="397"/>
      <c r="J99" s="397"/>
      <c r="K99" s="394"/>
      <c r="L99" s="396"/>
      <c r="S99" s="393"/>
      <c r="T99" s="394"/>
      <c r="U99" s="394"/>
    </row>
    <row r="100" spans="2:21" x14ac:dyDescent="0.2">
      <c r="B100" s="426">
        <v>45088</v>
      </c>
      <c r="C100" s="394">
        <v>671</v>
      </c>
      <c r="D100" s="420">
        <f t="shared" si="2"/>
        <v>-1.3815402704291602E-2</v>
      </c>
      <c r="E100" s="394"/>
      <c r="F100" s="418">
        <v>18826</v>
      </c>
      <c r="G100" s="420">
        <f t="shared" si="3"/>
        <v>1.4146115474535925E-2</v>
      </c>
      <c r="H100" s="397"/>
      <c r="I100" s="397"/>
      <c r="J100" s="397"/>
      <c r="K100" s="394"/>
      <c r="L100" s="396"/>
      <c r="S100" s="393"/>
      <c r="T100" s="394"/>
      <c r="U100" s="394"/>
    </row>
    <row r="101" spans="2:21" x14ac:dyDescent="0.2">
      <c r="B101" s="426">
        <v>45095</v>
      </c>
      <c r="C101" s="394">
        <v>640.75</v>
      </c>
      <c r="D101" s="420">
        <f t="shared" si="2"/>
        <v>-4.5081967213114749E-2</v>
      </c>
      <c r="E101" s="394"/>
      <c r="F101" s="418">
        <v>18665.5</v>
      </c>
      <c r="G101" s="420">
        <f t="shared" si="3"/>
        <v>-8.5254435355359703E-3</v>
      </c>
      <c r="H101" s="397"/>
      <c r="I101" s="397"/>
      <c r="J101" s="397"/>
      <c r="K101" s="394"/>
      <c r="L101" s="396"/>
      <c r="S101" s="393"/>
      <c r="T101" s="394"/>
      <c r="U101" s="394"/>
    </row>
    <row r="102" spans="2:21" x14ac:dyDescent="0.2">
      <c r="B102" s="426">
        <v>45102</v>
      </c>
      <c r="C102" s="394">
        <v>615.25</v>
      </c>
      <c r="D102" s="420">
        <f t="shared" si="2"/>
        <v>-3.9797112758486186E-2</v>
      </c>
      <c r="E102" s="394"/>
      <c r="F102" s="418">
        <v>19189.05</v>
      </c>
      <c r="G102" s="420">
        <f t="shared" si="3"/>
        <v>2.8049074495727355E-2</v>
      </c>
      <c r="H102" s="397"/>
      <c r="I102" s="397"/>
      <c r="J102" s="397"/>
      <c r="K102" s="394"/>
      <c r="L102" s="396"/>
      <c r="S102" s="393"/>
      <c r="T102" s="394"/>
      <c r="U102" s="394"/>
    </row>
    <row r="103" spans="2:21" x14ac:dyDescent="0.2">
      <c r="B103" s="426">
        <v>45109</v>
      </c>
      <c r="C103" s="394">
        <v>633.54999999999995</v>
      </c>
      <c r="D103" s="420">
        <f t="shared" si="2"/>
        <v>2.974400650142206E-2</v>
      </c>
      <c r="E103" s="394"/>
      <c r="F103" s="418">
        <v>19331.8</v>
      </c>
      <c r="G103" s="420">
        <f t="shared" si="3"/>
        <v>7.4391384669902916E-3</v>
      </c>
      <c r="H103" s="397"/>
      <c r="I103" s="397"/>
      <c r="J103" s="397"/>
      <c r="K103" s="394"/>
      <c r="L103" s="396"/>
      <c r="S103" s="393"/>
      <c r="T103" s="394"/>
      <c r="U103" s="394"/>
    </row>
    <row r="104" spans="2:21" x14ac:dyDescent="0.2">
      <c r="B104" s="426">
        <v>45116</v>
      </c>
      <c r="C104" s="394">
        <v>610.45000000000005</v>
      </c>
      <c r="D104" s="420">
        <f t="shared" si="2"/>
        <v>-3.6461210638465635E-2</v>
      </c>
      <c r="E104" s="394"/>
      <c r="F104" s="418">
        <v>19564.5</v>
      </c>
      <c r="G104" s="420">
        <f t="shared" si="3"/>
        <v>1.2037161567986399E-2</v>
      </c>
      <c r="H104" s="397"/>
      <c r="I104" s="397"/>
      <c r="J104" s="397"/>
      <c r="K104" s="394"/>
      <c r="L104" s="396"/>
      <c r="S104" s="393"/>
      <c r="T104" s="394"/>
      <c r="U104" s="394"/>
    </row>
    <row r="105" spans="2:21" x14ac:dyDescent="0.2">
      <c r="B105" s="426">
        <v>45123</v>
      </c>
      <c r="C105" s="394">
        <v>613.20000000000005</v>
      </c>
      <c r="D105" s="420">
        <f t="shared" si="2"/>
        <v>4.504873454009406E-3</v>
      </c>
      <c r="E105" s="394"/>
      <c r="F105" s="418">
        <v>19745</v>
      </c>
      <c r="G105" s="420">
        <f t="shared" si="3"/>
        <v>9.225893838329613E-3</v>
      </c>
      <c r="H105" s="397"/>
      <c r="I105" s="397"/>
      <c r="J105" s="397"/>
      <c r="K105" s="394"/>
      <c r="L105" s="396"/>
      <c r="S105" s="393"/>
      <c r="T105" s="394"/>
      <c r="U105" s="394"/>
    </row>
    <row r="106" spans="2:21" x14ac:dyDescent="0.2">
      <c r="B106" s="426">
        <v>45130</v>
      </c>
      <c r="C106" s="394">
        <v>671.8</v>
      </c>
      <c r="D106" s="420">
        <f t="shared" si="2"/>
        <v>9.5564253098499474E-2</v>
      </c>
      <c r="E106" s="394"/>
      <c r="F106" s="418">
        <v>19646.05</v>
      </c>
      <c r="G106" s="420">
        <f t="shared" si="3"/>
        <v>-5.0113952899468739E-3</v>
      </c>
      <c r="H106" s="397"/>
      <c r="I106" s="397"/>
      <c r="J106" s="397"/>
      <c r="K106" s="394"/>
      <c r="L106" s="396"/>
      <c r="S106" s="393"/>
      <c r="T106" s="394"/>
      <c r="U106" s="394"/>
    </row>
    <row r="107" spans="2:21" x14ac:dyDescent="0.2">
      <c r="B107" s="426">
        <v>45137</v>
      </c>
      <c r="C107" s="394">
        <v>666</v>
      </c>
      <c r="D107" s="420">
        <f t="shared" si="2"/>
        <v>-8.6335218815123405E-3</v>
      </c>
      <c r="E107" s="394"/>
      <c r="F107" s="418">
        <v>19517</v>
      </c>
      <c r="G107" s="420">
        <f t="shared" si="3"/>
        <v>-6.568750461288575E-3</v>
      </c>
      <c r="H107" s="397"/>
      <c r="I107" s="397"/>
      <c r="J107" s="397"/>
      <c r="K107" s="394"/>
      <c r="L107" s="396"/>
      <c r="S107" s="393"/>
      <c r="T107" s="394"/>
      <c r="U107" s="394"/>
    </row>
    <row r="108" spans="2:21" x14ac:dyDescent="0.2">
      <c r="B108" s="426">
        <v>45144</v>
      </c>
      <c r="C108" s="394">
        <v>639.9</v>
      </c>
      <c r="D108" s="420">
        <f t="shared" si="2"/>
        <v>-3.9189189189189233E-2</v>
      </c>
      <c r="E108" s="394"/>
      <c r="F108" s="418">
        <v>19428.3</v>
      </c>
      <c r="G108" s="420">
        <f t="shared" si="3"/>
        <v>-4.5447558538710409E-3</v>
      </c>
      <c r="H108" s="397"/>
      <c r="I108" s="397"/>
      <c r="J108" s="397"/>
      <c r="K108" s="394"/>
      <c r="L108" s="396"/>
      <c r="S108" s="393"/>
      <c r="T108" s="394"/>
      <c r="U108" s="394"/>
    </row>
    <row r="109" spans="2:21" x14ac:dyDescent="0.2">
      <c r="B109" s="426">
        <v>45151</v>
      </c>
      <c r="C109" s="394">
        <v>629.95000000000005</v>
      </c>
      <c r="D109" s="420">
        <f t="shared" si="2"/>
        <v>-1.5549304578840295E-2</v>
      </c>
      <c r="E109" s="394"/>
      <c r="F109" s="418">
        <v>19310.150000000001</v>
      </c>
      <c r="G109" s="420">
        <f t="shared" si="3"/>
        <v>-6.0813349598265454E-3</v>
      </c>
      <c r="H109" s="397"/>
      <c r="I109" s="397"/>
      <c r="J109" s="397"/>
      <c r="K109" s="394"/>
      <c r="L109" s="396"/>
      <c r="S109" s="393"/>
      <c r="T109" s="394"/>
      <c r="U109" s="394"/>
    </row>
    <row r="110" spans="2:21" x14ac:dyDescent="0.2">
      <c r="B110" s="426">
        <v>45158</v>
      </c>
      <c r="C110" s="394">
        <v>666.35</v>
      </c>
      <c r="D110" s="420">
        <f t="shared" si="2"/>
        <v>5.7782363679657056E-2</v>
      </c>
      <c r="E110" s="394"/>
      <c r="F110" s="418">
        <v>19265.8</v>
      </c>
      <c r="G110" s="420">
        <f t="shared" si="3"/>
        <v>-2.2967196008317758E-3</v>
      </c>
      <c r="H110" s="397"/>
      <c r="I110" s="397"/>
      <c r="J110" s="397"/>
      <c r="K110" s="394"/>
      <c r="L110" s="396"/>
      <c r="S110" s="393"/>
      <c r="T110" s="394"/>
      <c r="U110" s="394"/>
    </row>
    <row r="111" spans="2:21" x14ac:dyDescent="0.2">
      <c r="B111" s="426">
        <v>45165</v>
      </c>
      <c r="C111" s="394">
        <v>665.2</v>
      </c>
      <c r="D111" s="420">
        <f t="shared" si="2"/>
        <v>-1.7258197643880147E-3</v>
      </c>
      <c r="E111" s="394"/>
      <c r="F111" s="418">
        <v>19435.3</v>
      </c>
      <c r="G111" s="420">
        <f t="shared" si="3"/>
        <v>8.7979736112697715E-3</v>
      </c>
      <c r="H111" s="397"/>
      <c r="I111" s="397"/>
      <c r="J111" s="397"/>
      <c r="K111" s="394"/>
      <c r="L111" s="396"/>
      <c r="S111" s="393"/>
      <c r="T111" s="394"/>
      <c r="U111" s="394"/>
    </row>
    <row r="112" spans="2:21" x14ac:dyDescent="0.2">
      <c r="B112" s="426">
        <v>45172</v>
      </c>
      <c r="C112" s="394">
        <v>725.45</v>
      </c>
      <c r="D112" s="420">
        <f t="shared" si="2"/>
        <v>9.0574263379434861E-2</v>
      </c>
      <c r="E112" s="394"/>
      <c r="F112" s="418">
        <v>19819.95</v>
      </c>
      <c r="G112" s="420">
        <f t="shared" si="3"/>
        <v>1.9791307569216876E-2</v>
      </c>
      <c r="H112" s="397"/>
      <c r="I112" s="397"/>
      <c r="J112" s="397"/>
      <c r="K112" s="394"/>
      <c r="L112" s="396"/>
      <c r="S112" s="393"/>
      <c r="T112" s="394"/>
      <c r="U112" s="394"/>
    </row>
    <row r="113" spans="2:21" x14ac:dyDescent="0.2">
      <c r="B113" s="426">
        <v>45179</v>
      </c>
      <c r="C113" s="394">
        <v>724.15</v>
      </c>
      <c r="D113" s="420">
        <f t="shared" si="2"/>
        <v>-1.7919911778896402E-3</v>
      </c>
      <c r="E113" s="394"/>
      <c r="F113" s="418">
        <v>20192.349999999999</v>
      </c>
      <c r="G113" s="420">
        <f t="shared" si="3"/>
        <v>1.8789149316723597E-2</v>
      </c>
      <c r="H113" s="397"/>
      <c r="I113" s="397"/>
      <c r="J113" s="397"/>
      <c r="K113" s="394"/>
      <c r="L113" s="396"/>
      <c r="S113" s="393"/>
      <c r="T113" s="394"/>
      <c r="U113" s="394"/>
    </row>
    <row r="114" spans="2:21" x14ac:dyDescent="0.2">
      <c r="B114" s="426">
        <v>45186</v>
      </c>
      <c r="C114" s="394">
        <v>711.05</v>
      </c>
      <c r="D114" s="420">
        <f t="shared" si="2"/>
        <v>-1.8090174687564797E-2</v>
      </c>
      <c r="E114" s="394"/>
      <c r="F114" s="418">
        <v>19674.25</v>
      </c>
      <c r="G114" s="420">
        <f t="shared" si="3"/>
        <v>-2.5658231954180599E-2</v>
      </c>
      <c r="H114" s="397"/>
      <c r="I114" s="397"/>
      <c r="J114" s="397"/>
      <c r="K114" s="394"/>
      <c r="L114" s="396"/>
      <c r="S114" s="393"/>
      <c r="T114" s="394"/>
      <c r="U114" s="394"/>
    </row>
    <row r="115" spans="2:21" x14ac:dyDescent="0.2">
      <c r="B115" s="426">
        <v>45193</v>
      </c>
      <c r="C115" s="394">
        <v>738.5</v>
      </c>
      <c r="D115" s="420">
        <f t="shared" si="2"/>
        <v>3.8604880106884343E-2</v>
      </c>
      <c r="E115" s="394"/>
      <c r="F115" s="418">
        <v>19638.3</v>
      </c>
      <c r="G115" s="420">
        <f t="shared" si="3"/>
        <v>-1.8272615220402688E-3</v>
      </c>
      <c r="H115" s="397"/>
      <c r="I115" s="397"/>
      <c r="J115" s="397"/>
      <c r="K115" s="394"/>
      <c r="L115" s="396"/>
      <c r="S115" s="393"/>
      <c r="T115" s="394"/>
      <c r="U115" s="394"/>
    </row>
    <row r="116" spans="2:21" x14ac:dyDescent="0.2">
      <c r="B116" s="426">
        <v>45200</v>
      </c>
      <c r="C116" s="394">
        <v>730.05</v>
      </c>
      <c r="D116" s="420">
        <f t="shared" si="2"/>
        <v>-1.1442112389979719E-2</v>
      </c>
      <c r="E116" s="394"/>
      <c r="F116" s="418">
        <v>19653.5</v>
      </c>
      <c r="G116" s="420">
        <f t="shared" si="3"/>
        <v>7.7399774929598486E-4</v>
      </c>
      <c r="H116" s="397"/>
      <c r="I116" s="397"/>
      <c r="J116" s="397"/>
      <c r="K116" s="394"/>
      <c r="L116" s="396"/>
      <c r="S116" s="393"/>
      <c r="T116" s="394"/>
      <c r="U116" s="394"/>
    </row>
    <row r="117" spans="2:21" x14ac:dyDescent="0.2">
      <c r="B117" s="426">
        <v>45207</v>
      </c>
      <c r="C117" s="394">
        <v>729.95</v>
      </c>
      <c r="D117" s="420">
        <f t="shared" si="2"/>
        <v>-1.3697691938896472E-4</v>
      </c>
      <c r="E117" s="394"/>
      <c r="F117" s="418">
        <v>19751.05</v>
      </c>
      <c r="G117" s="420">
        <f t="shared" si="3"/>
        <v>4.9634925076957881E-3</v>
      </c>
      <c r="H117" s="397"/>
      <c r="I117" s="397"/>
      <c r="J117" s="397"/>
      <c r="K117" s="394"/>
      <c r="L117" s="396"/>
      <c r="S117" s="393"/>
      <c r="T117" s="394"/>
      <c r="U117" s="394"/>
    </row>
    <row r="118" spans="2:21" x14ac:dyDescent="0.2">
      <c r="B118" s="426">
        <v>45214</v>
      </c>
      <c r="C118" s="394">
        <v>735.4</v>
      </c>
      <c r="D118" s="420">
        <f t="shared" si="2"/>
        <v>7.4662648126582187E-3</v>
      </c>
      <c r="E118" s="394"/>
      <c r="F118" s="418">
        <v>19542.650000000001</v>
      </c>
      <c r="G118" s="420">
        <f t="shared" si="3"/>
        <v>-1.0551337776978809E-2</v>
      </c>
      <c r="H118" s="397"/>
      <c r="I118" s="397"/>
      <c r="J118" s="397"/>
      <c r="K118" s="394"/>
      <c r="L118" s="396"/>
      <c r="S118" s="393"/>
      <c r="T118" s="394"/>
      <c r="U118" s="394"/>
    </row>
    <row r="119" spans="2:21" x14ac:dyDescent="0.2">
      <c r="B119" s="426">
        <v>45221</v>
      </c>
      <c r="C119" s="394">
        <v>719.95</v>
      </c>
      <c r="D119" s="420">
        <f t="shared" si="2"/>
        <v>-2.1008974707641959E-2</v>
      </c>
      <c r="E119" s="394"/>
      <c r="F119" s="418">
        <v>19047.25</v>
      </c>
      <c r="G119" s="420">
        <f t="shared" si="3"/>
        <v>-2.5349683896503383E-2</v>
      </c>
      <c r="H119" s="397"/>
      <c r="I119" s="397"/>
      <c r="J119" s="397"/>
      <c r="K119" s="394"/>
      <c r="L119" s="396"/>
      <c r="S119" s="393"/>
      <c r="T119" s="394"/>
      <c r="U119" s="394"/>
    </row>
    <row r="120" spans="2:21" x14ac:dyDescent="0.2">
      <c r="B120" s="426">
        <v>45228</v>
      </c>
      <c r="C120" s="394">
        <v>745.5</v>
      </c>
      <c r="D120" s="420">
        <f t="shared" si="2"/>
        <v>3.5488575595527427E-2</v>
      </c>
      <c r="E120" s="394"/>
      <c r="F120" s="418">
        <v>19230.599999999999</v>
      </c>
      <c r="G120" s="420">
        <f t="shared" si="3"/>
        <v>9.6260615049414966E-3</v>
      </c>
      <c r="H120" s="397"/>
      <c r="I120" s="397"/>
      <c r="J120" s="397"/>
      <c r="K120" s="394"/>
      <c r="L120" s="396"/>
      <c r="S120" s="393"/>
      <c r="T120" s="394"/>
      <c r="U120" s="394"/>
    </row>
    <row r="121" spans="2:21" x14ac:dyDescent="0.2">
      <c r="B121" s="426">
        <v>45235</v>
      </c>
      <c r="C121" s="394">
        <v>777.65</v>
      </c>
      <c r="D121" s="420">
        <f t="shared" si="2"/>
        <v>4.3125419181757163E-2</v>
      </c>
      <c r="E121" s="394"/>
      <c r="F121" s="418">
        <v>19425.349999999999</v>
      </c>
      <c r="G121" s="420">
        <f t="shared" si="3"/>
        <v>1.0127089118384225E-2</v>
      </c>
      <c r="H121" s="397"/>
      <c r="I121" s="397"/>
      <c r="J121" s="397"/>
      <c r="K121" s="394"/>
      <c r="L121" s="396"/>
      <c r="S121" s="393"/>
      <c r="T121" s="394"/>
      <c r="U121" s="394"/>
    </row>
    <row r="122" spans="2:21" x14ac:dyDescent="0.2">
      <c r="B122" s="426">
        <v>45242</v>
      </c>
      <c r="C122" s="394">
        <v>834</v>
      </c>
      <c r="D122" s="420">
        <f t="shared" si="2"/>
        <v>7.2461904455731974E-2</v>
      </c>
      <c r="E122" s="394"/>
      <c r="F122" s="418">
        <v>19731.8</v>
      </c>
      <c r="G122" s="420">
        <f t="shared" si="3"/>
        <v>1.5775777527818002E-2</v>
      </c>
      <c r="H122" s="397"/>
      <c r="I122" s="397"/>
      <c r="J122" s="397"/>
      <c r="K122" s="394"/>
      <c r="L122" s="396"/>
      <c r="S122" s="393"/>
      <c r="T122" s="394"/>
      <c r="U122" s="394"/>
    </row>
    <row r="123" spans="2:21" x14ac:dyDescent="0.2">
      <c r="B123" s="426">
        <v>45249</v>
      </c>
      <c r="C123" s="394">
        <v>816</v>
      </c>
      <c r="D123" s="420">
        <f t="shared" si="2"/>
        <v>-2.1582733812949617E-2</v>
      </c>
      <c r="E123" s="394"/>
      <c r="F123" s="418">
        <v>19794.7</v>
      </c>
      <c r="G123" s="420">
        <f t="shared" si="3"/>
        <v>3.1877476966115648E-3</v>
      </c>
      <c r="H123" s="397"/>
      <c r="I123" s="397"/>
      <c r="J123" s="397"/>
      <c r="K123" s="394"/>
      <c r="L123" s="396"/>
      <c r="S123" s="393"/>
      <c r="T123" s="394"/>
      <c r="U123" s="394"/>
    </row>
    <row r="124" spans="2:21" x14ac:dyDescent="0.2">
      <c r="B124" s="426">
        <v>45256</v>
      </c>
      <c r="C124" s="394">
        <v>952.45</v>
      </c>
      <c r="D124" s="420">
        <f t="shared" si="2"/>
        <v>0.16721813725490198</v>
      </c>
      <c r="E124" s="394"/>
      <c r="F124" s="418">
        <v>20267.900000000001</v>
      </c>
      <c r="G124" s="420">
        <f t="shared" si="3"/>
        <v>2.3905388816198414E-2</v>
      </c>
      <c r="H124" s="397"/>
      <c r="I124" s="397"/>
      <c r="J124" s="397"/>
      <c r="K124" s="394"/>
      <c r="L124" s="396"/>
      <c r="S124" s="393"/>
      <c r="T124" s="394"/>
      <c r="U124" s="394"/>
    </row>
    <row r="125" spans="2:21" x14ac:dyDescent="0.2">
      <c r="B125" s="426">
        <v>45263</v>
      </c>
      <c r="C125" s="394">
        <v>966.65</v>
      </c>
      <c r="D125" s="420">
        <f t="shared" si="2"/>
        <v>1.4908919103364893E-2</v>
      </c>
      <c r="E125" s="394"/>
      <c r="F125" s="418">
        <v>20969.400000000001</v>
      </c>
      <c r="G125" s="420">
        <f t="shared" si="3"/>
        <v>3.4611380557433069E-2</v>
      </c>
      <c r="H125" s="397"/>
      <c r="I125" s="397"/>
      <c r="J125" s="397"/>
      <c r="K125" s="394"/>
      <c r="L125" s="396"/>
      <c r="S125" s="393"/>
      <c r="T125" s="394"/>
      <c r="U125" s="394"/>
    </row>
    <row r="126" spans="2:21" x14ac:dyDescent="0.2">
      <c r="B126" s="426">
        <v>45270</v>
      </c>
      <c r="C126" s="394">
        <v>897.5</v>
      </c>
      <c r="D126" s="420">
        <f t="shared" si="2"/>
        <v>-7.1535716133036775E-2</v>
      </c>
      <c r="E126" s="394"/>
      <c r="F126" s="418">
        <v>21456.65</v>
      </c>
      <c r="G126" s="420">
        <f t="shared" si="3"/>
        <v>2.3236239472755438E-2</v>
      </c>
      <c r="H126" s="397"/>
      <c r="I126" s="397"/>
      <c r="J126" s="397"/>
      <c r="K126" s="394"/>
      <c r="L126" s="396"/>
      <c r="S126" s="393"/>
      <c r="T126" s="394"/>
      <c r="U126" s="394"/>
    </row>
    <row r="127" spans="2:21" x14ac:dyDescent="0.2">
      <c r="B127" s="426">
        <v>45277</v>
      </c>
      <c r="C127" s="394">
        <v>913.5</v>
      </c>
      <c r="D127" s="420">
        <f t="shared" si="2"/>
        <v>1.7827298050139273E-2</v>
      </c>
      <c r="E127" s="394"/>
      <c r="F127" s="418">
        <v>21349.4</v>
      </c>
      <c r="G127" s="420">
        <f t="shared" si="3"/>
        <v>-4.9984503638732525E-3</v>
      </c>
      <c r="H127" s="397"/>
      <c r="I127" s="397"/>
      <c r="J127" s="397"/>
      <c r="K127" s="394"/>
      <c r="L127" s="396"/>
      <c r="S127" s="393"/>
      <c r="T127" s="394"/>
      <c r="U127" s="394"/>
    </row>
    <row r="128" spans="2:21" x14ac:dyDescent="0.2">
      <c r="B128" s="426">
        <v>45284</v>
      </c>
      <c r="C128" s="394">
        <v>933.85</v>
      </c>
      <c r="D128" s="420">
        <f t="shared" si="2"/>
        <v>2.2276956759715416E-2</v>
      </c>
      <c r="E128" s="394"/>
      <c r="F128" s="418">
        <v>21731.4</v>
      </c>
      <c r="G128" s="420">
        <f t="shared" si="3"/>
        <v>1.7892774504201459E-2</v>
      </c>
      <c r="H128" s="397"/>
      <c r="I128" s="397"/>
      <c r="J128" s="397"/>
      <c r="K128" s="394"/>
      <c r="L128" s="396"/>
      <c r="S128" s="393"/>
      <c r="T128" s="394"/>
      <c r="U128" s="394"/>
    </row>
    <row r="129" spans="2:21" x14ac:dyDescent="0.2">
      <c r="B129" s="426">
        <v>45291</v>
      </c>
      <c r="C129" s="394">
        <v>1038.2</v>
      </c>
      <c r="D129" s="420">
        <f t="shared" si="2"/>
        <v>0.11174171440809544</v>
      </c>
      <c r="E129" s="394"/>
      <c r="F129" s="418">
        <v>21710.799999999999</v>
      </c>
      <c r="G129" s="420">
        <f t="shared" si="3"/>
        <v>-9.479370864280412E-4</v>
      </c>
      <c r="H129" s="397"/>
      <c r="I129" s="397"/>
      <c r="J129" s="397"/>
      <c r="K129" s="394"/>
      <c r="L129" s="396"/>
      <c r="S129" s="393"/>
      <c r="T129" s="397"/>
      <c r="U129" s="394"/>
    </row>
    <row r="130" spans="2:21" x14ac:dyDescent="0.2">
      <c r="B130" s="426">
        <v>45298</v>
      </c>
      <c r="C130" s="394">
        <v>1013.55</v>
      </c>
      <c r="D130" s="420">
        <f t="shared" si="2"/>
        <v>-2.3743016759776636E-2</v>
      </c>
      <c r="E130" s="394"/>
      <c r="F130" s="418">
        <v>21894.55</v>
      </c>
      <c r="G130" s="420">
        <f t="shared" si="3"/>
        <v>8.4635296718684749E-3</v>
      </c>
      <c r="H130" s="397"/>
      <c r="I130" s="397"/>
      <c r="J130" s="397"/>
      <c r="K130" s="394"/>
      <c r="L130" s="396"/>
      <c r="S130" s="393"/>
      <c r="T130" s="397"/>
      <c r="U130" s="394"/>
    </row>
    <row r="131" spans="2:21" x14ac:dyDescent="0.2">
      <c r="B131" s="426">
        <v>45305</v>
      </c>
      <c r="C131" s="394">
        <v>988.95</v>
      </c>
      <c r="D131" s="420">
        <f t="shared" si="2"/>
        <v>-2.4271126239455265E-2</v>
      </c>
      <c r="E131" s="394"/>
      <c r="F131" s="418">
        <v>21622.400000000001</v>
      </c>
      <c r="G131" s="420">
        <f t="shared" si="3"/>
        <v>-1.2430033958222397E-2</v>
      </c>
      <c r="H131" s="397"/>
      <c r="I131" s="397"/>
      <c r="J131" s="397"/>
      <c r="K131" s="394"/>
      <c r="L131" s="396"/>
      <c r="S131" s="393"/>
      <c r="T131" s="394"/>
      <c r="U131" s="394"/>
    </row>
    <row r="132" spans="2:21" x14ac:dyDescent="0.2">
      <c r="B132" s="426">
        <v>45312</v>
      </c>
      <c r="C132" s="394">
        <v>1000.8</v>
      </c>
      <c r="D132" s="420">
        <f t="shared" si="2"/>
        <v>1.1982405581677513E-2</v>
      </c>
      <c r="E132" s="394"/>
      <c r="F132" s="418">
        <v>21352.6</v>
      </c>
      <c r="G132" s="420">
        <f t="shared" si="3"/>
        <v>-1.2477800799171379E-2</v>
      </c>
      <c r="H132" s="397"/>
      <c r="I132" s="397"/>
      <c r="J132" s="397"/>
      <c r="K132" s="394"/>
      <c r="L132" s="396"/>
      <c r="S132" s="393"/>
      <c r="T132" s="397"/>
      <c r="U132" s="394"/>
    </row>
    <row r="133" spans="2:21" x14ac:dyDescent="0.2">
      <c r="B133" s="426">
        <v>45319</v>
      </c>
      <c r="C133" s="394">
        <v>1064.3</v>
      </c>
      <c r="D133" s="420">
        <f t="shared" si="2"/>
        <v>6.3449240607514001E-2</v>
      </c>
      <c r="E133" s="394"/>
      <c r="F133" s="418">
        <v>21853.8</v>
      </c>
      <c r="G133" s="420">
        <f t="shared" si="3"/>
        <v>2.3472551352060167E-2</v>
      </c>
      <c r="H133" s="397"/>
      <c r="I133" s="397"/>
      <c r="J133" s="397"/>
      <c r="K133" s="394"/>
      <c r="L133" s="396"/>
      <c r="S133" s="393"/>
      <c r="T133" s="397"/>
      <c r="U133" s="394"/>
    </row>
    <row r="134" spans="2:21" x14ac:dyDescent="0.2">
      <c r="B134" s="426">
        <v>45326</v>
      </c>
      <c r="C134" s="394">
        <v>1173.45</v>
      </c>
      <c r="D134" s="420">
        <f t="shared" si="2"/>
        <v>0.10255567039368607</v>
      </c>
      <c r="E134" s="394"/>
      <c r="F134" s="418">
        <v>21782.5</v>
      </c>
      <c r="G134" s="420">
        <f t="shared" si="3"/>
        <v>-3.2625904876955047E-3</v>
      </c>
      <c r="H134" s="397"/>
      <c r="I134" s="397"/>
      <c r="J134" s="397"/>
      <c r="K134" s="394"/>
      <c r="L134" s="396"/>
      <c r="S134" s="393"/>
      <c r="T134" s="397"/>
      <c r="U134" s="394"/>
    </row>
    <row r="135" spans="2:21" x14ac:dyDescent="0.2">
      <c r="B135" s="426">
        <v>45333</v>
      </c>
      <c r="C135" s="394">
        <v>1173.5</v>
      </c>
      <c r="D135" s="420">
        <f t="shared" si="2"/>
        <v>4.2609399633519729E-5</v>
      </c>
      <c r="E135" s="394"/>
      <c r="F135" s="418">
        <v>22040.7</v>
      </c>
      <c r="G135" s="420">
        <f t="shared" si="3"/>
        <v>1.1853552163433978E-2</v>
      </c>
      <c r="H135" s="397"/>
      <c r="I135" s="397"/>
      <c r="J135" s="397"/>
      <c r="K135" s="394"/>
      <c r="L135" s="396"/>
      <c r="S135" s="393"/>
      <c r="T135" s="397"/>
      <c r="U135" s="394"/>
    </row>
    <row r="136" spans="2:21" x14ac:dyDescent="0.2">
      <c r="B136" s="426">
        <v>45340</v>
      </c>
      <c r="C136" s="394">
        <v>1125.9000000000001</v>
      </c>
      <c r="D136" s="420">
        <f t="shared" si="2"/>
        <v>-4.0562420110779596E-2</v>
      </c>
      <c r="E136" s="394"/>
      <c r="F136" s="418">
        <v>22212.7</v>
      </c>
      <c r="G136" s="420">
        <f t="shared" si="3"/>
        <v>7.8037448901351336E-3</v>
      </c>
      <c r="H136" s="397"/>
      <c r="I136" s="397"/>
      <c r="J136" s="397"/>
      <c r="K136" s="394"/>
      <c r="L136" s="396"/>
      <c r="S136" s="393"/>
      <c r="T136" s="397"/>
      <c r="U136" s="394"/>
    </row>
    <row r="137" spans="2:21" x14ac:dyDescent="0.2">
      <c r="B137" s="426">
        <v>45347</v>
      </c>
      <c r="C137" s="394">
        <v>1116.25</v>
      </c>
      <c r="D137" s="420">
        <f t="shared" si="2"/>
        <v>-8.5709210409451453E-3</v>
      </c>
      <c r="E137" s="394"/>
      <c r="F137" s="418">
        <v>22338.75</v>
      </c>
      <c r="G137" s="420">
        <f t="shared" si="3"/>
        <v>5.6746816010659895E-3</v>
      </c>
      <c r="H137" s="397"/>
      <c r="I137" s="397"/>
      <c r="J137" s="397"/>
      <c r="K137" s="394"/>
      <c r="L137" s="396"/>
      <c r="S137" s="393"/>
      <c r="T137" s="397"/>
      <c r="U137" s="394"/>
    </row>
    <row r="138" spans="2:21" x14ac:dyDescent="0.2">
      <c r="B138" s="426">
        <v>45354</v>
      </c>
      <c r="C138" s="394">
        <v>1144.5999999999999</v>
      </c>
      <c r="D138" s="420">
        <f t="shared" si="2"/>
        <v>2.5397536394176745E-2</v>
      </c>
      <c r="E138" s="394"/>
      <c r="F138" s="418">
        <v>22493.55</v>
      </c>
      <c r="G138" s="420">
        <f t="shared" si="3"/>
        <v>6.929662581836471E-3</v>
      </c>
      <c r="H138" s="397"/>
      <c r="I138" s="397"/>
      <c r="J138" s="397"/>
      <c r="K138" s="394"/>
      <c r="L138" s="396"/>
      <c r="S138" s="393"/>
      <c r="T138" s="397"/>
      <c r="U138" s="394"/>
    </row>
    <row r="139" spans="2:21" x14ac:dyDescent="0.2">
      <c r="B139" s="426">
        <v>45361</v>
      </c>
      <c r="C139" s="394">
        <v>1155.95</v>
      </c>
      <c r="D139" s="420">
        <f t="shared" ref="D139:D202" si="4">C139/C138-1</f>
        <v>9.9161279049451156E-3</v>
      </c>
      <c r="E139" s="394"/>
      <c r="F139" s="418">
        <v>22023.35</v>
      </c>
      <c r="G139" s="420">
        <f t="shared" si="3"/>
        <v>-2.0903770191899484E-2</v>
      </c>
      <c r="H139" s="397"/>
      <c r="I139" s="397"/>
      <c r="J139" s="397"/>
      <c r="K139" s="394"/>
      <c r="L139" s="396"/>
      <c r="S139" s="393"/>
      <c r="T139" s="397"/>
      <c r="U139" s="394"/>
    </row>
    <row r="140" spans="2:21" x14ac:dyDescent="0.2">
      <c r="B140" s="426">
        <v>45368</v>
      </c>
      <c r="C140" s="394">
        <v>1283.6500000000001</v>
      </c>
      <c r="D140" s="420">
        <f t="shared" si="4"/>
        <v>0.1104719062243178</v>
      </c>
      <c r="E140" s="394"/>
      <c r="F140" s="418">
        <v>22096.75</v>
      </c>
      <c r="G140" s="420">
        <f t="shared" ref="G140:G203" si="5">F140/F139-1</f>
        <v>3.3328262957270649E-3</v>
      </c>
      <c r="H140" s="397"/>
      <c r="I140" s="397"/>
      <c r="J140" s="397"/>
      <c r="K140" s="394"/>
      <c r="L140" s="396"/>
      <c r="S140" s="393"/>
      <c r="T140" s="397"/>
      <c r="U140" s="394"/>
    </row>
    <row r="141" spans="2:21" x14ac:dyDescent="0.2">
      <c r="B141" s="426">
        <v>45375</v>
      </c>
      <c r="C141" s="394">
        <v>1357.95</v>
      </c>
      <c r="D141" s="420">
        <f t="shared" si="4"/>
        <v>5.7881821368753084E-2</v>
      </c>
      <c r="E141" s="394"/>
      <c r="F141" s="418">
        <v>22326.9</v>
      </c>
      <c r="G141" s="420">
        <f t="shared" si="5"/>
        <v>1.0415558849152129E-2</v>
      </c>
      <c r="H141" s="397"/>
      <c r="I141" s="397"/>
      <c r="J141" s="397"/>
      <c r="K141" s="394"/>
      <c r="L141" s="396"/>
      <c r="S141" s="393"/>
      <c r="T141" s="397"/>
      <c r="U141" s="394"/>
    </row>
    <row r="142" spans="2:21" x14ac:dyDescent="0.2">
      <c r="B142" s="426">
        <v>45382</v>
      </c>
      <c r="C142" s="394">
        <v>1490.45</v>
      </c>
      <c r="D142" s="420">
        <f t="shared" si="4"/>
        <v>9.7573548363341756E-2</v>
      </c>
      <c r="E142" s="394"/>
      <c r="F142" s="418">
        <v>22513.7</v>
      </c>
      <c r="G142" s="420">
        <f t="shared" si="5"/>
        <v>8.3665891816597782E-3</v>
      </c>
      <c r="H142" s="397"/>
      <c r="I142" s="397"/>
      <c r="J142" s="397"/>
      <c r="K142" s="394"/>
      <c r="L142" s="396"/>
      <c r="S142" s="393"/>
      <c r="T142" s="397"/>
      <c r="U142" s="394"/>
    </row>
    <row r="143" spans="2:21" x14ac:dyDescent="0.2">
      <c r="B143" s="426">
        <v>45389</v>
      </c>
      <c r="C143" s="394">
        <v>1581</v>
      </c>
      <c r="D143" s="420">
        <f t="shared" si="4"/>
        <v>6.0753463719011025E-2</v>
      </c>
      <c r="E143" s="394"/>
      <c r="F143" s="418">
        <v>22519.4</v>
      </c>
      <c r="G143" s="420">
        <f t="shared" si="5"/>
        <v>2.5317917534661838E-4</v>
      </c>
      <c r="H143" s="397"/>
      <c r="I143" s="397"/>
      <c r="J143" s="397"/>
      <c r="K143" s="394"/>
      <c r="L143" s="396"/>
      <c r="S143" s="393"/>
      <c r="T143" s="397"/>
      <c r="U143" s="394"/>
    </row>
    <row r="144" spans="2:21" x14ac:dyDescent="0.2">
      <c r="B144" s="426">
        <v>45396</v>
      </c>
      <c r="C144" s="394">
        <v>1501.15</v>
      </c>
      <c r="D144" s="420">
        <f t="shared" si="4"/>
        <v>-5.0506008855154882E-2</v>
      </c>
      <c r="E144" s="394"/>
      <c r="F144" s="418">
        <v>22147</v>
      </c>
      <c r="G144" s="420">
        <f t="shared" si="5"/>
        <v>-1.6536852669254087E-2</v>
      </c>
      <c r="H144" s="397"/>
      <c r="I144" s="397"/>
      <c r="J144" s="397"/>
      <c r="K144" s="394"/>
      <c r="L144" s="396"/>
      <c r="S144" s="393"/>
      <c r="T144" s="397"/>
      <c r="U144" s="394"/>
    </row>
    <row r="145" spans="2:21" x14ac:dyDescent="0.2">
      <c r="B145" s="426">
        <v>45403</v>
      </c>
      <c r="C145" s="394">
        <v>1489.8</v>
      </c>
      <c r="D145" s="420">
        <f t="shared" si="4"/>
        <v>-7.5608699996669859E-3</v>
      </c>
      <c r="E145" s="394"/>
      <c r="F145" s="418">
        <v>22419.95</v>
      </c>
      <c r="G145" s="420">
        <f t="shared" si="5"/>
        <v>1.2324468325281002E-2</v>
      </c>
      <c r="H145" s="397"/>
      <c r="I145" s="397"/>
      <c r="J145" s="397"/>
      <c r="K145" s="394"/>
      <c r="L145" s="396"/>
      <c r="S145" s="393"/>
      <c r="T145" s="397"/>
      <c r="U145" s="394"/>
    </row>
    <row r="146" spans="2:21" x14ac:dyDescent="0.2">
      <c r="B146" s="426">
        <v>45410</v>
      </c>
      <c r="C146" s="394">
        <v>1484.25</v>
      </c>
      <c r="D146" s="420">
        <f t="shared" si="4"/>
        <v>-3.7253322593636673E-3</v>
      </c>
      <c r="E146" s="394"/>
      <c r="F146" s="418">
        <v>22475.85</v>
      </c>
      <c r="G146" s="420">
        <f t="shared" si="5"/>
        <v>2.4933151055197555E-3</v>
      </c>
      <c r="H146" s="397"/>
      <c r="I146" s="397"/>
      <c r="J146" s="397"/>
      <c r="K146" s="394"/>
      <c r="L146" s="396"/>
      <c r="S146" s="393"/>
      <c r="T146" s="397"/>
      <c r="U146" s="394"/>
    </row>
    <row r="147" spans="2:21" x14ac:dyDescent="0.2">
      <c r="B147" s="426">
        <v>45417</v>
      </c>
      <c r="C147" s="394">
        <v>1326.95</v>
      </c>
      <c r="D147" s="420">
        <f t="shared" si="4"/>
        <v>-0.10597945090112848</v>
      </c>
      <c r="E147" s="394"/>
      <c r="F147" s="418">
        <v>22055.200000000001</v>
      </c>
      <c r="G147" s="420">
        <f t="shared" si="5"/>
        <v>-1.8715643679771743E-2</v>
      </c>
      <c r="H147" s="397"/>
      <c r="I147" s="397"/>
      <c r="J147" s="397"/>
      <c r="K147" s="394"/>
      <c r="L147" s="396"/>
      <c r="S147" s="393"/>
      <c r="T147" s="397"/>
      <c r="U147" s="394"/>
    </row>
    <row r="148" spans="2:21" x14ac:dyDescent="0.2">
      <c r="B148" s="426">
        <v>45424</v>
      </c>
      <c r="C148" s="394">
        <v>1378.65</v>
      </c>
      <c r="D148" s="420">
        <f t="shared" si="4"/>
        <v>3.8961528316816763E-2</v>
      </c>
      <c r="E148" s="394"/>
      <c r="F148" s="418">
        <v>22466.1</v>
      </c>
      <c r="G148" s="420">
        <f t="shared" si="5"/>
        <v>1.8630527041241907E-2</v>
      </c>
      <c r="H148" s="397"/>
      <c r="I148" s="397"/>
      <c r="J148" s="397"/>
      <c r="K148" s="394"/>
      <c r="L148" s="396"/>
      <c r="S148" s="393"/>
      <c r="T148" s="397"/>
      <c r="U148" s="394"/>
    </row>
    <row r="149" spans="2:21" x14ac:dyDescent="0.2">
      <c r="B149" s="426">
        <v>45431</v>
      </c>
      <c r="C149" s="394">
        <v>1400.6</v>
      </c>
      <c r="D149" s="420">
        <f t="shared" si="4"/>
        <v>1.5921372357015739E-2</v>
      </c>
      <c r="E149" s="394"/>
      <c r="F149" s="418">
        <v>22957.1</v>
      </c>
      <c r="G149" s="420">
        <f t="shared" si="5"/>
        <v>2.1855150649200406E-2</v>
      </c>
      <c r="H149" s="397"/>
      <c r="I149" s="397"/>
      <c r="J149" s="397"/>
      <c r="K149" s="394"/>
      <c r="L149" s="396"/>
      <c r="S149" s="393"/>
      <c r="T149" s="397"/>
      <c r="U149" s="394"/>
    </row>
    <row r="150" spans="2:21" x14ac:dyDescent="0.2">
      <c r="B150" s="426">
        <v>45438</v>
      </c>
      <c r="C150" s="394">
        <v>1501.8</v>
      </c>
      <c r="D150" s="420">
        <f t="shared" si="4"/>
        <v>7.2254747965157851E-2</v>
      </c>
      <c r="E150" s="394"/>
      <c r="F150" s="418">
        <v>22530.7</v>
      </c>
      <c r="G150" s="420">
        <f t="shared" si="5"/>
        <v>-1.8573774562117951E-2</v>
      </c>
      <c r="H150" s="397"/>
      <c r="I150" s="397"/>
      <c r="J150" s="397"/>
      <c r="K150" s="394"/>
      <c r="L150" s="396"/>
      <c r="S150" s="393"/>
      <c r="T150" s="397"/>
      <c r="U150" s="394"/>
    </row>
    <row r="151" spans="2:21" x14ac:dyDescent="0.2">
      <c r="B151" s="426">
        <v>45445</v>
      </c>
      <c r="C151" s="394">
        <v>1498</v>
      </c>
      <c r="D151" s="420">
        <f t="shared" si="4"/>
        <v>-2.530296976960944E-3</v>
      </c>
      <c r="E151" s="394"/>
      <c r="F151" s="418">
        <v>23290.15</v>
      </c>
      <c r="G151" s="420">
        <f t="shared" si="5"/>
        <v>3.3707341538434354E-2</v>
      </c>
      <c r="H151" s="397"/>
      <c r="I151" s="397"/>
      <c r="J151" s="397"/>
      <c r="K151" s="394"/>
      <c r="L151" s="396"/>
      <c r="S151" s="393"/>
      <c r="T151" s="397"/>
      <c r="U151" s="394"/>
    </row>
    <row r="152" spans="2:21" x14ac:dyDescent="0.2">
      <c r="B152" s="426">
        <v>45452</v>
      </c>
      <c r="C152" s="394">
        <v>1599.1</v>
      </c>
      <c r="D152" s="420">
        <f t="shared" si="4"/>
        <v>6.7489986648865186E-2</v>
      </c>
      <c r="E152" s="394"/>
      <c r="F152" s="418">
        <v>23465.599999999999</v>
      </c>
      <c r="G152" s="420">
        <f t="shared" si="5"/>
        <v>7.5332275661599279E-3</v>
      </c>
      <c r="H152" s="397"/>
      <c r="I152" s="397"/>
      <c r="J152" s="397"/>
      <c r="K152" s="394"/>
      <c r="L152" s="396"/>
      <c r="S152" s="393"/>
      <c r="T152" s="397"/>
      <c r="U152" s="394"/>
    </row>
    <row r="153" spans="2:21" x14ac:dyDescent="0.2">
      <c r="B153" s="426">
        <v>45459</v>
      </c>
      <c r="C153" s="394">
        <v>1503.45</v>
      </c>
      <c r="D153" s="420">
        <f t="shared" si="4"/>
        <v>-5.9814895878931851E-2</v>
      </c>
      <c r="E153" s="394"/>
      <c r="F153" s="418">
        <v>23501.1</v>
      </c>
      <c r="G153" s="420">
        <f t="shared" si="5"/>
        <v>1.5128528569481325E-3</v>
      </c>
      <c r="H153" s="397"/>
      <c r="I153" s="397"/>
      <c r="J153" s="397"/>
      <c r="K153" s="394"/>
      <c r="L153" s="396"/>
      <c r="S153" s="393"/>
      <c r="T153" s="397"/>
      <c r="U153" s="394"/>
    </row>
    <row r="154" spans="2:21" x14ac:dyDescent="0.2">
      <c r="B154" s="426">
        <v>45466</v>
      </c>
      <c r="C154" s="394">
        <v>1498.4</v>
      </c>
      <c r="D154" s="420">
        <f t="shared" si="4"/>
        <v>-3.3589411021317517E-3</v>
      </c>
      <c r="E154" s="394"/>
      <c r="F154" s="418">
        <v>24010.6</v>
      </c>
      <c r="G154" s="420">
        <f t="shared" si="5"/>
        <v>2.1679836262983532E-2</v>
      </c>
      <c r="H154" s="397"/>
      <c r="I154" s="397"/>
      <c r="J154" s="397"/>
      <c r="K154" s="394"/>
      <c r="L154" s="396"/>
      <c r="S154" s="393"/>
      <c r="T154" s="397"/>
      <c r="U154" s="394"/>
    </row>
    <row r="155" spans="2:21" x14ac:dyDescent="0.2">
      <c r="B155" s="426">
        <v>45473</v>
      </c>
      <c r="C155" s="394">
        <v>1509.5</v>
      </c>
      <c r="D155" s="420">
        <f t="shared" si="4"/>
        <v>7.4079017618793319E-3</v>
      </c>
      <c r="E155" s="394"/>
      <c r="F155" s="418">
        <v>24323.85</v>
      </c>
      <c r="G155" s="420">
        <f t="shared" si="5"/>
        <v>1.3046321208133094E-2</v>
      </c>
      <c r="H155" s="397"/>
      <c r="I155" s="397"/>
      <c r="J155" s="397"/>
      <c r="K155" s="394"/>
      <c r="L155" s="396"/>
      <c r="S155" s="393"/>
      <c r="T155" s="397"/>
      <c r="U155" s="394"/>
    </row>
    <row r="156" spans="2:21" x14ac:dyDescent="0.2">
      <c r="B156" s="426">
        <v>45480</v>
      </c>
      <c r="C156" s="394">
        <v>1510.05</v>
      </c>
      <c r="D156" s="420">
        <f t="shared" si="4"/>
        <v>3.6435905929121937E-4</v>
      </c>
      <c r="E156" s="394"/>
      <c r="F156" s="418">
        <v>24502.15</v>
      </c>
      <c r="G156" s="420">
        <f t="shared" si="5"/>
        <v>7.3302540510651326E-3</v>
      </c>
      <c r="H156" s="397"/>
      <c r="I156" s="397"/>
      <c r="J156" s="397"/>
      <c r="K156" s="394"/>
      <c r="L156" s="396"/>
      <c r="S156" s="393"/>
      <c r="T156" s="397"/>
      <c r="U156" s="394"/>
    </row>
    <row r="157" spans="2:21" x14ac:dyDescent="0.2">
      <c r="B157" s="426">
        <v>45487</v>
      </c>
      <c r="C157" s="394">
        <v>1526.5</v>
      </c>
      <c r="D157" s="420">
        <f t="shared" si="4"/>
        <v>1.0893679017251134E-2</v>
      </c>
      <c r="E157" s="394"/>
      <c r="F157" s="418">
        <v>24530.9</v>
      </c>
      <c r="G157" s="420">
        <f t="shared" si="5"/>
        <v>1.1733664188653403E-3</v>
      </c>
      <c r="H157" s="397"/>
      <c r="I157" s="397"/>
      <c r="J157" s="397"/>
      <c r="K157" s="394"/>
      <c r="L157" s="396"/>
      <c r="S157" s="393"/>
      <c r="T157" s="397"/>
      <c r="U157" s="394"/>
    </row>
    <row r="158" spans="2:21" x14ac:dyDescent="0.2">
      <c r="B158" s="426">
        <v>45494</v>
      </c>
      <c r="C158" s="394">
        <v>1556.85</v>
      </c>
      <c r="D158" s="420">
        <f t="shared" si="4"/>
        <v>1.9882083196855582E-2</v>
      </c>
      <c r="E158" s="394"/>
      <c r="F158" s="418">
        <v>24834.85</v>
      </c>
      <c r="G158" s="420">
        <f t="shared" si="5"/>
        <v>1.2390495252925682E-2</v>
      </c>
      <c r="H158" s="397"/>
      <c r="I158" s="397"/>
      <c r="J158" s="397"/>
      <c r="K158" s="394"/>
      <c r="L158" s="396"/>
      <c r="S158" s="393"/>
      <c r="T158" s="397"/>
      <c r="U158" s="394"/>
    </row>
    <row r="159" spans="2:21" x14ac:dyDescent="0.2">
      <c r="B159" s="426">
        <v>45501</v>
      </c>
      <c r="C159" s="394">
        <v>1851.35</v>
      </c>
      <c r="D159" s="420">
        <f t="shared" si="4"/>
        <v>0.18916401708578223</v>
      </c>
      <c r="E159" s="394"/>
      <c r="F159" s="418">
        <v>24717.7</v>
      </c>
      <c r="G159" s="420">
        <f t="shared" si="5"/>
        <v>-4.7171615693268887E-3</v>
      </c>
      <c r="H159" s="397"/>
      <c r="I159" s="397"/>
      <c r="J159" s="397"/>
      <c r="K159" s="394"/>
      <c r="L159" s="396"/>
      <c r="S159" s="393"/>
      <c r="T159" s="397"/>
      <c r="U159" s="394"/>
    </row>
    <row r="160" spans="2:21" x14ac:dyDescent="0.2">
      <c r="B160" s="426">
        <v>45508</v>
      </c>
      <c r="C160" s="394">
        <v>1791.5</v>
      </c>
      <c r="D160" s="420">
        <f t="shared" si="4"/>
        <v>-3.2327760823183005E-2</v>
      </c>
      <c r="E160" s="394"/>
      <c r="F160" s="418">
        <v>24367.5</v>
      </c>
      <c r="G160" s="420">
        <f t="shared" si="5"/>
        <v>-1.4167984885325113E-2</v>
      </c>
      <c r="H160" s="397"/>
      <c r="I160" s="397"/>
      <c r="J160" s="397"/>
      <c r="K160" s="394"/>
      <c r="L160" s="396"/>
      <c r="S160" s="393"/>
      <c r="T160" s="397"/>
      <c r="U160" s="394"/>
    </row>
    <row r="161" spans="2:21" x14ac:dyDescent="0.2">
      <c r="B161" s="426">
        <v>45515</v>
      </c>
      <c r="C161" s="394">
        <v>1688.1</v>
      </c>
      <c r="D161" s="420">
        <f t="shared" si="4"/>
        <v>-5.7716996929947029E-2</v>
      </c>
      <c r="E161" s="394"/>
      <c r="F161" s="418">
        <v>24541.15</v>
      </c>
      <c r="G161" s="420">
        <f t="shared" si="5"/>
        <v>7.1262952703396998E-3</v>
      </c>
      <c r="H161" s="397"/>
      <c r="I161" s="397"/>
      <c r="J161" s="397"/>
      <c r="K161" s="394"/>
      <c r="L161" s="396"/>
      <c r="S161" s="393"/>
      <c r="T161" s="397"/>
      <c r="U161" s="394"/>
    </row>
    <row r="162" spans="2:21" x14ac:dyDescent="0.2">
      <c r="B162" s="426">
        <v>45522</v>
      </c>
      <c r="C162" s="394">
        <v>1672</v>
      </c>
      <c r="D162" s="420">
        <f t="shared" si="4"/>
        <v>-9.5373496830756244E-3</v>
      </c>
      <c r="E162" s="394"/>
      <c r="F162" s="418">
        <v>24823.15</v>
      </c>
      <c r="G162" s="420">
        <f t="shared" si="5"/>
        <v>1.1490904052988471E-2</v>
      </c>
      <c r="H162" s="397"/>
      <c r="I162" s="397"/>
      <c r="J162" s="397"/>
      <c r="K162" s="394"/>
      <c r="L162" s="396"/>
      <c r="S162" s="393"/>
      <c r="T162" s="397"/>
      <c r="U162" s="394"/>
    </row>
    <row r="163" spans="2:21" x14ac:dyDescent="0.2">
      <c r="B163" s="426">
        <v>45529</v>
      </c>
      <c r="C163" s="394">
        <v>1743.5</v>
      </c>
      <c r="D163" s="420">
        <f t="shared" si="4"/>
        <v>4.2763157894736947E-2</v>
      </c>
      <c r="E163" s="394"/>
      <c r="F163" s="418">
        <v>25235.9</v>
      </c>
      <c r="G163" s="420">
        <f t="shared" si="5"/>
        <v>1.6627623810837822E-2</v>
      </c>
      <c r="H163" s="397"/>
      <c r="I163" s="397"/>
      <c r="J163" s="397"/>
      <c r="K163" s="394"/>
      <c r="L163" s="396"/>
      <c r="S163" s="393"/>
      <c r="T163" s="397"/>
      <c r="U163" s="394"/>
    </row>
    <row r="164" spans="2:21" x14ac:dyDescent="0.2">
      <c r="B164" s="426">
        <v>45536</v>
      </c>
      <c r="C164" s="394">
        <v>1694.85</v>
      </c>
      <c r="D164" s="420">
        <f t="shared" si="4"/>
        <v>-2.7903642099225801E-2</v>
      </c>
      <c r="E164" s="394"/>
      <c r="F164" s="418">
        <v>24852.15</v>
      </c>
      <c r="G164" s="420">
        <f t="shared" si="5"/>
        <v>-1.5206511358818231E-2</v>
      </c>
      <c r="H164" s="397"/>
      <c r="I164" s="397"/>
      <c r="J164" s="397"/>
      <c r="K164" s="394"/>
      <c r="L164" s="396"/>
      <c r="S164" s="393"/>
      <c r="T164" s="397"/>
      <c r="U164" s="394"/>
    </row>
    <row r="165" spans="2:21" x14ac:dyDescent="0.2">
      <c r="B165" s="426">
        <v>45543</v>
      </c>
      <c r="C165" s="394">
        <v>1763</v>
      </c>
      <c r="D165" s="420">
        <f t="shared" si="4"/>
        <v>4.0210048086851469E-2</v>
      </c>
      <c r="E165" s="394"/>
      <c r="F165" s="418">
        <v>25356.5</v>
      </c>
      <c r="G165" s="420">
        <f t="shared" si="5"/>
        <v>2.0294018827344829E-2</v>
      </c>
      <c r="H165" s="397"/>
      <c r="I165" s="397"/>
      <c r="J165" s="397"/>
      <c r="K165" s="394"/>
      <c r="L165" s="396"/>
      <c r="S165" s="393"/>
      <c r="T165" s="397"/>
      <c r="U165" s="394"/>
    </row>
    <row r="166" spans="2:21" x14ac:dyDescent="0.2">
      <c r="B166" s="426">
        <v>45550</v>
      </c>
      <c r="C166" s="394">
        <v>1902.05</v>
      </c>
      <c r="D166" s="420">
        <f t="shared" si="4"/>
        <v>7.8871242200794001E-2</v>
      </c>
      <c r="E166" s="394"/>
      <c r="F166" s="418">
        <v>25790.95</v>
      </c>
      <c r="G166" s="420">
        <f t="shared" si="5"/>
        <v>1.7133673811448702E-2</v>
      </c>
      <c r="H166" s="397"/>
      <c r="I166" s="397"/>
      <c r="J166" s="397"/>
      <c r="K166" s="394"/>
      <c r="L166" s="396"/>
      <c r="S166" s="393"/>
      <c r="T166" s="397"/>
      <c r="U166" s="394"/>
    </row>
    <row r="167" spans="2:21" x14ac:dyDescent="0.2">
      <c r="B167" s="426">
        <v>45557</v>
      </c>
      <c r="C167" s="394">
        <v>1907.8</v>
      </c>
      <c r="D167" s="420">
        <f t="shared" si="4"/>
        <v>3.023054073236775E-3</v>
      </c>
      <c r="E167" s="394"/>
      <c r="F167" s="418">
        <v>26178.95</v>
      </c>
      <c r="G167" s="420">
        <f t="shared" si="5"/>
        <v>1.5044036764834123E-2</v>
      </c>
      <c r="H167" s="397"/>
      <c r="I167" s="397"/>
      <c r="J167" s="397"/>
      <c r="K167" s="394"/>
      <c r="L167" s="396"/>
      <c r="S167" s="393"/>
      <c r="T167" s="397"/>
      <c r="U167" s="394"/>
    </row>
    <row r="168" spans="2:21" x14ac:dyDescent="0.2">
      <c r="B168" s="426">
        <v>45564</v>
      </c>
      <c r="C168" s="394">
        <v>1890.7</v>
      </c>
      <c r="D168" s="420">
        <f t="shared" si="4"/>
        <v>-8.9632036901142742E-3</v>
      </c>
      <c r="E168" s="394"/>
      <c r="F168" s="418">
        <v>25014.6</v>
      </c>
      <c r="G168" s="420">
        <f t="shared" si="5"/>
        <v>-4.4476573735768743E-2</v>
      </c>
      <c r="H168" s="397"/>
      <c r="I168" s="397"/>
      <c r="J168" s="397"/>
      <c r="K168" s="394"/>
      <c r="L168" s="396"/>
      <c r="S168" s="393"/>
      <c r="T168" s="397"/>
      <c r="U168" s="394"/>
    </row>
    <row r="169" spans="2:21" x14ac:dyDescent="0.2">
      <c r="B169" s="426">
        <v>45571</v>
      </c>
      <c r="C169" s="394">
        <v>1886.4</v>
      </c>
      <c r="D169" s="420">
        <f t="shared" si="4"/>
        <v>-2.2742899455228116E-3</v>
      </c>
      <c r="E169" s="394"/>
      <c r="F169" s="418">
        <v>24964.25</v>
      </c>
      <c r="G169" s="420">
        <f t="shared" si="5"/>
        <v>-2.0128245104857889E-3</v>
      </c>
      <c r="H169" s="397"/>
      <c r="I169" s="397"/>
      <c r="J169" s="397"/>
      <c r="K169" s="394"/>
      <c r="L169" s="396"/>
      <c r="S169" s="393"/>
      <c r="T169" s="397"/>
      <c r="U169" s="394"/>
    </row>
    <row r="170" spans="2:21" x14ac:dyDescent="0.2">
      <c r="B170" s="426">
        <v>45578</v>
      </c>
      <c r="C170" s="394">
        <v>1973.65</v>
      </c>
      <c r="D170" s="420">
        <f t="shared" si="4"/>
        <v>4.6252120441051758E-2</v>
      </c>
      <c r="E170" s="394"/>
      <c r="F170" s="418">
        <v>24854.05</v>
      </c>
      <c r="G170" s="420">
        <f t="shared" si="5"/>
        <v>-4.4143124668275524E-3</v>
      </c>
      <c r="H170" s="397"/>
      <c r="I170" s="397"/>
      <c r="J170" s="397"/>
      <c r="K170" s="394"/>
      <c r="L170" s="396"/>
      <c r="S170" s="393"/>
      <c r="T170" s="397"/>
      <c r="U170" s="394"/>
    </row>
    <row r="171" spans="2:21" x14ac:dyDescent="0.2">
      <c r="B171" s="426">
        <v>45585</v>
      </c>
      <c r="C171" s="394">
        <v>1923.8</v>
      </c>
      <c r="D171" s="420">
        <f t="shared" si="4"/>
        <v>-2.5257771134699736E-2</v>
      </c>
      <c r="E171" s="394"/>
      <c r="F171" s="418">
        <v>24180.799999999999</v>
      </c>
      <c r="G171" s="420">
        <f t="shared" si="5"/>
        <v>-2.7088140564616281E-2</v>
      </c>
      <c r="H171" s="397"/>
      <c r="I171" s="397"/>
      <c r="J171" s="397"/>
      <c r="K171" s="394"/>
      <c r="L171" s="396"/>
      <c r="S171" s="393"/>
      <c r="T171" s="397"/>
      <c r="U171" s="394"/>
    </row>
    <row r="172" spans="2:21" x14ac:dyDescent="0.2">
      <c r="B172" s="426">
        <v>45592</v>
      </c>
      <c r="C172" s="394">
        <v>1825.45</v>
      </c>
      <c r="D172" s="420">
        <f t="shared" si="4"/>
        <v>-5.1122777835533761E-2</v>
      </c>
      <c r="E172" s="394"/>
      <c r="F172" s="418">
        <v>24304.35</v>
      </c>
      <c r="G172" s="420">
        <f t="shared" si="5"/>
        <v>5.1094256600276999E-3</v>
      </c>
      <c r="H172" s="397"/>
      <c r="I172" s="397"/>
      <c r="J172" s="397"/>
      <c r="K172" s="394"/>
      <c r="L172" s="396"/>
      <c r="S172" s="393"/>
      <c r="T172" s="397"/>
      <c r="U172" s="394"/>
    </row>
    <row r="173" spans="2:21" x14ac:dyDescent="0.2">
      <c r="B173" s="426">
        <v>45599</v>
      </c>
      <c r="C173" s="394">
        <v>1694.1</v>
      </c>
      <c r="D173" s="420">
        <f t="shared" si="4"/>
        <v>-7.1954860445369695E-2</v>
      </c>
      <c r="E173" s="394"/>
      <c r="F173" s="418">
        <v>24148.2</v>
      </c>
      <c r="G173" s="420">
        <f t="shared" si="5"/>
        <v>-6.4247758117372822E-3</v>
      </c>
      <c r="H173" s="397"/>
      <c r="I173" s="397"/>
      <c r="J173" s="397"/>
      <c r="K173" s="394"/>
      <c r="L173" s="396"/>
      <c r="S173" s="393"/>
      <c r="T173" s="397"/>
      <c r="U173" s="394"/>
    </row>
    <row r="174" spans="2:21" x14ac:dyDescent="0.2">
      <c r="B174" s="426">
        <v>45606</v>
      </c>
      <c r="C174" s="394">
        <v>1559</v>
      </c>
      <c r="D174" s="420">
        <f t="shared" si="4"/>
        <v>-7.9747358479428598E-2</v>
      </c>
      <c r="E174" s="394"/>
      <c r="F174" s="418">
        <v>23532.7</v>
      </c>
      <c r="G174" s="420">
        <f t="shared" si="5"/>
        <v>-2.5488442202731498E-2</v>
      </c>
      <c r="H174" s="397"/>
      <c r="I174" s="397"/>
      <c r="J174" s="397"/>
      <c r="K174" s="394"/>
      <c r="L174" s="396"/>
      <c r="S174" s="393"/>
      <c r="T174" s="397"/>
      <c r="U174" s="394"/>
    </row>
    <row r="175" spans="2:21" x14ac:dyDescent="0.2">
      <c r="B175" s="426">
        <v>45613</v>
      </c>
      <c r="C175" s="394">
        <v>1517.4</v>
      </c>
      <c r="D175" s="420">
        <f t="shared" si="4"/>
        <v>-2.668377164849256E-2</v>
      </c>
      <c r="E175" s="394"/>
      <c r="F175" s="418">
        <v>23907.25</v>
      </c>
      <c r="G175" s="420">
        <f t="shared" si="5"/>
        <v>1.5916150717937061E-2</v>
      </c>
      <c r="H175" s="397"/>
      <c r="I175" s="397"/>
      <c r="J175" s="397"/>
      <c r="K175" s="394"/>
      <c r="L175" s="396"/>
      <c r="S175" s="393"/>
      <c r="T175" s="397"/>
      <c r="U175" s="394"/>
    </row>
    <row r="176" spans="2:21" x14ac:dyDescent="0.2">
      <c r="B176" s="426">
        <v>45620</v>
      </c>
      <c r="C176" s="394">
        <v>1510.7</v>
      </c>
      <c r="D176" s="420">
        <f t="shared" si="4"/>
        <v>-4.4154474759456885E-3</v>
      </c>
      <c r="E176" s="394"/>
      <c r="F176" s="418">
        <v>24131.1</v>
      </c>
      <c r="G176" s="420">
        <f t="shared" si="5"/>
        <v>9.3632684645870157E-3</v>
      </c>
      <c r="H176" s="397"/>
      <c r="I176" s="397"/>
      <c r="J176" s="397"/>
      <c r="K176" s="394"/>
      <c r="L176" s="396"/>
      <c r="S176" s="393"/>
      <c r="T176" s="397"/>
      <c r="U176" s="394"/>
    </row>
    <row r="177" spans="2:21" x14ac:dyDescent="0.2">
      <c r="B177" s="426">
        <v>45627</v>
      </c>
      <c r="C177" s="394">
        <v>1648.65</v>
      </c>
      <c r="D177" s="420">
        <f t="shared" si="4"/>
        <v>9.1315284305288902E-2</v>
      </c>
      <c r="E177" s="394"/>
      <c r="F177" s="418">
        <v>24677.8</v>
      </c>
      <c r="G177" s="420">
        <f t="shared" si="5"/>
        <v>2.2655411481449228E-2</v>
      </c>
      <c r="H177" s="397"/>
      <c r="I177" s="397"/>
      <c r="J177" s="397"/>
      <c r="K177" s="394"/>
      <c r="L177" s="396"/>
      <c r="S177" s="393"/>
      <c r="T177" s="397"/>
      <c r="U177" s="394"/>
    </row>
    <row r="178" spans="2:21" x14ac:dyDescent="0.2">
      <c r="B178" s="426">
        <v>45634</v>
      </c>
      <c r="C178" s="394">
        <v>1669.2</v>
      </c>
      <c r="D178" s="420">
        <f t="shared" si="4"/>
        <v>1.2464743881357432E-2</v>
      </c>
      <c r="E178" s="394"/>
      <c r="F178" s="418">
        <v>24768.3</v>
      </c>
      <c r="G178" s="420">
        <f t="shared" si="5"/>
        <v>3.6672636944945491E-3</v>
      </c>
      <c r="H178" s="397"/>
      <c r="I178" s="397"/>
      <c r="J178" s="397"/>
      <c r="K178" s="394"/>
      <c r="L178" s="396"/>
      <c r="S178" s="393"/>
      <c r="T178" s="397"/>
      <c r="U178" s="394"/>
    </row>
    <row r="179" spans="2:21" x14ac:dyDescent="0.2">
      <c r="B179" s="426">
        <v>45641</v>
      </c>
      <c r="C179" s="394">
        <v>1479.2</v>
      </c>
      <c r="D179" s="420">
        <f t="shared" si="4"/>
        <v>-0.11382698298586147</v>
      </c>
      <c r="E179" s="394"/>
      <c r="F179" s="418">
        <v>23587.5</v>
      </c>
      <c r="G179" s="420">
        <f t="shared" si="5"/>
        <v>-4.7673841159869612E-2</v>
      </c>
      <c r="H179" s="397"/>
      <c r="I179" s="397"/>
      <c r="J179" s="397"/>
      <c r="K179" s="394"/>
      <c r="L179" s="396"/>
      <c r="S179" s="393"/>
      <c r="T179" s="397"/>
      <c r="U179" s="394"/>
    </row>
    <row r="180" spans="2:21" x14ac:dyDescent="0.2">
      <c r="B180" s="426">
        <v>45648</v>
      </c>
      <c r="C180" s="394">
        <v>1451.45</v>
      </c>
      <c r="D180" s="420">
        <f t="shared" si="4"/>
        <v>-1.8760140616549514E-2</v>
      </c>
      <c r="E180" s="394"/>
      <c r="F180" s="418">
        <v>23813.4</v>
      </c>
      <c r="G180" s="420">
        <f t="shared" si="5"/>
        <v>9.5771065182830295E-3</v>
      </c>
      <c r="H180" s="397"/>
      <c r="I180" s="397"/>
      <c r="J180" s="397"/>
      <c r="K180" s="394"/>
      <c r="L180" s="396"/>
      <c r="S180" s="393"/>
      <c r="T180" s="397"/>
      <c r="U180" s="394"/>
    </row>
    <row r="181" spans="2:21" x14ac:dyDescent="0.2">
      <c r="B181" s="426">
        <v>45655</v>
      </c>
      <c r="C181" s="394">
        <v>1513.45</v>
      </c>
      <c r="D181" s="420">
        <f t="shared" si="4"/>
        <v>4.2715904784870196E-2</v>
      </c>
      <c r="E181" s="394"/>
      <c r="F181" s="418">
        <v>24004.75</v>
      </c>
      <c r="G181" s="420">
        <f t="shared" si="5"/>
        <v>8.035391838208783E-3</v>
      </c>
      <c r="H181" s="397"/>
      <c r="I181" s="397"/>
      <c r="J181" s="397"/>
      <c r="K181" s="394"/>
      <c r="L181" s="396"/>
      <c r="S181" s="393"/>
      <c r="T181" s="397"/>
      <c r="U181" s="394"/>
    </row>
    <row r="182" spans="2:21" x14ac:dyDescent="0.2">
      <c r="B182" s="426">
        <v>45662</v>
      </c>
      <c r="C182" s="394">
        <v>1358.25</v>
      </c>
      <c r="D182" s="420">
        <f t="shared" si="4"/>
        <v>-0.10254716046119794</v>
      </c>
      <c r="E182" s="394"/>
      <c r="F182" s="418">
        <v>23431.5</v>
      </c>
      <c r="G182" s="420">
        <f t="shared" si="5"/>
        <v>-2.3880690280048689E-2</v>
      </c>
      <c r="H182" s="397"/>
      <c r="I182" s="397"/>
      <c r="J182" s="397"/>
      <c r="K182" s="394"/>
      <c r="L182" s="396"/>
      <c r="S182" s="393"/>
      <c r="T182" s="397"/>
      <c r="U182" s="394"/>
    </row>
    <row r="183" spans="2:21" x14ac:dyDescent="0.2">
      <c r="B183" s="426">
        <v>45669</v>
      </c>
      <c r="C183" s="394">
        <v>1477</v>
      </c>
      <c r="D183" s="420">
        <f t="shared" si="4"/>
        <v>8.7428676605926681E-2</v>
      </c>
      <c r="E183" s="394"/>
      <c r="F183" s="418">
        <v>23203.200000000001</v>
      </c>
      <c r="G183" s="420">
        <f t="shared" si="5"/>
        <v>-9.7432942833365344E-3</v>
      </c>
      <c r="H183" s="397"/>
      <c r="I183" s="397"/>
      <c r="J183" s="397"/>
      <c r="K183" s="394"/>
      <c r="L183" s="396"/>
      <c r="S183" s="393"/>
      <c r="T183" s="397"/>
      <c r="U183" s="394"/>
    </row>
    <row r="184" spans="2:21" x14ac:dyDescent="0.2">
      <c r="B184" s="426">
        <v>45676</v>
      </c>
      <c r="C184" s="394">
        <v>1469.7</v>
      </c>
      <c r="D184" s="420">
        <f t="shared" si="4"/>
        <v>-4.9424509140149064E-3</v>
      </c>
      <c r="E184" s="394"/>
      <c r="F184" s="418">
        <v>23092.2</v>
      </c>
      <c r="G184" s="420">
        <f t="shared" si="5"/>
        <v>-4.7838229209764549E-3</v>
      </c>
      <c r="H184" s="397"/>
      <c r="I184" s="397"/>
      <c r="J184" s="397"/>
      <c r="K184" s="394"/>
      <c r="L184" s="396"/>
      <c r="S184" s="393"/>
      <c r="T184" s="397"/>
      <c r="U184" s="394"/>
    </row>
    <row r="185" spans="2:21" x14ac:dyDescent="0.2">
      <c r="B185" s="426">
        <v>45683</v>
      </c>
      <c r="C185" s="394">
        <v>1463.45</v>
      </c>
      <c r="D185" s="420">
        <f t="shared" si="4"/>
        <v>-4.2525685514051004E-3</v>
      </c>
      <c r="E185" s="394"/>
      <c r="F185" s="418">
        <v>23508.400000000001</v>
      </c>
      <c r="G185" s="420">
        <f t="shared" si="5"/>
        <v>1.8023401841314346E-2</v>
      </c>
      <c r="H185" s="397"/>
      <c r="I185" s="397"/>
      <c r="J185" s="397"/>
      <c r="K185" s="394"/>
      <c r="L185" s="396"/>
      <c r="S185" s="393"/>
      <c r="T185" s="397"/>
      <c r="U185" s="394"/>
    </row>
    <row r="186" spans="2:21" x14ac:dyDescent="0.2">
      <c r="B186" s="426">
        <v>45690</v>
      </c>
      <c r="C186" s="394">
        <v>1407.3</v>
      </c>
      <c r="D186" s="420">
        <f t="shared" si="4"/>
        <v>-3.8368239434213747E-2</v>
      </c>
      <c r="E186" s="394"/>
      <c r="F186" s="418">
        <v>23559.95</v>
      </c>
      <c r="G186" s="420">
        <f t="shared" si="5"/>
        <v>2.1928332000475947E-3</v>
      </c>
      <c r="H186" s="397"/>
      <c r="I186" s="397"/>
      <c r="J186" s="397"/>
      <c r="K186" s="394"/>
      <c r="L186" s="396"/>
      <c r="S186" s="393"/>
      <c r="T186" s="397"/>
      <c r="U186" s="394"/>
    </row>
    <row r="187" spans="2:21" x14ac:dyDescent="0.2">
      <c r="B187" s="426">
        <v>45697</v>
      </c>
      <c r="C187" s="394">
        <v>1237.7</v>
      </c>
      <c r="D187" s="420">
        <f t="shared" si="4"/>
        <v>-0.12051446031407653</v>
      </c>
      <c r="E187" s="394"/>
      <c r="F187" s="418">
        <v>22929.25</v>
      </c>
      <c r="G187" s="420">
        <f t="shared" si="5"/>
        <v>-2.6770005878620329E-2</v>
      </c>
      <c r="H187" s="397"/>
      <c r="I187" s="397"/>
      <c r="J187" s="397"/>
      <c r="K187" s="394"/>
      <c r="L187" s="396"/>
      <c r="S187" s="393"/>
      <c r="T187" s="397"/>
      <c r="U187" s="394"/>
    </row>
    <row r="188" spans="2:21" x14ac:dyDescent="0.2">
      <c r="B188" s="426">
        <v>45704</v>
      </c>
      <c r="C188" s="394">
        <v>1289.3</v>
      </c>
      <c r="D188" s="420">
        <f t="shared" si="4"/>
        <v>4.1690231881716056E-2</v>
      </c>
      <c r="E188" s="394"/>
      <c r="F188" s="418">
        <v>22795.9</v>
      </c>
      <c r="G188" s="420">
        <f t="shared" si="5"/>
        <v>-5.8157157342695331E-3</v>
      </c>
      <c r="H188" s="397"/>
      <c r="I188" s="397"/>
      <c r="J188" s="397"/>
      <c r="K188" s="394"/>
      <c r="L188" s="396"/>
      <c r="S188" s="393"/>
      <c r="T188" s="397"/>
      <c r="U188" s="394"/>
    </row>
    <row r="189" spans="2:21" x14ac:dyDescent="0.2">
      <c r="B189" s="426">
        <v>45711</v>
      </c>
      <c r="C189" s="394">
        <v>1262.95</v>
      </c>
      <c r="D189" s="420">
        <f t="shared" si="4"/>
        <v>-2.0437446676491056E-2</v>
      </c>
      <c r="E189" s="394"/>
      <c r="F189" s="418">
        <v>22124.7</v>
      </c>
      <c r="G189" s="420">
        <f t="shared" si="5"/>
        <v>-2.9443891226053842E-2</v>
      </c>
      <c r="H189" s="397"/>
      <c r="I189" s="397"/>
      <c r="J189" s="397"/>
      <c r="K189" s="394"/>
      <c r="L189" s="396"/>
      <c r="S189" s="393"/>
      <c r="T189" s="397"/>
      <c r="U189" s="394"/>
    </row>
    <row r="190" spans="2:21" x14ac:dyDescent="0.2">
      <c r="B190" s="426">
        <v>45718</v>
      </c>
      <c r="C190" s="394">
        <v>1332</v>
      </c>
      <c r="D190" s="420">
        <f t="shared" si="4"/>
        <v>5.4673581693653661E-2</v>
      </c>
      <c r="E190" s="394"/>
      <c r="F190" s="418">
        <v>22552.5</v>
      </c>
      <c r="G190" s="420">
        <f t="shared" si="5"/>
        <v>1.9335855401429125E-2</v>
      </c>
      <c r="H190" s="397"/>
      <c r="I190" s="397"/>
      <c r="J190" s="397"/>
      <c r="K190" s="394"/>
      <c r="L190" s="396"/>
      <c r="S190" s="393"/>
      <c r="T190" s="397"/>
      <c r="U190" s="394"/>
    </row>
    <row r="191" spans="2:21" x14ac:dyDescent="0.2">
      <c r="B191" s="426">
        <v>45725</v>
      </c>
      <c r="C191" s="394">
        <v>1291.2</v>
      </c>
      <c r="D191" s="420">
        <f t="shared" si="4"/>
        <v>-3.0630630630630651E-2</v>
      </c>
      <c r="E191" s="394"/>
      <c r="F191" s="418">
        <v>22397.200000000001</v>
      </c>
      <c r="G191" s="420">
        <f t="shared" si="5"/>
        <v>-6.8861545283227521E-3</v>
      </c>
      <c r="H191" s="397"/>
      <c r="I191" s="397"/>
      <c r="J191" s="397"/>
      <c r="K191" s="394"/>
      <c r="L191" s="396"/>
      <c r="S191" s="393"/>
      <c r="T191" s="397"/>
      <c r="U191" s="394"/>
    </row>
    <row r="192" spans="2:21" x14ac:dyDescent="0.2">
      <c r="B192" s="426">
        <v>45732</v>
      </c>
      <c r="C192" s="394">
        <v>1498.55</v>
      </c>
      <c r="D192" s="420">
        <f t="shared" si="4"/>
        <v>0.16058705080545232</v>
      </c>
      <c r="E192" s="394"/>
      <c r="F192" s="418">
        <v>23350.400000000001</v>
      </c>
      <c r="G192" s="420">
        <f t="shared" si="5"/>
        <v>4.2558891289982803E-2</v>
      </c>
      <c r="H192" s="397"/>
      <c r="I192" s="397"/>
      <c r="J192" s="397"/>
      <c r="K192" s="394"/>
      <c r="L192" s="396"/>
      <c r="S192" s="393"/>
      <c r="T192" s="397"/>
      <c r="U192" s="394"/>
    </row>
    <row r="193" spans="2:21" x14ac:dyDescent="0.2">
      <c r="B193" s="426">
        <v>45739</v>
      </c>
      <c r="C193" s="394">
        <v>1486.85</v>
      </c>
      <c r="D193" s="420">
        <f t="shared" si="4"/>
        <v>-7.8075472957191971E-3</v>
      </c>
      <c r="E193" s="394"/>
      <c r="F193" s="418">
        <v>23519.35</v>
      </c>
      <c r="G193" s="420">
        <f t="shared" si="5"/>
        <v>7.2354220912702605E-3</v>
      </c>
      <c r="H193" s="397"/>
      <c r="I193" s="397"/>
      <c r="J193" s="397"/>
      <c r="K193" s="394"/>
      <c r="L193" s="396"/>
      <c r="S193" s="393"/>
      <c r="T193" s="397"/>
      <c r="U193" s="394"/>
    </row>
    <row r="194" spans="2:21" x14ac:dyDescent="0.2">
      <c r="B194" s="426">
        <v>45746</v>
      </c>
      <c r="C194" s="394">
        <v>1537.05</v>
      </c>
      <c r="D194" s="420">
        <f t="shared" si="4"/>
        <v>3.3762652587685515E-2</v>
      </c>
      <c r="E194" s="394"/>
      <c r="F194" s="418">
        <v>22904.45</v>
      </c>
      <c r="G194" s="420">
        <f t="shared" si="5"/>
        <v>-2.6144430011883713E-2</v>
      </c>
      <c r="H194" s="397"/>
      <c r="I194" s="397"/>
      <c r="J194" s="397"/>
      <c r="K194" s="394"/>
      <c r="L194" s="396"/>
      <c r="S194" s="393"/>
      <c r="T194" s="397"/>
      <c r="U194" s="394"/>
    </row>
    <row r="195" spans="2:21" x14ac:dyDescent="0.2">
      <c r="B195" s="426">
        <v>45753</v>
      </c>
      <c r="C195" s="394">
        <v>1562.15</v>
      </c>
      <c r="D195" s="420">
        <f t="shared" si="4"/>
        <v>1.6329982759181627E-2</v>
      </c>
      <c r="E195" s="394"/>
      <c r="F195" s="418">
        <v>22828.55</v>
      </c>
      <c r="G195" s="420">
        <f t="shared" si="5"/>
        <v>-3.3137665388167648E-3</v>
      </c>
      <c r="H195" s="397"/>
      <c r="I195" s="397"/>
      <c r="J195" s="397"/>
      <c r="K195" s="394"/>
      <c r="L195" s="396"/>
      <c r="S195" s="393"/>
      <c r="T195" s="397"/>
      <c r="U195" s="394"/>
    </row>
    <row r="196" spans="2:21" x14ac:dyDescent="0.2">
      <c r="B196" s="426">
        <v>45760</v>
      </c>
      <c r="C196" s="394">
        <v>1591</v>
      </c>
      <c r="D196" s="420">
        <f t="shared" si="4"/>
        <v>1.8468136862657136E-2</v>
      </c>
      <c r="E196" s="394"/>
      <c r="F196" s="418">
        <v>23851.65</v>
      </c>
      <c r="G196" s="420">
        <f t="shared" si="5"/>
        <v>4.4816687875489425E-2</v>
      </c>
      <c r="H196" s="397"/>
      <c r="I196" s="397"/>
      <c r="J196" s="397"/>
      <c r="K196" s="394"/>
      <c r="L196" s="396"/>
      <c r="S196" s="393"/>
      <c r="T196" s="397"/>
      <c r="U196" s="394"/>
    </row>
    <row r="197" spans="2:21" x14ac:dyDescent="0.2">
      <c r="B197" s="426">
        <v>45767</v>
      </c>
      <c r="C197" s="394">
        <v>1538.6</v>
      </c>
      <c r="D197" s="420">
        <f t="shared" si="4"/>
        <v>-3.2935260842237635E-2</v>
      </c>
      <c r="E197" s="394"/>
      <c r="F197" s="418">
        <v>24039.35</v>
      </c>
      <c r="G197" s="420">
        <f t="shared" si="5"/>
        <v>7.86947653516612E-3</v>
      </c>
      <c r="H197" s="397"/>
      <c r="I197" s="397"/>
      <c r="J197" s="397"/>
      <c r="K197" s="394"/>
      <c r="L197" s="396"/>
      <c r="S197" s="393"/>
      <c r="T197" s="397"/>
      <c r="U197" s="394"/>
    </row>
    <row r="198" spans="2:21" x14ac:dyDescent="0.2">
      <c r="B198" s="426">
        <v>45774</v>
      </c>
      <c r="C198" s="394">
        <v>1490.4</v>
      </c>
      <c r="D198" s="420">
        <f t="shared" si="4"/>
        <v>-3.1327180553750056E-2</v>
      </c>
      <c r="E198" s="394"/>
      <c r="F198" s="418">
        <v>24346.7</v>
      </c>
      <c r="G198" s="420">
        <f t="shared" si="5"/>
        <v>1.2785287455775673E-2</v>
      </c>
      <c r="H198" s="397"/>
      <c r="I198" s="397"/>
      <c r="J198" s="397"/>
      <c r="K198" s="394"/>
      <c r="L198" s="396"/>
      <c r="S198" s="393"/>
      <c r="T198" s="397"/>
      <c r="U198" s="394"/>
    </row>
    <row r="199" spans="2:21" x14ac:dyDescent="0.2">
      <c r="B199" s="426">
        <v>45781</v>
      </c>
      <c r="C199" s="394">
        <v>1371.7</v>
      </c>
      <c r="D199" s="420">
        <f t="shared" si="4"/>
        <v>-7.9643048845947417E-2</v>
      </c>
      <c r="E199" s="394"/>
      <c r="F199" s="418">
        <v>24008</v>
      </c>
      <c r="G199" s="420">
        <f t="shared" si="5"/>
        <v>-1.391153626569519E-2</v>
      </c>
      <c r="H199" s="397"/>
      <c r="I199" s="397"/>
      <c r="J199" s="397"/>
      <c r="K199" s="394"/>
      <c r="L199" s="396"/>
      <c r="S199" s="393"/>
      <c r="T199" s="397"/>
      <c r="U199" s="394"/>
    </row>
    <row r="200" spans="2:21" x14ac:dyDescent="0.2">
      <c r="B200" s="426">
        <v>45788</v>
      </c>
      <c r="C200" s="394">
        <v>1442.8</v>
      </c>
      <c r="D200" s="420">
        <f t="shared" si="4"/>
        <v>5.1833491288182376E-2</v>
      </c>
      <c r="E200" s="394"/>
      <c r="F200" s="418">
        <v>25019.8</v>
      </c>
      <c r="G200" s="420">
        <f t="shared" si="5"/>
        <v>4.2144285238253865E-2</v>
      </c>
      <c r="H200" s="397"/>
      <c r="I200" s="397"/>
      <c r="J200" s="397"/>
      <c r="K200" s="394"/>
      <c r="L200" s="396"/>
      <c r="S200" s="393"/>
      <c r="T200" s="397"/>
      <c r="U200" s="394"/>
    </row>
    <row r="201" spans="2:21" x14ac:dyDescent="0.2">
      <c r="B201" s="426">
        <v>45795</v>
      </c>
      <c r="C201" s="394">
        <v>1401.9</v>
      </c>
      <c r="D201" s="420">
        <f t="shared" si="4"/>
        <v>-2.8347657332963627E-2</v>
      </c>
      <c r="E201" s="394"/>
      <c r="F201" s="418">
        <v>24853.15</v>
      </c>
      <c r="G201" s="420">
        <f t="shared" si="5"/>
        <v>-6.660724706032739E-3</v>
      </c>
      <c r="H201" s="397"/>
      <c r="I201" s="397"/>
      <c r="J201" s="397"/>
      <c r="K201" s="394"/>
      <c r="L201" s="396"/>
      <c r="S201" s="393"/>
      <c r="T201" s="397"/>
      <c r="U201" s="394"/>
    </row>
    <row r="202" spans="2:21" x14ac:dyDescent="0.2">
      <c r="B202" s="426">
        <v>45802</v>
      </c>
      <c r="C202" s="394">
        <v>1374</v>
      </c>
      <c r="D202" s="420">
        <f t="shared" si="4"/>
        <v>-1.9901562165632436E-2</v>
      </c>
      <c r="E202" s="394"/>
      <c r="F202" s="418">
        <v>24750.7</v>
      </c>
      <c r="G202" s="420">
        <f t="shared" si="5"/>
        <v>-4.1222138843567402E-3</v>
      </c>
      <c r="H202" s="397"/>
      <c r="I202" s="397"/>
      <c r="J202" s="397"/>
      <c r="K202" s="394"/>
      <c r="L202" s="396"/>
      <c r="S202" s="393"/>
      <c r="T202" s="397"/>
      <c r="U202" s="394"/>
    </row>
    <row r="203" spans="2:21" x14ac:dyDescent="0.2">
      <c r="B203" s="426">
        <v>45809</v>
      </c>
      <c r="C203" s="394">
        <v>1408</v>
      </c>
      <c r="D203" s="420">
        <f t="shared" ref="D203:D266" si="6">C203/C202-1</f>
        <v>2.4745269286754024E-2</v>
      </c>
      <c r="E203" s="394"/>
      <c r="F203" s="418">
        <v>25003.05</v>
      </c>
      <c r="G203" s="420">
        <f t="shared" si="5"/>
        <v>1.0195671233540704E-2</v>
      </c>
      <c r="H203" s="397"/>
      <c r="I203" s="397"/>
      <c r="J203" s="397"/>
      <c r="K203" s="394"/>
      <c r="L203" s="396"/>
      <c r="S203" s="393"/>
      <c r="T203" s="397"/>
      <c r="U203" s="394"/>
    </row>
    <row r="204" spans="2:21" x14ac:dyDescent="0.2">
      <c r="B204" s="426">
        <v>45816</v>
      </c>
      <c r="C204" s="394">
        <v>1414</v>
      </c>
      <c r="D204" s="420">
        <f t="shared" si="6"/>
        <v>4.2613636363635354E-3</v>
      </c>
      <c r="E204" s="394"/>
      <c r="F204" s="418">
        <v>24718.6</v>
      </c>
      <c r="G204" s="420">
        <f t="shared" ref="G204:G267" si="7">F204/F203-1</f>
        <v>-1.1376612053329516E-2</v>
      </c>
      <c r="H204" s="397"/>
      <c r="I204" s="397"/>
      <c r="J204" s="397"/>
      <c r="K204" s="394"/>
      <c r="L204" s="396"/>
      <c r="S204" s="393"/>
      <c r="T204" s="397"/>
      <c r="U204" s="394"/>
    </row>
    <row r="205" spans="2:21" x14ac:dyDescent="0.2">
      <c r="B205" s="426">
        <v>45823</v>
      </c>
      <c r="C205" s="394">
        <v>1390.1</v>
      </c>
      <c r="D205" s="420">
        <f t="shared" si="6"/>
        <v>-1.6902404526166981E-2</v>
      </c>
      <c r="E205" s="394"/>
      <c r="F205" s="418">
        <v>25112.400000000001</v>
      </c>
      <c r="G205" s="420">
        <f t="shared" si="7"/>
        <v>1.5931322971365791E-2</v>
      </c>
      <c r="H205" s="397"/>
      <c r="I205" s="397"/>
      <c r="J205" s="397"/>
      <c r="K205" s="394"/>
      <c r="L205" s="396"/>
      <c r="S205" s="393"/>
      <c r="T205" s="397"/>
      <c r="U205" s="394"/>
    </row>
    <row r="206" spans="2:21" x14ac:dyDescent="0.2">
      <c r="B206" s="426">
        <v>45830</v>
      </c>
      <c r="C206" s="394">
        <v>1473.2</v>
      </c>
      <c r="D206" s="420">
        <f t="shared" si="6"/>
        <v>5.9779871951658237E-2</v>
      </c>
      <c r="E206" s="394"/>
      <c r="F206" s="418">
        <v>25637.8</v>
      </c>
      <c r="G206" s="420">
        <f t="shared" si="7"/>
        <v>2.092193498032846E-2</v>
      </c>
      <c r="H206" s="397"/>
      <c r="I206" s="397"/>
      <c r="J206" s="397"/>
      <c r="K206" s="394"/>
      <c r="L206" s="396"/>
      <c r="S206" s="393"/>
      <c r="T206" s="397"/>
      <c r="U206" s="394"/>
    </row>
    <row r="207" spans="2:21" x14ac:dyDescent="0.2">
      <c r="B207" s="426">
        <v>45837</v>
      </c>
      <c r="C207" s="394">
        <v>1439.8</v>
      </c>
      <c r="D207" s="420">
        <f t="shared" si="6"/>
        <v>-2.2671734998642501E-2</v>
      </c>
      <c r="E207" s="394"/>
      <c r="F207" s="418">
        <v>25461</v>
      </c>
      <c r="G207" s="420">
        <f t="shared" si="7"/>
        <v>-6.8960675252947023E-3</v>
      </c>
      <c r="H207" s="397"/>
      <c r="I207" s="397"/>
      <c r="J207" s="397"/>
      <c r="K207" s="394"/>
      <c r="L207" s="396"/>
      <c r="S207" s="393"/>
      <c r="T207" s="397"/>
      <c r="U207" s="394"/>
    </row>
    <row r="208" spans="2:21" x14ac:dyDescent="0.2">
      <c r="B208" s="426">
        <v>45844</v>
      </c>
      <c r="C208" s="394">
        <v>1408.1</v>
      </c>
      <c r="D208" s="420">
        <f t="shared" si="6"/>
        <v>-2.2016946798166459E-2</v>
      </c>
      <c r="E208" s="394"/>
      <c r="F208" s="418">
        <v>25149.85</v>
      </c>
      <c r="G208" s="420">
        <f t="shared" si="7"/>
        <v>-1.2220651192019205E-2</v>
      </c>
      <c r="H208" s="397"/>
      <c r="I208" s="397"/>
      <c r="J208" s="397"/>
      <c r="K208" s="394"/>
      <c r="L208" s="396"/>
      <c r="S208" s="393"/>
      <c r="T208" s="397"/>
      <c r="U208" s="394"/>
    </row>
    <row r="209" spans="2:21" x14ac:dyDescent="0.2">
      <c r="B209" s="426">
        <v>45851</v>
      </c>
      <c r="C209" s="394">
        <v>1368.6</v>
      </c>
      <c r="D209" s="420">
        <f t="shared" si="6"/>
        <v>-2.8051984944251096E-2</v>
      </c>
      <c r="E209" s="394"/>
      <c r="F209" s="418">
        <v>24968.400000000001</v>
      </c>
      <c r="G209" s="420">
        <f t="shared" si="7"/>
        <v>-7.214754759968578E-3</v>
      </c>
      <c r="H209" s="397"/>
      <c r="I209" s="397"/>
      <c r="J209" s="397"/>
      <c r="K209" s="394"/>
      <c r="L209" s="396"/>
      <c r="S209" s="393"/>
      <c r="T209" s="397"/>
      <c r="U209" s="394"/>
    </row>
    <row r="210" spans="2:21" x14ac:dyDescent="0.2">
      <c r="B210" s="426">
        <v>45858</v>
      </c>
      <c r="C210" s="394">
        <v>1325.5</v>
      </c>
      <c r="D210" s="420">
        <f t="shared" si="6"/>
        <v>-3.1492035656875528E-2</v>
      </c>
      <c r="E210" s="394"/>
      <c r="F210" s="418">
        <v>24837</v>
      </c>
      <c r="G210" s="420">
        <f t="shared" si="7"/>
        <v>-5.2626519921180615E-3</v>
      </c>
      <c r="H210" s="397"/>
      <c r="I210" s="397"/>
      <c r="J210" s="397"/>
      <c r="K210" s="394"/>
      <c r="L210" s="396"/>
      <c r="S210" s="393"/>
      <c r="T210" s="397"/>
      <c r="U210" s="394"/>
    </row>
    <row r="211" spans="2:21" x14ac:dyDescent="0.2">
      <c r="B211" s="426">
        <v>45865</v>
      </c>
      <c r="C211" s="394">
        <v>1288.2</v>
      </c>
      <c r="D211" s="420">
        <f t="shared" si="6"/>
        <v>-2.8140324405884543E-2</v>
      </c>
      <c r="E211" s="394"/>
      <c r="F211" s="418">
        <v>24565.35</v>
      </c>
      <c r="G211" s="420">
        <f t="shared" si="7"/>
        <v>-1.0937311269477057E-2</v>
      </c>
      <c r="H211" s="397"/>
      <c r="I211" s="397"/>
      <c r="J211" s="397"/>
      <c r="K211" s="394"/>
      <c r="L211" s="396"/>
      <c r="S211" s="393"/>
      <c r="T211" s="397"/>
      <c r="U211" s="394"/>
    </row>
    <row r="212" spans="2:21" x14ac:dyDescent="0.2">
      <c r="B212" s="426">
        <v>45872</v>
      </c>
      <c r="C212" s="394">
        <v>1335.8</v>
      </c>
      <c r="D212" s="420">
        <f t="shared" si="6"/>
        <v>3.6950784039745388E-2</v>
      </c>
      <c r="E212" s="394"/>
      <c r="F212" s="418">
        <v>24363.3</v>
      </c>
      <c r="G212" s="420">
        <f t="shared" si="7"/>
        <v>-8.2249998473459263E-3</v>
      </c>
      <c r="H212" s="397"/>
      <c r="I212" s="397"/>
      <c r="J212" s="397"/>
      <c r="K212" s="394"/>
      <c r="L212" s="396"/>
      <c r="S212" s="393"/>
      <c r="T212" s="397"/>
      <c r="U212" s="394"/>
    </row>
    <row r="213" spans="2:21" x14ac:dyDescent="0.2">
      <c r="B213" s="426">
        <v>45879</v>
      </c>
      <c r="C213" s="394">
        <v>1329.6</v>
      </c>
      <c r="D213" s="420">
        <f t="shared" si="6"/>
        <v>-4.6414133852373807E-3</v>
      </c>
      <c r="E213" s="394"/>
      <c r="F213" s="418">
        <v>24631.3</v>
      </c>
      <c r="G213" s="420">
        <f t="shared" si="7"/>
        <v>1.100015186776826E-2</v>
      </c>
      <c r="H213" s="397"/>
      <c r="I213" s="397"/>
      <c r="J213" s="397"/>
      <c r="K213" s="394"/>
      <c r="L213" s="396"/>
      <c r="S213" s="393"/>
      <c r="T213" s="397"/>
      <c r="U213" s="394"/>
    </row>
    <row r="214" spans="2:21" x14ac:dyDescent="0.2">
      <c r="B214" s="426">
        <v>45886</v>
      </c>
      <c r="C214" s="394">
        <v>1282</v>
      </c>
      <c r="D214" s="420">
        <f t="shared" si="6"/>
        <v>-3.5800240673886763E-2</v>
      </c>
      <c r="E214" s="394"/>
      <c r="F214" s="418">
        <v>24870.1</v>
      </c>
      <c r="G214" s="420">
        <f t="shared" si="7"/>
        <v>9.6949815884666002E-3</v>
      </c>
      <c r="H214" s="397"/>
      <c r="I214" s="397"/>
      <c r="J214" s="397"/>
      <c r="K214" s="394"/>
      <c r="L214" s="396"/>
      <c r="S214" s="393"/>
      <c r="T214" s="397"/>
      <c r="U214" s="394"/>
    </row>
    <row r="215" spans="2:21" x14ac:dyDescent="0.2">
      <c r="B215" s="426">
        <v>45893</v>
      </c>
      <c r="C215" s="394">
        <v>1227.3</v>
      </c>
      <c r="D215" s="420">
        <f t="shared" si="6"/>
        <v>-4.266770670826836E-2</v>
      </c>
      <c r="E215" s="394"/>
      <c r="F215" s="418">
        <v>24426.85</v>
      </c>
      <c r="G215" s="420">
        <f t="shared" si="7"/>
        <v>-1.7822606262138052E-2</v>
      </c>
      <c r="H215" s="397"/>
      <c r="I215" s="397"/>
      <c r="J215" s="397"/>
      <c r="K215" s="394"/>
      <c r="L215" s="396"/>
      <c r="S215" s="393"/>
      <c r="T215" s="397"/>
      <c r="U215" s="394"/>
    </row>
    <row r="216" spans="2:21" x14ac:dyDescent="0.2">
      <c r="B216" s="426">
        <v>45900</v>
      </c>
      <c r="C216" s="394">
        <v>1262.9000000000001</v>
      </c>
      <c r="D216" s="420">
        <f t="shared" si="6"/>
        <v>2.9006762812678444E-2</v>
      </c>
      <c r="E216" s="394"/>
      <c r="F216" s="418">
        <v>24741</v>
      </c>
      <c r="G216" s="420">
        <f t="shared" si="7"/>
        <v>1.2860847796584585E-2</v>
      </c>
      <c r="H216" s="397"/>
      <c r="I216" s="397"/>
      <c r="J216" s="397"/>
      <c r="K216" s="394"/>
      <c r="L216" s="396"/>
      <c r="S216" s="393"/>
      <c r="T216" s="397"/>
      <c r="U216" s="394"/>
    </row>
    <row r="217" spans="2:21" x14ac:dyDescent="0.2">
      <c r="B217" s="426">
        <v>45907</v>
      </c>
      <c r="C217" s="394">
        <v>1267.8</v>
      </c>
      <c r="D217" s="420">
        <f t="shared" si="6"/>
        <v>3.8799588249267547E-3</v>
      </c>
      <c r="E217" s="394"/>
      <c r="F217" s="418">
        <v>25114</v>
      </c>
      <c r="G217" s="420">
        <f t="shared" si="7"/>
        <v>1.5076189321369338E-2</v>
      </c>
      <c r="H217" s="397"/>
      <c r="I217" s="397"/>
      <c r="J217" s="397"/>
      <c r="K217" s="394"/>
      <c r="L217" s="396"/>
      <c r="S217" s="393"/>
      <c r="T217" s="397"/>
      <c r="U217" s="394"/>
    </row>
    <row r="218" spans="2:21" x14ac:dyDescent="0.2">
      <c r="B218" s="426">
        <v>45914</v>
      </c>
      <c r="C218" s="394">
        <v>1264.5</v>
      </c>
      <c r="D218" s="420">
        <f t="shared" si="6"/>
        <v>-2.6029342167533942E-3</v>
      </c>
      <c r="E218" s="394"/>
      <c r="F218" s="418">
        <v>25327.05</v>
      </c>
      <c r="G218" s="420">
        <f t="shared" si="7"/>
        <v>8.4833160786812467E-3</v>
      </c>
      <c r="H218" s="397"/>
      <c r="I218" s="397"/>
      <c r="J218" s="397"/>
      <c r="K218" s="394"/>
      <c r="L218" s="396"/>
      <c r="S218" s="393"/>
      <c r="T218" s="397"/>
      <c r="U218" s="394"/>
    </row>
    <row r="219" spans="2:21" x14ac:dyDescent="0.2">
      <c r="B219" s="426">
        <v>45921</v>
      </c>
      <c r="C219" s="394">
        <v>1233.3</v>
      </c>
      <c r="D219" s="420">
        <f t="shared" si="6"/>
        <v>-2.467378410438914E-2</v>
      </c>
      <c r="E219" s="394"/>
      <c r="F219" s="418">
        <v>24654.7</v>
      </c>
      <c r="G219" s="420">
        <f t="shared" si="7"/>
        <v>-2.6546715863079107E-2</v>
      </c>
      <c r="H219" s="397"/>
      <c r="I219" s="397"/>
      <c r="J219" s="397"/>
      <c r="K219" s="394"/>
      <c r="L219" s="396"/>
      <c r="S219" s="393"/>
      <c r="T219" s="397"/>
      <c r="U219" s="394"/>
    </row>
    <row r="220" spans="2:21" x14ac:dyDescent="0.2">
      <c r="B220" s="426">
        <v>45928</v>
      </c>
      <c r="C220" s="394">
        <v>1221.0999999999999</v>
      </c>
      <c r="D220" s="420">
        <f t="shared" si="6"/>
        <v>-9.8921592475472719E-3</v>
      </c>
      <c r="E220" s="394"/>
      <c r="F220" s="418">
        <v>24894.25</v>
      </c>
      <c r="G220" s="420">
        <f t="shared" si="7"/>
        <v>9.7162001565624934E-3</v>
      </c>
      <c r="H220" s="397"/>
      <c r="I220" s="397"/>
      <c r="J220" s="397"/>
      <c r="K220" s="394"/>
      <c r="L220" s="396"/>
      <c r="S220" s="393"/>
      <c r="T220" s="397"/>
      <c r="U220" s="394"/>
    </row>
    <row r="221" spans="2:21" x14ac:dyDescent="0.2">
      <c r="B221" s="426">
        <v>45935</v>
      </c>
      <c r="C221" s="394">
        <v>1239.3</v>
      </c>
      <c r="D221" s="420">
        <f t="shared" si="6"/>
        <v>1.4904594218327682E-2</v>
      </c>
      <c r="E221" s="394"/>
      <c r="F221" s="418">
        <v>25285.35</v>
      </c>
      <c r="G221" s="420">
        <f t="shared" si="7"/>
        <v>1.5710455225604214E-2</v>
      </c>
      <c r="H221" s="397"/>
      <c r="I221" s="397"/>
      <c r="J221" s="397"/>
      <c r="K221" s="394"/>
      <c r="L221" s="396"/>
      <c r="S221" s="393"/>
      <c r="T221" s="397"/>
      <c r="U221" s="394"/>
    </row>
    <row r="222" spans="2:21" x14ac:dyDescent="0.2">
      <c r="B222" s="426">
        <v>45942</v>
      </c>
      <c r="C222" s="394">
        <v>1311.8</v>
      </c>
      <c r="D222" s="420">
        <f t="shared" si="6"/>
        <v>5.8500766561768724E-2</v>
      </c>
      <c r="E222" s="394"/>
      <c r="F222" s="418">
        <v>25709.85</v>
      </c>
      <c r="G222" s="420">
        <f t="shared" si="7"/>
        <v>1.6788377459675319E-2</v>
      </c>
      <c r="H222" s="397"/>
      <c r="I222" s="397"/>
      <c r="J222" s="397"/>
      <c r="K222" s="394"/>
      <c r="L222" s="396"/>
      <c r="S222" s="393"/>
      <c r="T222" s="397"/>
      <c r="U222" s="394"/>
    </row>
    <row r="223" spans="2:21" x14ac:dyDescent="0.2">
      <c r="B223" s="426">
        <v>45949</v>
      </c>
      <c r="C223" s="394">
        <v>1325.8</v>
      </c>
      <c r="D223" s="420">
        <f t="shared" si="6"/>
        <v>1.067235859124871E-2</v>
      </c>
      <c r="E223" s="394"/>
      <c r="F223" s="418">
        <v>25795.15</v>
      </c>
      <c r="G223" s="420">
        <f t="shared" si="7"/>
        <v>3.3177945417808274E-3</v>
      </c>
      <c r="H223" s="397"/>
      <c r="I223" s="397"/>
      <c r="J223" s="397"/>
      <c r="K223" s="394"/>
      <c r="L223" s="396"/>
      <c r="S223" s="393"/>
      <c r="T223" s="397"/>
      <c r="U223" s="394"/>
    </row>
    <row r="224" spans="2:21" x14ac:dyDescent="0.2">
      <c r="B224" s="426">
        <v>45956</v>
      </c>
      <c r="C224" s="394">
        <v>1316.5</v>
      </c>
      <c r="D224" s="420">
        <f t="shared" si="6"/>
        <v>-7.0146326746115539E-3</v>
      </c>
      <c r="E224" s="394"/>
      <c r="F224" s="418">
        <v>25722.1</v>
      </c>
      <c r="G224" s="420">
        <f t="shared" si="7"/>
        <v>-2.8319277073404203E-3</v>
      </c>
      <c r="H224" s="397"/>
      <c r="I224" s="397"/>
      <c r="J224" s="397"/>
      <c r="K224" s="394"/>
      <c r="L224" s="396"/>
      <c r="S224" s="393"/>
      <c r="T224" s="397"/>
      <c r="U224" s="394"/>
    </row>
    <row r="225" spans="2:21" x14ac:dyDescent="0.2">
      <c r="B225" s="426">
        <v>45963</v>
      </c>
      <c r="C225" s="394">
        <v>1281.2</v>
      </c>
      <c r="D225" s="420">
        <f t="shared" si="6"/>
        <v>-2.681352069882259E-2</v>
      </c>
      <c r="E225" s="394"/>
      <c r="F225" s="418">
        <v>25492.3</v>
      </c>
      <c r="G225" s="420">
        <f t="shared" si="7"/>
        <v>-8.9339517379996014E-3</v>
      </c>
      <c r="H225" s="397"/>
      <c r="I225" s="397"/>
      <c r="J225" s="397"/>
      <c r="K225" s="394"/>
      <c r="L225" s="396"/>
      <c r="S225" s="393"/>
      <c r="T225" s="397"/>
      <c r="U225" s="394"/>
    </row>
    <row r="226" spans="2:21" x14ac:dyDescent="0.2">
      <c r="B226" s="426">
        <v>45970</v>
      </c>
      <c r="C226" s="394">
        <v>1301</v>
      </c>
      <c r="D226" s="420">
        <f t="shared" si="6"/>
        <v>1.5454261629722188E-2</v>
      </c>
      <c r="E226" s="394"/>
      <c r="F226" s="418">
        <v>25910.05</v>
      </c>
      <c r="G226" s="420">
        <f t="shared" si="7"/>
        <v>1.6387301263518728E-2</v>
      </c>
      <c r="H226" s="397"/>
      <c r="I226" s="397"/>
      <c r="J226" s="397"/>
      <c r="K226" s="394"/>
      <c r="L226" s="396"/>
      <c r="S226" s="393"/>
      <c r="T226" s="397"/>
      <c r="U226" s="394"/>
    </row>
    <row r="227" spans="2:21" x14ac:dyDescent="0.2">
      <c r="B227" s="426">
        <v>45977</v>
      </c>
      <c r="C227" s="394">
        <v>1291.4000000000001</v>
      </c>
      <c r="D227" s="420">
        <f t="shared" si="6"/>
        <v>-7.378939277478791E-3</v>
      </c>
      <c r="E227" s="394"/>
      <c r="F227" s="418">
        <v>26068.15</v>
      </c>
      <c r="G227" s="420">
        <f t="shared" si="7"/>
        <v>6.1018793865701415E-3</v>
      </c>
      <c r="H227" s="397"/>
      <c r="I227" s="397"/>
      <c r="J227" s="397"/>
      <c r="K227" s="394"/>
      <c r="L227" s="396"/>
      <c r="S227" s="393"/>
      <c r="T227" s="397"/>
      <c r="U227" s="394"/>
    </row>
    <row r="228" spans="2:21" x14ac:dyDescent="0.2">
      <c r="B228" s="426">
        <v>45984</v>
      </c>
      <c r="C228" s="394">
        <v>1314.5</v>
      </c>
      <c r="D228" s="420">
        <f t="shared" si="6"/>
        <v>1.7887563884156688E-2</v>
      </c>
      <c r="E228" s="394"/>
      <c r="F228" s="418">
        <v>26202.95</v>
      </c>
      <c r="G228" s="420">
        <f t="shared" si="7"/>
        <v>5.1710612375637233E-3</v>
      </c>
      <c r="H228" s="397"/>
      <c r="I228" s="397"/>
      <c r="J228" s="397"/>
      <c r="K228" s="394"/>
      <c r="L228" s="396"/>
      <c r="S228" s="393"/>
      <c r="T228" s="397"/>
      <c r="U228" s="394"/>
    </row>
    <row r="229" spans="2:21" x14ac:dyDescent="0.2">
      <c r="B229" s="426">
        <v>45991</v>
      </c>
      <c r="C229" s="394">
        <v>1289.9000000000001</v>
      </c>
      <c r="D229" s="420">
        <f t="shared" si="6"/>
        <v>-1.8714340053252121E-2</v>
      </c>
      <c r="E229" s="394"/>
      <c r="F229" s="418">
        <v>26186.45</v>
      </c>
      <c r="G229" s="420">
        <f t="shared" si="7"/>
        <v>-6.297000910202577E-4</v>
      </c>
      <c r="H229" s="397"/>
      <c r="I229" s="397"/>
      <c r="J229" s="397"/>
      <c r="K229" s="394"/>
      <c r="L229" s="396"/>
      <c r="S229" s="393"/>
      <c r="T229" s="397"/>
      <c r="U229" s="394"/>
    </row>
    <row r="230" spans="2:21" x14ac:dyDescent="0.2">
      <c r="B230" s="426">
        <v>45998</v>
      </c>
      <c r="C230" s="394">
        <v>1290.8</v>
      </c>
      <c r="D230" s="420">
        <f t="shared" si="6"/>
        <v>6.9772850608562642E-4</v>
      </c>
      <c r="E230" s="394"/>
      <c r="F230" s="418">
        <v>26046.95</v>
      </c>
      <c r="G230" s="420">
        <f t="shared" si="7"/>
        <v>-5.3271825696113995E-3</v>
      </c>
      <c r="H230" s="397"/>
      <c r="I230" s="397"/>
      <c r="J230" s="397"/>
      <c r="K230" s="394"/>
      <c r="L230" s="396"/>
      <c r="S230" s="393"/>
      <c r="T230" s="397"/>
      <c r="U230" s="394"/>
    </row>
    <row r="231" spans="2:21" x14ac:dyDescent="0.2">
      <c r="B231" s="426">
        <v>46005</v>
      </c>
      <c r="C231" s="394">
        <v>1279.0999999999999</v>
      </c>
      <c r="D231" s="420">
        <f t="shared" si="6"/>
        <v>-9.0641462658817007E-3</v>
      </c>
      <c r="E231" s="394"/>
      <c r="F231" s="418">
        <v>25966.400000000001</v>
      </c>
      <c r="G231" s="420">
        <f t="shared" si="7"/>
        <v>-3.0924925951022475E-3</v>
      </c>
      <c r="H231" s="397"/>
      <c r="I231" s="397"/>
      <c r="J231" s="397"/>
      <c r="K231" s="394"/>
      <c r="L231" s="396"/>
      <c r="S231" s="393"/>
      <c r="T231" s="397"/>
      <c r="U231" s="394"/>
    </row>
    <row r="232" spans="2:21" x14ac:dyDescent="0.2">
      <c r="B232" s="426">
        <v>46012</v>
      </c>
      <c r="C232" s="394">
        <v>1299.2</v>
      </c>
      <c r="D232" s="420">
        <f t="shared" si="6"/>
        <v>1.571417402861397E-2</v>
      </c>
      <c r="E232" s="394"/>
      <c r="F232" s="418">
        <v>26042.3</v>
      </c>
      <c r="G232" s="420">
        <f t="shared" si="7"/>
        <v>2.9230081952060782E-3</v>
      </c>
      <c r="H232" s="397"/>
      <c r="I232" s="397"/>
      <c r="J232" s="397"/>
      <c r="K232" s="394"/>
      <c r="L232" s="396"/>
      <c r="S232" s="393"/>
      <c r="T232" s="397"/>
      <c r="U232" s="394"/>
    </row>
    <row r="233" spans="2:21" x14ac:dyDescent="0.2">
      <c r="B233" s="426">
        <v>46019</v>
      </c>
      <c r="C233" s="394">
        <v>1399.4</v>
      </c>
      <c r="D233" s="420">
        <f t="shared" si="6"/>
        <v>7.7124384236453292E-2</v>
      </c>
      <c r="E233" s="394"/>
      <c r="F233" s="418">
        <v>26328.55</v>
      </c>
      <c r="G233" s="420">
        <f t="shared" si="7"/>
        <v>1.0991732681061128E-2</v>
      </c>
      <c r="H233" s="397"/>
      <c r="I233" s="397"/>
      <c r="J233" s="397"/>
      <c r="K233" s="394"/>
      <c r="L233" s="396"/>
      <c r="S233" s="393"/>
      <c r="T233" s="397"/>
      <c r="U233" s="394"/>
    </row>
    <row r="234" spans="2:21" x14ac:dyDescent="0.2">
      <c r="B234" s="426">
        <v>46026</v>
      </c>
      <c r="C234" s="394">
        <v>1321.3</v>
      </c>
      <c r="D234" s="420">
        <f t="shared" si="6"/>
        <v>-5.5809632699728495E-2</v>
      </c>
      <c r="E234" s="394"/>
      <c r="F234" s="418">
        <v>25683.3</v>
      </c>
      <c r="G234" s="420">
        <f t="shared" si="7"/>
        <v>-2.4507616256877029E-2</v>
      </c>
      <c r="H234" s="397"/>
      <c r="I234" s="397"/>
      <c r="J234" s="397"/>
      <c r="K234" s="394"/>
      <c r="L234" s="396"/>
      <c r="S234" s="393"/>
      <c r="T234" s="397"/>
      <c r="U234" s="394"/>
    </row>
    <row r="235" spans="2:21" x14ac:dyDescent="0.2">
      <c r="B235" s="426">
        <v>46033</v>
      </c>
      <c r="C235" s="394">
        <v>1357.7</v>
      </c>
      <c r="D235" s="420">
        <f t="shared" si="6"/>
        <v>2.7548626352834393E-2</v>
      </c>
      <c r="E235" s="394"/>
      <c r="F235" s="418">
        <v>25694.35</v>
      </c>
      <c r="G235" s="420">
        <f t="shared" si="7"/>
        <v>4.3024066222008273E-4</v>
      </c>
      <c r="H235" s="397"/>
      <c r="I235" s="397"/>
      <c r="J235" s="397"/>
      <c r="K235" s="394"/>
      <c r="L235" s="396"/>
      <c r="S235" s="393"/>
      <c r="T235" s="397"/>
      <c r="U235" s="394"/>
    </row>
    <row r="236" spans="2:21" x14ac:dyDescent="0.2">
      <c r="B236" s="426">
        <v>46040</v>
      </c>
      <c r="C236" s="394">
        <v>1270.7</v>
      </c>
      <c r="D236" s="420">
        <f t="shared" si="6"/>
        <v>-6.4078957059733321E-2</v>
      </c>
      <c r="E236" s="394"/>
      <c r="F236" s="418">
        <v>25048.65</v>
      </c>
      <c r="G236" s="420">
        <f t="shared" si="7"/>
        <v>-2.5130038315816394E-2</v>
      </c>
      <c r="H236" s="397"/>
      <c r="I236" s="397"/>
      <c r="J236" s="397"/>
      <c r="K236" s="394"/>
      <c r="L236" s="396"/>
      <c r="S236" s="393"/>
      <c r="T236" s="397"/>
      <c r="U236" s="394"/>
    </row>
    <row r="237" spans="2:21" x14ac:dyDescent="0.2">
      <c r="B237" s="426">
        <v>46047</v>
      </c>
      <c r="C237" s="394">
        <v>1387.6</v>
      </c>
      <c r="D237" s="420">
        <f t="shared" si="6"/>
        <v>9.1996537341622719E-2</v>
      </c>
      <c r="E237" s="394"/>
      <c r="F237" s="418">
        <v>25320.65</v>
      </c>
      <c r="G237" s="420">
        <f t="shared" si="7"/>
        <v>1.0858868641623332E-2</v>
      </c>
      <c r="H237" s="397"/>
      <c r="I237" s="397"/>
      <c r="J237" s="397"/>
      <c r="K237" s="394"/>
      <c r="L237" s="396"/>
      <c r="S237" s="393"/>
      <c r="T237" s="397"/>
      <c r="U237" s="394"/>
    </row>
    <row r="238" spans="2:21" x14ac:dyDescent="0.2">
      <c r="B238" s="426">
        <v>46054</v>
      </c>
      <c r="C238" s="394">
        <v>1429</v>
      </c>
      <c r="D238" s="420">
        <f t="shared" si="6"/>
        <v>2.9835687518016796E-2</v>
      </c>
      <c r="E238" s="394"/>
      <c r="F238" s="418">
        <v>25693.7</v>
      </c>
      <c r="G238" s="420">
        <f t="shared" si="7"/>
        <v>1.4733034104574605E-2</v>
      </c>
      <c r="H238" s="397"/>
      <c r="I238" s="397"/>
      <c r="J238" s="397"/>
      <c r="K238" s="394"/>
      <c r="L238" s="396"/>
      <c r="S238" s="393"/>
      <c r="T238" s="397"/>
      <c r="U238" s="394"/>
    </row>
    <row r="239" spans="2:21" x14ac:dyDescent="0.2">
      <c r="B239" s="426">
        <v>46061</v>
      </c>
      <c r="C239" s="394">
        <v>1462.6</v>
      </c>
      <c r="D239" s="420">
        <f t="shared" si="6"/>
        <v>2.3512946116165168E-2</v>
      </c>
      <c r="E239" s="394"/>
      <c r="F239" s="418">
        <v>25471.1</v>
      </c>
      <c r="G239" s="420">
        <f t="shared" si="7"/>
        <v>-8.6636023616685209E-3</v>
      </c>
      <c r="H239" s="397"/>
      <c r="I239" s="397"/>
      <c r="J239" s="397"/>
      <c r="K239" s="394"/>
      <c r="L239" s="396"/>
      <c r="S239" s="393"/>
      <c r="T239" s="397"/>
      <c r="U239" s="394"/>
    </row>
    <row r="240" spans="2:21" x14ac:dyDescent="0.2">
      <c r="B240" s="426">
        <v>46068</v>
      </c>
      <c r="C240" s="394">
        <v>1528.6</v>
      </c>
      <c r="D240" s="420">
        <f t="shared" si="6"/>
        <v>4.5125119649938483E-2</v>
      </c>
      <c r="E240" s="394"/>
      <c r="F240" s="418">
        <v>25571.25</v>
      </c>
      <c r="G240" s="420">
        <f t="shared" si="7"/>
        <v>3.9319071418195684E-3</v>
      </c>
      <c r="H240" s="397"/>
      <c r="I240" s="397"/>
      <c r="J240" s="397"/>
      <c r="K240" s="394"/>
      <c r="L240" s="396"/>
      <c r="S240" s="393"/>
      <c r="T240" s="397"/>
      <c r="U240" s="394"/>
    </row>
    <row r="241" spans="2:21" x14ac:dyDescent="0.2">
      <c r="B241" s="426">
        <v>46075</v>
      </c>
      <c r="C241" s="394">
        <v>1566.4</v>
      </c>
      <c r="D241" s="420">
        <f t="shared" si="6"/>
        <v>2.472850974748142E-2</v>
      </c>
      <c r="E241" s="394"/>
      <c r="F241" s="418">
        <v>25178.65</v>
      </c>
      <c r="G241" s="420">
        <f t="shared" si="7"/>
        <v>-1.5353179840641329E-2</v>
      </c>
      <c r="H241" s="397"/>
      <c r="I241" s="397"/>
      <c r="J241" s="397"/>
      <c r="K241" s="394"/>
      <c r="L241" s="396"/>
      <c r="S241" s="393"/>
      <c r="T241" s="397"/>
      <c r="U241" s="394"/>
    </row>
    <row r="242" spans="2:21" x14ac:dyDescent="0.2">
      <c r="B242" s="426">
        <v>46082</v>
      </c>
      <c r="C242" s="394">
        <v>1481.3</v>
      </c>
      <c r="D242" s="420">
        <f t="shared" si="6"/>
        <v>-5.4328396322778416E-2</v>
      </c>
      <c r="E242" s="394"/>
      <c r="F242" s="418">
        <v>24450.45</v>
      </c>
      <c r="G242" s="420">
        <f t="shared" si="7"/>
        <v>-2.892132818876314E-2</v>
      </c>
      <c r="H242" s="397"/>
      <c r="I242" s="397"/>
      <c r="J242" s="397"/>
      <c r="K242" s="394"/>
      <c r="L242" s="396"/>
      <c r="S242" s="393"/>
      <c r="T242" s="397"/>
      <c r="U242" s="394"/>
    </row>
    <row r="243" spans="2:21" x14ac:dyDescent="0.2">
      <c r="B243" s="426">
        <v>46089</v>
      </c>
      <c r="C243" s="394">
        <v>1461.3</v>
      </c>
      <c r="D243" s="420">
        <f t="shared" si="6"/>
        <v>-1.3501653952609161E-2</v>
      </c>
      <c r="E243" s="394"/>
      <c r="F243" s="418">
        <v>23151.1</v>
      </c>
      <c r="G243" s="420">
        <f t="shared" si="7"/>
        <v>-5.3142171207482991E-2</v>
      </c>
      <c r="H243" s="397"/>
      <c r="I243" s="397"/>
      <c r="J243" s="397"/>
      <c r="K243" s="394"/>
      <c r="L243" s="396"/>
      <c r="S243" s="393"/>
      <c r="T243" s="397"/>
      <c r="U243" s="394"/>
    </row>
    <row r="244" spans="2:21" x14ac:dyDescent="0.2">
      <c r="B244" s="426">
        <v>46096</v>
      </c>
      <c r="C244" s="394">
        <v>1450.7</v>
      </c>
      <c r="D244" s="420">
        <f t="shared" si="6"/>
        <v>-7.2538150961471981E-3</v>
      </c>
      <c r="E244" s="394"/>
      <c r="F244" s="418">
        <v>23114.5</v>
      </c>
      <c r="G244" s="420">
        <f t="shared" si="7"/>
        <v>-1.5809184012853805E-3</v>
      </c>
      <c r="H244" s="397"/>
      <c r="I244" s="397"/>
      <c r="J244" s="397"/>
      <c r="K244" s="394"/>
      <c r="L244" s="396"/>
      <c r="S244" s="393"/>
      <c r="T244" s="397"/>
      <c r="U244" s="394"/>
    </row>
    <row r="245" spans="2:21" x14ac:dyDescent="0.2">
      <c r="B245" s="426">
        <v>46103</v>
      </c>
      <c r="C245" s="394">
        <v>1352.3</v>
      </c>
      <c r="D245" s="420">
        <f t="shared" si="6"/>
        <v>-6.78293237747295E-2</v>
      </c>
      <c r="E245" s="394"/>
      <c r="F245" s="418">
        <v>22819.599999999999</v>
      </c>
      <c r="G245" s="420">
        <f t="shared" si="7"/>
        <v>-1.275822535637805E-2</v>
      </c>
      <c r="H245" s="397"/>
      <c r="I245" s="397"/>
      <c r="J245" s="397"/>
      <c r="K245" s="394"/>
      <c r="L245" s="396"/>
      <c r="S245" s="393"/>
      <c r="T245" s="397"/>
      <c r="U245" s="394"/>
    </row>
    <row r="246" spans="2:21" x14ac:dyDescent="0.2">
      <c r="B246" s="426">
        <v>46110</v>
      </c>
      <c r="C246" s="394">
        <v>1332.2</v>
      </c>
      <c r="D246" s="420">
        <f t="shared" si="6"/>
        <v>-1.4863565776824572E-2</v>
      </c>
      <c r="E246" s="394"/>
      <c r="F246" s="418">
        <v>22713.1</v>
      </c>
      <c r="G246" s="420">
        <f t="shared" si="7"/>
        <v>-4.6670406142088616E-3</v>
      </c>
      <c r="H246" s="397"/>
      <c r="I246" s="397"/>
      <c r="J246" s="397"/>
      <c r="K246" s="394"/>
      <c r="L246" s="396"/>
      <c r="S246" s="393"/>
      <c r="T246" s="397"/>
      <c r="U246" s="394"/>
    </row>
    <row r="247" spans="2:21" x14ac:dyDescent="0.2">
      <c r="B247" s="426">
        <v>46117</v>
      </c>
      <c r="C247" s="394">
        <v>1471.8</v>
      </c>
      <c r="D247" s="420">
        <f t="shared" si="6"/>
        <v>0.10478907071010357</v>
      </c>
      <c r="E247" s="394"/>
      <c r="F247" s="418">
        <v>24050.6</v>
      </c>
      <c r="G247" s="420">
        <f t="shared" si="7"/>
        <v>5.8886721759689342E-2</v>
      </c>
      <c r="H247" s="397"/>
      <c r="I247" s="397"/>
      <c r="J247" s="397"/>
      <c r="K247" s="394"/>
      <c r="L247" s="396"/>
      <c r="S247" s="393"/>
      <c r="T247" s="397"/>
      <c r="U247" s="394"/>
    </row>
    <row r="248" spans="2:21" x14ac:dyDescent="0.2">
      <c r="B248" s="426">
        <v>46124</v>
      </c>
      <c r="C248" s="394">
        <v>1565</v>
      </c>
      <c r="D248" s="420">
        <f t="shared" si="6"/>
        <v>6.3323821171354933E-2</v>
      </c>
      <c r="E248" s="394"/>
      <c r="F248" s="418">
        <v>24353.55</v>
      </c>
      <c r="G248" s="420">
        <f t="shared" si="7"/>
        <v>1.2596359342386565E-2</v>
      </c>
      <c r="H248" s="397"/>
      <c r="I248" s="397"/>
      <c r="J248" s="397"/>
      <c r="K248" s="394"/>
      <c r="L248" s="396"/>
      <c r="S248" s="393"/>
      <c r="T248" s="397"/>
      <c r="U248" s="394"/>
    </row>
    <row r="249" spans="2:21" x14ac:dyDescent="0.2">
      <c r="B249" s="426">
        <v>46131</v>
      </c>
      <c r="C249" s="394">
        <v>1699.5</v>
      </c>
      <c r="D249" s="420">
        <f t="shared" si="6"/>
        <v>8.5942492012779592E-2</v>
      </c>
      <c r="E249" s="394"/>
      <c r="F249" s="418">
        <v>23897.95</v>
      </c>
      <c r="G249" s="420">
        <f t="shared" si="7"/>
        <v>-1.8707744866764742E-2</v>
      </c>
      <c r="H249" s="397"/>
      <c r="I249" s="397"/>
      <c r="J249" s="397"/>
      <c r="K249" s="394"/>
      <c r="L249" s="396"/>
      <c r="S249" s="393"/>
      <c r="T249" s="397"/>
      <c r="U249" s="394"/>
    </row>
    <row r="250" spans="2:21" x14ac:dyDescent="0.2">
      <c r="B250" s="426">
        <v>46138</v>
      </c>
      <c r="C250" s="394">
        <v>1736</v>
      </c>
      <c r="D250" s="420">
        <f t="shared" si="6"/>
        <v>2.1476904972050681E-2</v>
      </c>
      <c r="E250" s="394"/>
      <c r="F250" s="418">
        <v>23997.55</v>
      </c>
      <c r="G250" s="420">
        <f t="shared" si="7"/>
        <v>4.167721499124255E-3</v>
      </c>
      <c r="H250" s="397"/>
      <c r="I250" s="397"/>
      <c r="J250" s="397"/>
      <c r="K250" s="394"/>
      <c r="L250" s="396"/>
      <c r="S250" s="393"/>
      <c r="T250" s="397"/>
      <c r="U250" s="394"/>
    </row>
    <row r="251" spans="2:21" x14ac:dyDescent="0.2">
      <c r="B251" s="426">
        <v>46145</v>
      </c>
      <c r="C251" s="394">
        <v>1724.4</v>
      </c>
      <c r="D251" s="420">
        <f t="shared" si="6"/>
        <v>-6.6820276497695508E-3</v>
      </c>
      <c r="E251" s="394"/>
      <c r="F251" s="418">
        <v>24176.15</v>
      </c>
      <c r="G251" s="420">
        <f t="shared" si="7"/>
        <v>7.4424264143633234E-3</v>
      </c>
      <c r="H251" s="397"/>
      <c r="I251" s="397"/>
      <c r="J251" s="397"/>
      <c r="K251" s="394"/>
      <c r="L251" s="396"/>
      <c r="S251" s="393"/>
      <c r="T251" s="397"/>
      <c r="U251" s="394"/>
    </row>
    <row r="252" spans="2:21" x14ac:dyDescent="0.2">
      <c r="B252" s="426">
        <v>46152</v>
      </c>
      <c r="C252" s="394">
        <v>1466</v>
      </c>
      <c r="D252" s="420">
        <f t="shared" si="6"/>
        <v>-0.14984922291811653</v>
      </c>
      <c r="E252" s="394"/>
      <c r="F252" s="418">
        <v>23643.5</v>
      </c>
      <c r="G252" s="420">
        <f t="shared" si="7"/>
        <v>-2.2032043977225579E-2</v>
      </c>
      <c r="H252" s="397"/>
      <c r="I252" s="397"/>
      <c r="J252" s="397"/>
      <c r="K252" s="394"/>
      <c r="L252" s="396"/>
      <c r="S252" s="393"/>
      <c r="T252" s="397"/>
      <c r="U252" s="394"/>
    </row>
    <row r="253" spans="2:21" x14ac:dyDescent="0.2">
      <c r="B253" s="426">
        <v>46159</v>
      </c>
      <c r="C253" s="394">
        <v>1498.5</v>
      </c>
      <c r="D253" s="420">
        <f t="shared" si="6"/>
        <v>2.2169167803547163E-2</v>
      </c>
      <c r="E253" s="394"/>
      <c r="F253" s="418">
        <v>23719.3</v>
      </c>
      <c r="G253" s="420">
        <f t="shared" si="7"/>
        <v>3.2059551250871454E-3</v>
      </c>
      <c r="H253" s="397"/>
      <c r="I253" s="397"/>
      <c r="J253" s="397"/>
      <c r="K253" s="394"/>
      <c r="L253" s="396"/>
      <c r="S253" s="393"/>
      <c r="T253" s="397"/>
      <c r="U253" s="394"/>
    </row>
    <row r="254" spans="2:21" x14ac:dyDescent="0.2">
      <c r="B254" s="426">
        <v>46166</v>
      </c>
      <c r="C254" s="394">
        <v>1420.3</v>
      </c>
      <c r="D254" s="420">
        <f t="shared" si="6"/>
        <v>-5.2185518852185586E-2</v>
      </c>
      <c r="E254" s="394"/>
      <c r="F254" s="418">
        <v>23547.75</v>
      </c>
      <c r="G254" s="420">
        <f t="shared" si="7"/>
        <v>-7.2325068615008981E-3</v>
      </c>
      <c r="H254" s="397"/>
      <c r="I254" s="397"/>
      <c r="J254" s="397"/>
      <c r="K254" s="394"/>
      <c r="L254" s="396"/>
      <c r="S254" s="393"/>
      <c r="T254" s="397"/>
      <c r="U254" s="394"/>
    </row>
    <row r="255" spans="2:21" x14ac:dyDescent="0.2">
      <c r="B255" s="426">
        <v>46173</v>
      </c>
      <c r="C255" s="394">
        <v>1460.1</v>
      </c>
      <c r="D255" s="420">
        <f t="shared" si="6"/>
        <v>2.8022248820671614E-2</v>
      </c>
      <c r="E255" s="394"/>
      <c r="F255" s="418">
        <v>23366.7</v>
      </c>
      <c r="G255" s="420">
        <f t="shared" si="7"/>
        <v>-7.6886326719113329E-3</v>
      </c>
      <c r="H255" s="397"/>
      <c r="I255" s="397"/>
      <c r="J255" s="397"/>
      <c r="K255" s="394"/>
      <c r="L255" s="396"/>
      <c r="S255" s="393"/>
      <c r="T255" s="397"/>
      <c r="U255" s="394"/>
    </row>
    <row r="256" spans="2:21" x14ac:dyDescent="0.2">
      <c r="B256" s="426">
        <v>46180</v>
      </c>
      <c r="C256" s="394">
        <v>1392</v>
      </c>
      <c r="D256" s="420">
        <f t="shared" si="6"/>
        <v>-4.6640641051982734E-2</v>
      </c>
      <c r="E256" s="394"/>
      <c r="F256" s="418">
        <v>23622.9</v>
      </c>
      <c r="G256" s="420">
        <f t="shared" si="7"/>
        <v>1.0964321020940027E-2</v>
      </c>
      <c r="H256" s="397"/>
      <c r="I256" s="397"/>
      <c r="J256" s="397"/>
      <c r="K256" s="394"/>
      <c r="L256" s="396"/>
      <c r="S256" s="393"/>
      <c r="T256" s="397"/>
      <c r="U256" s="394"/>
    </row>
    <row r="257" spans="2:21" x14ac:dyDescent="0.2">
      <c r="B257" s="426">
        <v>46187</v>
      </c>
      <c r="C257" s="394">
        <v>1438.4</v>
      </c>
      <c r="D257" s="420">
        <f t="shared" si="6"/>
        <v>3.3333333333333437E-2</v>
      </c>
      <c r="E257" s="394"/>
      <c r="F257" s="418">
        <v>24013.1</v>
      </c>
      <c r="G257" s="420">
        <f t="shared" si="7"/>
        <v>1.6517870371546062E-2</v>
      </c>
      <c r="H257" s="397"/>
      <c r="I257" s="397"/>
      <c r="J257" s="397"/>
      <c r="K257" s="394"/>
      <c r="L257" s="396"/>
      <c r="S257" s="393"/>
      <c r="T257" s="397"/>
      <c r="U257" s="394"/>
    </row>
    <row r="258" spans="2:21" x14ac:dyDescent="0.2">
      <c r="B258" s="426">
        <v>46194</v>
      </c>
      <c r="C258" s="394">
        <v>1413.7</v>
      </c>
      <c r="D258" s="420">
        <f t="shared" si="6"/>
        <v>-1.7171857619577291E-2</v>
      </c>
      <c r="E258" s="394"/>
      <c r="F258" s="418">
        <v>24056</v>
      </c>
      <c r="G258" s="420">
        <f t="shared" si="7"/>
        <v>1.7865248551833801E-3</v>
      </c>
      <c r="H258" s="397"/>
      <c r="I258" s="397"/>
      <c r="J258" s="397"/>
      <c r="K258" s="394"/>
      <c r="L258" s="396"/>
      <c r="S258" s="393"/>
      <c r="T258" s="397"/>
      <c r="U258" s="394"/>
    </row>
    <row r="259" spans="2:21" x14ac:dyDescent="0.2">
      <c r="B259" s="426">
        <v>46201</v>
      </c>
      <c r="C259" s="394">
        <v>1366.5</v>
      </c>
      <c r="D259" s="420">
        <f t="shared" si="6"/>
        <v>-3.338756454693359E-2</v>
      </c>
      <c r="E259" s="394"/>
      <c r="F259" s="418">
        <v>24270.85</v>
      </c>
      <c r="G259" s="420">
        <f t="shared" si="7"/>
        <v>8.9312437645492349E-3</v>
      </c>
      <c r="H259" s="397"/>
      <c r="I259" s="397"/>
      <c r="J259" s="397"/>
      <c r="K259" s="394"/>
      <c r="L259" s="396"/>
      <c r="S259" s="393"/>
      <c r="T259" s="397"/>
      <c r="U259" s="394"/>
    </row>
    <row r="260" spans="2:21" x14ac:dyDescent="0.2">
      <c r="B260" s="426">
        <v>46208</v>
      </c>
      <c r="C260" s="394">
        <v>1419.4</v>
      </c>
      <c r="D260" s="420">
        <f t="shared" si="6"/>
        <v>3.8712038053421161E-2</v>
      </c>
      <c r="E260" s="394"/>
      <c r="F260" s="418">
        <v>24206.9</v>
      </c>
      <c r="G260" s="420">
        <f t="shared" si="7"/>
        <v>-2.6348479760699428E-3</v>
      </c>
      <c r="H260" s="397"/>
      <c r="I260" s="397"/>
      <c r="J260" s="397"/>
      <c r="K260" s="394"/>
      <c r="L260" s="396"/>
      <c r="S260" s="393"/>
      <c r="T260" s="397"/>
      <c r="U260" s="394"/>
    </row>
    <row r="261" spans="2:21" x14ac:dyDescent="0.2">
      <c r="B261" s="426">
        <v>46215</v>
      </c>
      <c r="C261" s="394">
        <v>1390.5</v>
      </c>
      <c r="D261" s="420">
        <f t="shared" si="6"/>
        <v>-2.0360715795406548E-2</v>
      </c>
      <c r="E261" s="394"/>
      <c r="F261" s="418">
        <v>24334.3</v>
      </c>
      <c r="G261" s="420">
        <f t="shared" si="7"/>
        <v>5.262962213253175E-3</v>
      </c>
      <c r="H261" s="397"/>
      <c r="I261" s="397"/>
      <c r="J261" s="397"/>
      <c r="K261" s="394"/>
      <c r="L261" s="396"/>
      <c r="S261" s="393"/>
      <c r="T261" s="397"/>
      <c r="U261" s="394"/>
    </row>
    <row r="262" spans="2:21" x14ac:dyDescent="0.2">
      <c r="B262" s="426">
        <v>46222</v>
      </c>
      <c r="C262" s="394">
        <v>1434.1</v>
      </c>
      <c r="D262" s="420">
        <f t="shared" si="6"/>
        <v>3.1355627472132275E-2</v>
      </c>
      <c r="E262" s="394"/>
      <c r="F262" s="418">
        <v>23767.45</v>
      </c>
      <c r="G262" s="420">
        <f t="shared" si="7"/>
        <v>-2.3294280090242925E-2</v>
      </c>
      <c r="H262" s="397"/>
      <c r="I262" s="397"/>
      <c r="J262" s="397"/>
      <c r="K262" s="394"/>
      <c r="L262" s="396"/>
      <c r="S262" s="393"/>
      <c r="T262" s="397"/>
      <c r="U262" s="394"/>
    </row>
    <row r="263" spans="2:21" x14ac:dyDescent="0.2">
      <c r="B263" s="426">
        <v>46229</v>
      </c>
      <c r="C263" s="394">
        <v>1413.3</v>
      </c>
      <c r="D263" s="420">
        <f t="shared" si="6"/>
        <v>-1.4503870023010901E-2</v>
      </c>
      <c r="E263" s="394"/>
      <c r="F263" s="418">
        <v>24383.599999999999</v>
      </c>
      <c r="G263" s="420">
        <f t="shared" si="7"/>
        <v>2.5924110495656683E-2</v>
      </c>
      <c r="H263" s="397"/>
      <c r="I263" s="397"/>
      <c r="J263" s="397"/>
      <c r="K263" s="394"/>
      <c r="L263" s="396"/>
      <c r="S263" s="393"/>
      <c r="T263" s="397"/>
      <c r="U263" s="394"/>
    </row>
    <row r="264" spans="2:21" x14ac:dyDescent="0.2">
      <c r="B264" s="426">
        <v>46236</v>
      </c>
      <c r="C264" s="394">
        <v>1350.8</v>
      </c>
      <c r="D264" s="420">
        <f t="shared" si="6"/>
        <v>-4.4222741102384444E-2</v>
      </c>
      <c r="E264" s="394"/>
      <c r="F264" s="418">
        <v>24570.65</v>
      </c>
      <c r="G264" s="420">
        <f t="shared" si="7"/>
        <v>7.6711396184321323E-3</v>
      </c>
      <c r="H264" s="397"/>
      <c r="I264" s="397"/>
      <c r="J264" s="397"/>
      <c r="K264" s="394"/>
      <c r="L264" s="396"/>
      <c r="S264" s="393"/>
      <c r="T264" s="397"/>
      <c r="U264" s="394"/>
    </row>
    <row r="265" spans="2:21" x14ac:dyDescent="0.2">
      <c r="B265" s="426">
        <v>46243</v>
      </c>
      <c r="C265" s="394">
        <v>1309.0999999999999</v>
      </c>
      <c r="D265" s="420">
        <f t="shared" si="6"/>
        <v>-3.0870595202842743E-2</v>
      </c>
      <c r="E265" s="394"/>
      <c r="F265" s="418">
        <v>24366</v>
      </c>
      <c r="G265" s="420">
        <f t="shared" si="7"/>
        <v>-8.3290429842108882E-3</v>
      </c>
      <c r="H265" s="397"/>
      <c r="I265" s="397"/>
      <c r="J265" s="397"/>
      <c r="K265" s="394"/>
      <c r="L265" s="396"/>
      <c r="S265" s="393"/>
      <c r="T265" s="397"/>
      <c r="U265" s="394"/>
    </row>
    <row r="266" spans="2:21" x14ac:dyDescent="0.2">
      <c r="B266" s="426">
        <v>46250</v>
      </c>
      <c r="C266" s="394">
        <v>1247.7</v>
      </c>
      <c r="D266" s="420">
        <f t="shared" si="6"/>
        <v>-4.6902452066304945E-2</v>
      </c>
      <c r="E266" s="394"/>
      <c r="F266" s="418">
        <v>24252</v>
      </c>
      <c r="G266" s="420">
        <f t="shared" si="7"/>
        <v>-4.6786505786752253E-3</v>
      </c>
      <c r="H266" s="397"/>
      <c r="I266" s="397"/>
      <c r="J266" s="397"/>
      <c r="K266" s="394"/>
      <c r="L266" s="396"/>
      <c r="S266" s="393"/>
      <c r="T266" s="397"/>
      <c r="U266" s="394"/>
    </row>
    <row r="267" spans="2:21" x14ac:dyDescent="0.2">
      <c r="B267" s="426">
        <v>46257</v>
      </c>
      <c r="C267" s="394">
        <v>1217.7</v>
      </c>
      <c r="D267" s="420">
        <f t="shared" ref="D267:D270" si="8">C267/C266-1</f>
        <v>-2.4044241404183708E-2</v>
      </c>
      <c r="E267" s="394"/>
      <c r="F267" s="418">
        <v>24175.65</v>
      </c>
      <c r="G267" s="420">
        <f t="shared" si="7"/>
        <v>-3.1481939633843936E-3</v>
      </c>
      <c r="H267" s="397"/>
      <c r="I267" s="397"/>
      <c r="J267" s="397"/>
      <c r="K267" s="394"/>
      <c r="L267" s="396"/>
      <c r="S267" s="393"/>
      <c r="T267" s="397"/>
      <c r="U267" s="394"/>
    </row>
    <row r="268" spans="2:21" x14ac:dyDescent="0.2">
      <c r="B268" s="426">
        <v>46264</v>
      </c>
      <c r="C268" s="394">
        <v>1299.0999999999999</v>
      </c>
      <c r="D268" s="420">
        <f t="shared" si="8"/>
        <v>6.684733514001806E-2</v>
      </c>
      <c r="E268" s="394"/>
      <c r="F268" s="418">
        <v>23897.7</v>
      </c>
      <c r="G268" s="420">
        <f t="shared" ref="G268:G270" si="9">F268/F267-1</f>
        <v>-1.1497105558692322E-2</v>
      </c>
      <c r="H268" s="397"/>
      <c r="I268" s="397"/>
      <c r="J268" s="397"/>
      <c r="K268" s="394"/>
      <c r="L268" s="396"/>
      <c r="S268" s="393"/>
      <c r="T268" s="397"/>
      <c r="U268" s="394"/>
    </row>
    <row r="269" spans="2:21" x14ac:dyDescent="0.2">
      <c r="B269" s="426">
        <v>46271</v>
      </c>
      <c r="C269" s="394">
        <v>1297.5999999999999</v>
      </c>
      <c r="D269" s="420">
        <f t="shared" si="8"/>
        <v>-1.1546455238241604E-3</v>
      </c>
      <c r="E269" s="394"/>
      <c r="F269" s="418">
        <v>23398.1</v>
      </c>
      <c r="G269" s="420">
        <f t="shared" si="9"/>
        <v>-2.0905777543445692E-2</v>
      </c>
      <c r="H269" s="397"/>
      <c r="I269" s="397"/>
      <c r="J269" s="397"/>
      <c r="K269" s="394"/>
      <c r="L269" s="396"/>
      <c r="S269" s="393"/>
      <c r="T269" s="397"/>
      <c r="U269" s="394"/>
    </row>
    <row r="270" spans="2:21" x14ac:dyDescent="0.2">
      <c r="B270" s="427">
        <v>46278</v>
      </c>
      <c r="C270" s="428">
        <v>1300.9000000000001</v>
      </c>
      <c r="D270" s="422">
        <f t="shared" si="8"/>
        <v>2.5431565967941605E-3</v>
      </c>
      <c r="E270" s="394"/>
      <c r="F270" s="421">
        <v>23118.6</v>
      </c>
      <c r="G270" s="422">
        <f t="shared" si="9"/>
        <v>-1.1945414371252405E-2</v>
      </c>
      <c r="H270" s="397"/>
      <c r="I270" s="397"/>
      <c r="J270" s="397"/>
      <c r="S270" s="393"/>
      <c r="T270" s="397"/>
      <c r="U270" s="394"/>
    </row>
    <row r="273" customFormat="1" x14ac:dyDescent="0.2"/>
    <row r="274" customFormat="1" x14ac:dyDescent="0.2"/>
    <row r="275" customFormat="1" x14ac:dyDescent="0.2"/>
  </sheetData>
  <pageMargins left="0.7" right="0.7" top="0.75" bottom="0.75" header="0.3" footer="0.3"/>
  <pageSetup paperSize="9" scale="46" orientation="portrait" horizontalDpi="0" verticalDpi="0"/>
  <rowBreaks count="1" manualBreakCount="1">
    <brk id="39"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EC017-60A2-F149-AF26-247CCCFB7A5B}">
  <dimension ref="A1:V275"/>
  <sheetViews>
    <sheetView showGridLines="0" view="pageBreakPreview" zoomScale="60" zoomScaleNormal="100" workbookViewId="0">
      <selection activeCell="S34" sqref="S34"/>
    </sheetView>
  </sheetViews>
  <sheetFormatPr baseColWidth="10" defaultRowHeight="15" x14ac:dyDescent="0.2"/>
  <cols>
    <col min="1" max="1" width="3.83203125" customWidth="1"/>
    <col min="4" max="4" width="15.83203125" customWidth="1"/>
    <col min="5" max="5" width="5.83203125" customWidth="1"/>
    <col min="8" max="8" width="5.83203125" customWidth="1"/>
    <col min="9" max="9" width="15.83203125" customWidth="1"/>
  </cols>
  <sheetData>
    <row r="1" spans="1:22" ht="21" x14ac:dyDescent="0.25">
      <c r="B1" s="381" t="s">
        <v>527</v>
      </c>
      <c r="C1" s="5"/>
      <c r="D1" s="5"/>
      <c r="E1" s="5"/>
      <c r="F1" s="5"/>
      <c r="G1" s="5"/>
      <c r="H1" s="5"/>
      <c r="I1" s="5"/>
      <c r="J1" s="5"/>
      <c r="K1" s="5"/>
      <c r="L1" s="5"/>
      <c r="M1" s="5"/>
      <c r="N1" s="5"/>
      <c r="O1" s="5"/>
      <c r="P1" s="5"/>
      <c r="Q1" s="5"/>
    </row>
    <row r="2" spans="1:22" ht="19" x14ac:dyDescent="0.25">
      <c r="B2" s="492" t="s">
        <v>508</v>
      </c>
      <c r="C2" s="491"/>
      <c r="D2" s="491"/>
      <c r="E2" s="491"/>
      <c r="F2" s="491"/>
      <c r="G2" s="491"/>
      <c r="H2" s="491"/>
      <c r="I2" s="491"/>
      <c r="J2" s="491"/>
      <c r="K2" s="491"/>
      <c r="L2" s="491"/>
      <c r="M2" s="491"/>
      <c r="N2" s="491"/>
      <c r="O2" s="491"/>
      <c r="P2" s="491"/>
      <c r="Q2" s="491"/>
    </row>
    <row r="3" spans="1:22" ht="3" customHeight="1" thickBot="1" x14ac:dyDescent="0.25">
      <c r="B3" s="208"/>
      <c r="C3" s="208"/>
      <c r="D3" s="208"/>
      <c r="E3" s="208"/>
      <c r="F3" s="208"/>
      <c r="G3" s="208"/>
      <c r="H3" s="208"/>
      <c r="I3" s="208"/>
      <c r="J3" s="208"/>
      <c r="K3" s="208"/>
      <c r="L3" s="208"/>
      <c r="M3" s="208"/>
      <c r="N3" s="208"/>
      <c r="O3" s="208"/>
      <c r="P3" s="208"/>
      <c r="Q3" s="208"/>
    </row>
    <row r="4" spans="1:22" ht="16" thickTop="1" x14ac:dyDescent="0.2"/>
    <row r="5" spans="1:22" x14ac:dyDescent="0.2">
      <c r="B5" s="410" t="s">
        <v>471</v>
      </c>
      <c r="C5" s="423"/>
      <c r="D5" s="411"/>
      <c r="F5" s="410" t="s">
        <v>475</v>
      </c>
      <c r="G5" s="411"/>
      <c r="I5" s="410" t="s">
        <v>502</v>
      </c>
      <c r="J5" s="411"/>
      <c r="K5" s="398"/>
    </row>
    <row r="6" spans="1:22" ht="3" customHeight="1" x14ac:dyDescent="0.2">
      <c r="A6" s="58"/>
      <c r="B6" s="7"/>
      <c r="C6" s="7"/>
      <c r="D6" s="7"/>
      <c r="F6" s="7"/>
      <c r="G6" s="7"/>
      <c r="I6" s="7"/>
      <c r="J6" s="7"/>
    </row>
    <row r="7" spans="1:22" ht="3" customHeight="1" x14ac:dyDescent="0.2">
      <c r="A7" s="58"/>
      <c r="B7" s="8"/>
      <c r="C7" s="8"/>
      <c r="D7" s="8"/>
      <c r="F7" s="8"/>
      <c r="G7" s="8"/>
      <c r="I7" s="8"/>
      <c r="J7" s="8"/>
    </row>
    <row r="8" spans="1:22" ht="3" customHeight="1" x14ac:dyDescent="0.2">
      <c r="A8" s="58"/>
      <c r="B8" s="9"/>
      <c r="C8" s="9"/>
      <c r="D8" s="9"/>
      <c r="F8" s="9"/>
      <c r="G8" s="9"/>
      <c r="I8" s="9"/>
      <c r="J8" s="9"/>
    </row>
    <row r="9" spans="1:22" x14ac:dyDescent="0.2">
      <c r="B9" s="424" t="s">
        <v>472</v>
      </c>
      <c r="C9" s="403" t="s">
        <v>473</v>
      </c>
      <c r="D9" s="425" t="s">
        <v>474</v>
      </c>
      <c r="E9" s="402"/>
      <c r="F9" s="416" t="s">
        <v>473</v>
      </c>
      <c r="G9" s="417" t="s">
        <v>476</v>
      </c>
      <c r="H9" s="392"/>
      <c r="I9" s="58" t="s">
        <v>503</v>
      </c>
      <c r="J9" s="429">
        <f>J17</f>
        <v>1.0437013636061938</v>
      </c>
      <c r="L9" s="397"/>
      <c r="S9" s="392"/>
      <c r="T9" s="392"/>
      <c r="U9" s="392"/>
      <c r="V9" s="392"/>
    </row>
    <row r="10" spans="1:22" x14ac:dyDescent="0.2">
      <c r="B10" s="426">
        <v>44458</v>
      </c>
      <c r="C10" s="394">
        <v>84.1</v>
      </c>
      <c r="D10" s="419">
        <v>0</v>
      </c>
      <c r="E10" s="394"/>
      <c r="F10" s="418">
        <v>17853.2</v>
      </c>
      <c r="G10" s="419">
        <v>0</v>
      </c>
      <c r="H10" s="397"/>
      <c r="I10" s="58" t="s">
        <v>504</v>
      </c>
      <c r="J10" s="413">
        <v>0.75</v>
      </c>
      <c r="L10" s="397"/>
      <c r="S10" s="393"/>
      <c r="T10" s="394"/>
      <c r="U10" s="393"/>
      <c r="V10" s="394"/>
    </row>
    <row r="11" spans="1:22" x14ac:dyDescent="0.2">
      <c r="B11" s="426">
        <v>44465</v>
      </c>
      <c r="C11" s="394">
        <v>91.4</v>
      </c>
      <c r="D11" s="420">
        <f t="shared" ref="D11:D74" si="0">C11/C10-1</f>
        <v>8.6801426872770593E-2</v>
      </c>
      <c r="E11" s="394"/>
      <c r="F11" s="418">
        <v>17532.05</v>
      </c>
      <c r="G11" s="420">
        <f>F11/F10-1</f>
        <v>-1.7988371832500683E-2</v>
      </c>
      <c r="H11" s="397"/>
      <c r="I11" s="58" t="s">
        <v>505</v>
      </c>
      <c r="J11" s="414">
        <v>1</v>
      </c>
      <c r="L11" s="397"/>
      <c r="S11" s="393"/>
      <c r="T11" s="394"/>
      <c r="U11" s="393"/>
      <c r="V11" s="394"/>
    </row>
    <row r="12" spans="1:22" x14ac:dyDescent="0.2">
      <c r="B12" s="426">
        <v>44472</v>
      </c>
      <c r="C12" s="394">
        <v>88.7</v>
      </c>
      <c r="D12" s="420">
        <f t="shared" si="0"/>
        <v>-2.9540481400437635E-2</v>
      </c>
      <c r="E12" s="394"/>
      <c r="F12" s="418">
        <v>17895.2</v>
      </c>
      <c r="G12" s="420">
        <f t="shared" ref="G12:G75" si="1">F12/F11-1</f>
        <v>2.0713493288006868E-2</v>
      </c>
      <c r="H12" s="397"/>
      <c r="I12" s="58" t="s">
        <v>506</v>
      </c>
      <c r="J12" s="413">
        <v>0.25</v>
      </c>
      <c r="L12" s="397"/>
      <c r="S12" s="393"/>
      <c r="T12" s="394"/>
      <c r="U12" s="393"/>
      <c r="V12" s="394"/>
    </row>
    <row r="13" spans="1:22" x14ac:dyDescent="0.2">
      <c r="B13" s="426">
        <v>44479</v>
      </c>
      <c r="C13" s="394">
        <v>93.75</v>
      </c>
      <c r="D13" s="420">
        <f t="shared" si="0"/>
        <v>5.6933483652762185E-2</v>
      </c>
      <c r="E13" s="394"/>
      <c r="F13" s="418">
        <v>18338.55</v>
      </c>
      <c r="G13" s="420">
        <f t="shared" si="1"/>
        <v>2.4774799946354342E-2</v>
      </c>
      <c r="H13" s="397"/>
      <c r="I13" s="58"/>
      <c r="J13" s="22"/>
      <c r="L13" s="397"/>
      <c r="S13" s="393"/>
      <c r="T13" s="394"/>
      <c r="U13" s="393"/>
      <c r="V13" s="394"/>
    </row>
    <row r="14" spans="1:22" x14ac:dyDescent="0.2">
      <c r="B14" s="426">
        <v>44486</v>
      </c>
      <c r="C14" s="394">
        <v>93</v>
      </c>
      <c r="D14" s="420">
        <f t="shared" si="0"/>
        <v>-8.0000000000000071E-3</v>
      </c>
      <c r="E14" s="394"/>
      <c r="F14" s="418">
        <v>18114.900000000001</v>
      </c>
      <c r="G14" s="420">
        <f t="shared" si="1"/>
        <v>-1.2195620700655052E-2</v>
      </c>
      <c r="H14" s="397"/>
      <c r="I14" s="431" t="s">
        <v>507</v>
      </c>
      <c r="J14" s="432">
        <f>(J9*J10)+(J11*J12)</f>
        <v>1.0327760227046454</v>
      </c>
      <c r="L14" s="397"/>
      <c r="S14" s="393"/>
      <c r="T14" s="394"/>
      <c r="U14" s="393"/>
      <c r="V14" s="394"/>
    </row>
    <row r="15" spans="1:22" x14ac:dyDescent="0.2">
      <c r="B15" s="426">
        <v>44493</v>
      </c>
      <c r="C15" s="394">
        <v>87.2</v>
      </c>
      <c r="D15" s="420">
        <f t="shared" si="0"/>
        <v>-6.2365591397849474E-2</v>
      </c>
      <c r="E15" s="394"/>
      <c r="F15" s="418">
        <v>17671.650000000001</v>
      </c>
      <c r="G15" s="420">
        <f t="shared" si="1"/>
        <v>-2.4468807445804264E-2</v>
      </c>
      <c r="H15" s="397"/>
      <c r="L15" s="397"/>
      <c r="S15" s="393"/>
      <c r="T15" s="394"/>
      <c r="U15" s="393"/>
      <c r="V15" s="394"/>
    </row>
    <row r="16" spans="1:22" x14ac:dyDescent="0.2">
      <c r="B16" s="426">
        <v>44500</v>
      </c>
      <c r="C16" s="394">
        <v>91.6</v>
      </c>
      <c r="D16" s="420">
        <f t="shared" si="0"/>
        <v>5.0458715596330084E-2</v>
      </c>
      <c r="E16" s="394"/>
      <c r="F16" s="418">
        <v>17916.8</v>
      </c>
      <c r="G16" s="420">
        <f t="shared" si="1"/>
        <v>1.3872502001793796E-2</v>
      </c>
      <c r="H16" s="397"/>
      <c r="L16" s="397"/>
      <c r="S16" s="393"/>
      <c r="T16" s="394"/>
      <c r="U16" s="393"/>
      <c r="V16" s="394"/>
    </row>
    <row r="17" spans="2:22" ht="17" x14ac:dyDescent="0.2">
      <c r="B17" s="426">
        <v>44507</v>
      </c>
      <c r="C17" s="394">
        <v>90.6</v>
      </c>
      <c r="D17" s="420">
        <f t="shared" si="0"/>
        <v>-1.0917030567685559E-2</v>
      </c>
      <c r="E17" s="394"/>
      <c r="F17" s="418">
        <v>18102.75</v>
      </c>
      <c r="G17" s="420">
        <f t="shared" si="1"/>
        <v>1.0378527415610073E-2</v>
      </c>
      <c r="H17" s="397"/>
      <c r="I17" s="433" t="s">
        <v>509</v>
      </c>
      <c r="J17" s="430">
        <f>J36</f>
        <v>1.0437013636061938</v>
      </c>
      <c r="K17" s="267"/>
      <c r="L17" s="404"/>
      <c r="M17" s="267"/>
      <c r="N17" s="267"/>
      <c r="O17" s="267"/>
      <c r="P17" s="267"/>
      <c r="Q17" s="405"/>
      <c r="S17" s="393"/>
      <c r="T17" s="394"/>
      <c r="U17" s="393"/>
      <c r="V17" s="394"/>
    </row>
    <row r="18" spans="2:22" x14ac:dyDescent="0.2">
      <c r="B18" s="426">
        <v>44514</v>
      </c>
      <c r="C18" s="394">
        <v>88.05</v>
      </c>
      <c r="D18" s="420">
        <f t="shared" si="0"/>
        <v>-2.8145695364238388E-2</v>
      </c>
      <c r="E18" s="394"/>
      <c r="F18" s="418">
        <v>17764.8</v>
      </c>
      <c r="G18" s="420">
        <f t="shared" si="1"/>
        <v>-1.8668434353896535E-2</v>
      </c>
      <c r="H18" s="397"/>
      <c r="I18" s="58"/>
      <c r="L18" s="397"/>
      <c r="Q18" s="22"/>
      <c r="S18" s="393"/>
      <c r="T18" s="394"/>
      <c r="U18" s="393"/>
      <c r="V18" s="394"/>
    </row>
    <row r="19" spans="2:22" x14ac:dyDescent="0.2">
      <c r="B19" s="426">
        <v>44521</v>
      </c>
      <c r="C19" s="394">
        <v>88.7</v>
      </c>
      <c r="D19" s="420">
        <f t="shared" si="0"/>
        <v>7.3821692220330526E-3</v>
      </c>
      <c r="E19" s="394"/>
      <c r="F19" s="418">
        <v>17026.45</v>
      </c>
      <c r="G19" s="420">
        <f t="shared" si="1"/>
        <v>-4.1562528145546174E-2</v>
      </c>
      <c r="H19" s="397"/>
      <c r="I19" s="58" t="s">
        <v>477</v>
      </c>
      <c r="Q19" s="22"/>
      <c r="S19" s="393"/>
      <c r="T19" s="394"/>
      <c r="U19" s="393"/>
      <c r="V19" s="394"/>
    </row>
    <row r="20" spans="2:22" ht="16" thickBot="1" x14ac:dyDescent="0.25">
      <c r="B20" s="426">
        <v>44528</v>
      </c>
      <c r="C20" s="394">
        <v>89.15</v>
      </c>
      <c r="D20" s="420">
        <f t="shared" si="0"/>
        <v>5.0732807215332354E-3</v>
      </c>
      <c r="E20" s="394"/>
      <c r="F20" s="418">
        <v>17196.7</v>
      </c>
      <c r="G20" s="420">
        <f t="shared" si="1"/>
        <v>9.9991483838381967E-3</v>
      </c>
      <c r="H20" s="397"/>
      <c r="I20" s="58"/>
      <c r="Q20" s="22"/>
      <c r="S20" s="393"/>
      <c r="T20" s="394"/>
      <c r="U20" s="393"/>
      <c r="V20" s="394"/>
    </row>
    <row r="21" spans="2:22" x14ac:dyDescent="0.2">
      <c r="B21" s="426">
        <v>44535</v>
      </c>
      <c r="C21" s="394">
        <v>87.75</v>
      </c>
      <c r="D21" s="420">
        <f t="shared" si="0"/>
        <v>-1.5703869882221055E-2</v>
      </c>
      <c r="E21" s="394"/>
      <c r="F21" s="418">
        <v>17511.3</v>
      </c>
      <c r="G21" s="420">
        <f t="shared" si="1"/>
        <v>1.8294207609599322E-2</v>
      </c>
      <c r="H21" s="397"/>
      <c r="I21" s="406" t="s">
        <v>478</v>
      </c>
      <c r="J21" s="401"/>
      <c r="Q21" s="22"/>
      <c r="S21" s="393"/>
      <c r="T21" s="394"/>
      <c r="U21" s="393"/>
      <c r="V21" s="394"/>
    </row>
    <row r="22" spans="2:22" x14ac:dyDescent="0.2">
      <c r="B22" s="426">
        <v>44542</v>
      </c>
      <c r="C22" s="394">
        <v>84.45</v>
      </c>
      <c r="D22" s="420">
        <f t="shared" si="0"/>
        <v>-3.7606837606837584E-2</v>
      </c>
      <c r="E22" s="394"/>
      <c r="F22" s="418">
        <v>16985.2</v>
      </c>
      <c r="G22" s="420">
        <f t="shared" si="1"/>
        <v>-3.004345765305827E-2</v>
      </c>
      <c r="H22" s="397"/>
      <c r="I22" s="58" t="s">
        <v>479</v>
      </c>
      <c r="J22">
        <v>0.432098365800198</v>
      </c>
      <c r="Q22" s="22"/>
      <c r="S22" s="393"/>
      <c r="T22" s="394"/>
      <c r="U22" s="393"/>
      <c r="V22" s="394"/>
    </row>
    <row r="23" spans="2:22" x14ac:dyDescent="0.2">
      <c r="B23" s="426">
        <v>44549</v>
      </c>
      <c r="C23" s="394">
        <v>85.25</v>
      </c>
      <c r="D23" s="420">
        <f t="shared" si="0"/>
        <v>9.4730609828299617E-3</v>
      </c>
      <c r="E23" s="394"/>
      <c r="F23" s="418">
        <v>17003.75</v>
      </c>
      <c r="G23" s="420">
        <f t="shared" si="1"/>
        <v>1.0921272637354207E-3</v>
      </c>
      <c r="H23" s="397"/>
      <c r="I23" s="58" t="s">
        <v>480</v>
      </c>
      <c r="J23">
        <v>0.1867089977272017</v>
      </c>
      <c r="Q23" s="22"/>
      <c r="S23" s="393"/>
      <c r="T23" s="394"/>
      <c r="U23" s="393"/>
      <c r="V23" s="394"/>
    </row>
    <row r="24" spans="2:22" x14ac:dyDescent="0.2">
      <c r="B24" s="426">
        <v>44556</v>
      </c>
      <c r="C24" s="394">
        <v>87.5</v>
      </c>
      <c r="D24" s="420">
        <f t="shared" si="0"/>
        <v>2.6392961876832821E-2</v>
      </c>
      <c r="E24" s="394"/>
      <c r="F24" s="418">
        <v>17354.05</v>
      </c>
      <c r="G24" s="420">
        <f t="shared" si="1"/>
        <v>2.0601337940160169E-2</v>
      </c>
      <c r="H24" s="397"/>
      <c r="I24" s="58" t="s">
        <v>481</v>
      </c>
      <c r="J24">
        <v>0.183556707020718</v>
      </c>
      <c r="Q24" s="22"/>
      <c r="S24" s="393"/>
      <c r="T24" s="394"/>
      <c r="U24" s="393"/>
      <c r="V24" s="394"/>
    </row>
    <row r="25" spans="2:22" x14ac:dyDescent="0.2">
      <c r="B25" s="426">
        <v>44563</v>
      </c>
      <c r="C25" s="394">
        <v>90.55</v>
      </c>
      <c r="D25" s="420">
        <f t="shared" si="0"/>
        <v>3.485714285714292E-2</v>
      </c>
      <c r="E25" s="394"/>
      <c r="F25" s="418">
        <v>17812.7</v>
      </c>
      <c r="G25" s="420">
        <f t="shared" si="1"/>
        <v>2.6428989198486796E-2</v>
      </c>
      <c r="H25" s="397"/>
      <c r="I25" s="58" t="s">
        <v>482</v>
      </c>
      <c r="J25">
        <v>3.9501477525696195E-2</v>
      </c>
      <c r="Q25" s="22"/>
      <c r="S25" s="393"/>
      <c r="T25" s="394"/>
      <c r="U25" s="393"/>
      <c r="V25" s="394"/>
    </row>
    <row r="26" spans="2:22" ht="16" thickBot="1" x14ac:dyDescent="0.25">
      <c r="B26" s="426">
        <v>44570</v>
      </c>
      <c r="C26" s="394">
        <v>92.55</v>
      </c>
      <c r="D26" s="420">
        <f t="shared" si="0"/>
        <v>2.2087244616234125E-2</v>
      </c>
      <c r="E26" s="394"/>
      <c r="F26" s="418">
        <v>18255.75</v>
      </c>
      <c r="G26" s="420">
        <f t="shared" si="1"/>
        <v>2.4872703183683509E-2</v>
      </c>
      <c r="H26" s="397"/>
      <c r="I26" s="407" t="s">
        <v>483</v>
      </c>
      <c r="J26" s="399">
        <v>260</v>
      </c>
      <c r="Q26" s="22"/>
      <c r="S26" s="393"/>
      <c r="T26" s="394"/>
      <c r="U26" s="393"/>
      <c r="V26" s="394"/>
    </row>
    <row r="27" spans="2:22" x14ac:dyDescent="0.2">
      <c r="B27" s="426">
        <v>44577</v>
      </c>
      <c r="C27" s="394">
        <v>90.85</v>
      </c>
      <c r="D27" s="420">
        <f t="shared" si="0"/>
        <v>-1.8368449486763971E-2</v>
      </c>
      <c r="E27" s="394"/>
      <c r="F27" s="418">
        <v>17617.150000000001</v>
      </c>
      <c r="G27" s="420">
        <f t="shared" si="1"/>
        <v>-3.4980759486736956E-2</v>
      </c>
      <c r="H27" s="397"/>
      <c r="I27" s="58"/>
      <c r="Q27" s="22"/>
      <c r="S27" s="393"/>
      <c r="T27" s="394"/>
      <c r="U27" s="393"/>
      <c r="V27" s="394"/>
    </row>
    <row r="28" spans="2:22" ht="16" thickBot="1" x14ac:dyDescent="0.25">
      <c r="B28" s="426">
        <v>44584</v>
      </c>
      <c r="C28" s="394">
        <v>84.6</v>
      </c>
      <c r="D28" s="420">
        <f t="shared" si="0"/>
        <v>-6.8794716565767744E-2</v>
      </c>
      <c r="E28" s="394"/>
      <c r="F28" s="418">
        <v>17101.95</v>
      </c>
      <c r="G28" s="420">
        <f t="shared" si="1"/>
        <v>-2.9244230763772805E-2</v>
      </c>
      <c r="H28" s="397"/>
      <c r="I28" s="58" t="s">
        <v>484</v>
      </c>
      <c r="Q28" s="22"/>
      <c r="S28" s="393"/>
      <c r="T28" s="394"/>
      <c r="U28" s="393"/>
      <c r="V28" s="394"/>
    </row>
    <row r="29" spans="2:22" x14ac:dyDescent="0.2">
      <c r="B29" s="426">
        <v>44591</v>
      </c>
      <c r="C29" s="394">
        <v>83</v>
      </c>
      <c r="D29" s="420">
        <f t="shared" si="0"/>
        <v>-1.8912529550827339E-2</v>
      </c>
      <c r="E29" s="394"/>
      <c r="F29" s="418">
        <v>17516.3</v>
      </c>
      <c r="G29" s="420">
        <f t="shared" si="1"/>
        <v>2.4228231283567103E-2</v>
      </c>
      <c r="H29" s="397"/>
      <c r="I29" s="408"/>
      <c r="J29" s="400" t="s">
        <v>489</v>
      </c>
      <c r="K29" s="400" t="s">
        <v>490</v>
      </c>
      <c r="L29" s="400" t="s">
        <v>491</v>
      </c>
      <c r="M29" s="400" t="s">
        <v>492</v>
      </c>
      <c r="N29" s="400" t="s">
        <v>493</v>
      </c>
      <c r="Q29" s="22"/>
      <c r="S29" s="393"/>
      <c r="T29" s="394"/>
      <c r="U29" s="393"/>
      <c r="V29" s="394"/>
    </row>
    <row r="30" spans="2:22" x14ac:dyDescent="0.2">
      <c r="B30" s="426">
        <v>44598</v>
      </c>
      <c r="C30" s="394">
        <v>83.65</v>
      </c>
      <c r="D30" s="420">
        <f t="shared" si="0"/>
        <v>7.8313253012047834E-3</v>
      </c>
      <c r="E30" s="394"/>
      <c r="F30" s="418">
        <v>17374.75</v>
      </c>
      <c r="G30" s="420">
        <f t="shared" si="1"/>
        <v>-8.0810445128252084E-3</v>
      </c>
      <c r="H30" s="397"/>
      <c r="I30" s="58" t="s">
        <v>485</v>
      </c>
      <c r="J30">
        <v>1</v>
      </c>
      <c r="K30">
        <v>9.2419936724823459E-2</v>
      </c>
      <c r="L30">
        <v>9.2419936724823459E-2</v>
      </c>
      <c r="M30">
        <v>59.229625409602527</v>
      </c>
      <c r="N30">
        <v>2.9844239208541277E-13</v>
      </c>
      <c r="Q30" s="22"/>
      <c r="S30" s="393"/>
      <c r="T30" s="394"/>
      <c r="U30" s="393"/>
      <c r="V30" s="394"/>
    </row>
    <row r="31" spans="2:22" x14ac:dyDescent="0.2">
      <c r="B31" s="426">
        <v>44605</v>
      </c>
      <c r="C31" s="394">
        <v>79.849999999999994</v>
      </c>
      <c r="D31" s="420">
        <f t="shared" si="0"/>
        <v>-4.5427375971309192E-2</v>
      </c>
      <c r="E31" s="394"/>
      <c r="F31" s="418">
        <v>17276.3</v>
      </c>
      <c r="G31" s="420">
        <f t="shared" si="1"/>
        <v>-5.6662685794041101E-3</v>
      </c>
      <c r="H31" s="397"/>
      <c r="I31" s="58" t="s">
        <v>486</v>
      </c>
      <c r="J31">
        <v>258</v>
      </c>
      <c r="K31">
        <v>0.40257461549197504</v>
      </c>
      <c r="L31">
        <v>1.5603667267130815E-3</v>
      </c>
      <c r="Q31" s="22"/>
      <c r="S31" s="393"/>
      <c r="T31" s="394"/>
      <c r="U31" s="393"/>
      <c r="V31" s="394"/>
    </row>
    <row r="32" spans="2:22" ht="16" thickBot="1" x14ac:dyDescent="0.25">
      <c r="B32" s="426">
        <v>44612</v>
      </c>
      <c r="C32" s="394">
        <v>78.150000000000006</v>
      </c>
      <c r="D32" s="420">
        <f t="shared" si="0"/>
        <v>-2.128991859736995E-2</v>
      </c>
      <c r="E32" s="394"/>
      <c r="F32" s="418">
        <v>16658.400000000001</v>
      </c>
      <c r="G32" s="420">
        <f t="shared" si="1"/>
        <v>-3.5765760029635829E-2</v>
      </c>
      <c r="H32" s="397"/>
      <c r="I32" s="407" t="s">
        <v>487</v>
      </c>
      <c r="J32" s="399">
        <v>259</v>
      </c>
      <c r="K32" s="399">
        <v>0.4949945522167985</v>
      </c>
      <c r="L32" s="399"/>
      <c r="M32" s="399"/>
      <c r="N32" s="399"/>
      <c r="Q32" s="22"/>
      <c r="S32" s="393"/>
      <c r="T32" s="394"/>
      <c r="U32" s="393"/>
      <c r="V32" s="394"/>
    </row>
    <row r="33" spans="2:22" ht="16" thickBot="1" x14ac:dyDescent="0.25">
      <c r="B33" s="426">
        <v>44619</v>
      </c>
      <c r="C33" s="394">
        <v>78.25</v>
      </c>
      <c r="D33" s="420">
        <f t="shared" si="0"/>
        <v>1.2795905310301059E-3</v>
      </c>
      <c r="E33" s="394"/>
      <c r="F33" s="418">
        <v>16245.35</v>
      </c>
      <c r="G33" s="420">
        <f t="shared" si="1"/>
        <v>-2.4795298468040183E-2</v>
      </c>
      <c r="H33" s="397"/>
      <c r="I33" s="58"/>
      <c r="Q33" s="22"/>
      <c r="S33" s="393"/>
      <c r="T33" s="394"/>
      <c r="U33" s="393"/>
      <c r="V33" s="394"/>
    </row>
    <row r="34" spans="2:22" x14ac:dyDescent="0.2">
      <c r="B34" s="426">
        <v>44626</v>
      </c>
      <c r="C34" s="394">
        <v>77.5</v>
      </c>
      <c r="D34" s="420">
        <f t="shared" si="0"/>
        <v>-9.5846645367412275E-3</v>
      </c>
      <c r="E34" s="394"/>
      <c r="F34" s="418">
        <v>16630.45</v>
      </c>
      <c r="G34" s="420">
        <f t="shared" si="1"/>
        <v>2.3705244885459553E-2</v>
      </c>
      <c r="H34" s="397"/>
      <c r="I34" s="408"/>
      <c r="J34" s="400" t="s">
        <v>494</v>
      </c>
      <c r="K34" s="400" t="s">
        <v>482</v>
      </c>
      <c r="L34" s="400" t="s">
        <v>495</v>
      </c>
      <c r="M34" s="400" t="s">
        <v>496</v>
      </c>
      <c r="N34" s="400" t="s">
        <v>497</v>
      </c>
      <c r="O34" s="400" t="s">
        <v>498</v>
      </c>
      <c r="P34" s="400" t="s">
        <v>499</v>
      </c>
      <c r="Q34" s="409" t="s">
        <v>500</v>
      </c>
      <c r="S34" s="393"/>
      <c r="T34" s="394"/>
      <c r="U34" s="393"/>
      <c r="V34" s="394"/>
    </row>
    <row r="35" spans="2:22" x14ac:dyDescent="0.2">
      <c r="B35" s="426">
        <v>44633</v>
      </c>
      <c r="C35" s="394">
        <v>73.599999999999994</v>
      </c>
      <c r="D35" s="420">
        <f t="shared" si="0"/>
        <v>-5.0322580645161374E-2</v>
      </c>
      <c r="E35" s="394"/>
      <c r="F35" s="418">
        <v>17287.05</v>
      </c>
      <c r="G35" s="420">
        <f t="shared" si="1"/>
        <v>3.9481793938227705E-2</v>
      </c>
      <c r="H35" s="397"/>
      <c r="I35" s="58" t="s">
        <v>488</v>
      </c>
      <c r="J35">
        <v>1.7889770875742662E-3</v>
      </c>
      <c r="K35">
        <v>2.455216284467987E-3</v>
      </c>
      <c r="L35">
        <v>0.72864337813803393</v>
      </c>
      <c r="M35">
        <v>0.46688069836400092</v>
      </c>
      <c r="N35">
        <v>-3.0458382233041572E-3</v>
      </c>
      <c r="O35">
        <v>6.6237923984526891E-3</v>
      </c>
      <c r="P35">
        <v>-3.0458382233041572E-3</v>
      </c>
      <c r="Q35" s="22">
        <v>6.6237923984526891E-3</v>
      </c>
      <c r="S35" s="393"/>
      <c r="T35" s="394"/>
      <c r="U35" s="393"/>
      <c r="V35" s="394"/>
    </row>
    <row r="36" spans="2:22" x14ac:dyDescent="0.2">
      <c r="B36" s="426">
        <v>44640</v>
      </c>
      <c r="C36" s="394">
        <v>77.45</v>
      </c>
      <c r="D36" s="420">
        <f t="shared" si="0"/>
        <v>5.2309782608695787E-2</v>
      </c>
      <c r="E36" s="394"/>
      <c r="F36" s="418">
        <v>17153</v>
      </c>
      <c r="G36" s="420">
        <f t="shared" si="1"/>
        <v>-7.7543594771808388E-3</v>
      </c>
      <c r="H36" s="397"/>
      <c r="I36" s="24" t="s">
        <v>501</v>
      </c>
      <c r="J36" s="25">
        <v>1.0437013636061938</v>
      </c>
      <c r="K36" s="25">
        <v>0.13561469697034478</v>
      </c>
      <c r="L36" s="25">
        <v>7.6960785735075801</v>
      </c>
      <c r="M36" s="25">
        <v>2.9844239208541833E-13</v>
      </c>
      <c r="N36" s="25">
        <v>0.77664871433849958</v>
      </c>
      <c r="O36" s="25">
        <v>1.3107540128738879</v>
      </c>
      <c r="P36" s="25">
        <v>0.77664871433849958</v>
      </c>
      <c r="Q36" s="59">
        <v>1.3107540128738879</v>
      </c>
      <c r="S36" s="393"/>
      <c r="T36" s="394"/>
      <c r="U36" s="393"/>
      <c r="V36" s="394"/>
    </row>
    <row r="37" spans="2:22" x14ac:dyDescent="0.2">
      <c r="B37" s="426">
        <v>44647</v>
      </c>
      <c r="C37" s="394">
        <v>78.75</v>
      </c>
      <c r="D37" s="420">
        <f t="shared" si="0"/>
        <v>1.6785022595222632E-2</v>
      </c>
      <c r="E37" s="394"/>
      <c r="F37" s="418">
        <v>17670.45</v>
      </c>
      <c r="G37" s="420">
        <f t="shared" si="1"/>
        <v>3.0166734681979834E-2</v>
      </c>
      <c r="H37" s="397"/>
      <c r="S37" s="393"/>
      <c r="T37" s="394"/>
      <c r="U37" s="393"/>
      <c r="V37" s="394"/>
    </row>
    <row r="38" spans="2:22" x14ac:dyDescent="0.2">
      <c r="B38" s="426">
        <v>44654</v>
      </c>
      <c r="C38" s="394">
        <v>85.9</v>
      </c>
      <c r="D38" s="420">
        <f t="shared" si="0"/>
        <v>9.0793650793650871E-2</v>
      </c>
      <c r="E38" s="394"/>
      <c r="F38" s="418">
        <v>17784.349999999999</v>
      </c>
      <c r="G38" s="420">
        <f t="shared" si="1"/>
        <v>6.4457894394311932E-3</v>
      </c>
      <c r="H38" s="397"/>
      <c r="S38" s="393"/>
      <c r="T38" s="394"/>
      <c r="U38" s="393"/>
      <c r="V38" s="394"/>
    </row>
    <row r="39" spans="2:22" x14ac:dyDescent="0.2">
      <c r="B39" s="426">
        <v>44661</v>
      </c>
      <c r="C39" s="394">
        <v>84.2</v>
      </c>
      <c r="D39" s="420">
        <f t="shared" si="0"/>
        <v>-1.9790454016298087E-2</v>
      </c>
      <c r="E39" s="394"/>
      <c r="F39" s="418">
        <v>17475.650000000001</v>
      </c>
      <c r="G39" s="420">
        <f t="shared" si="1"/>
        <v>-1.7357957979909133E-2</v>
      </c>
      <c r="H39" s="397"/>
      <c r="S39" s="393"/>
      <c r="T39" s="394"/>
      <c r="U39" s="393"/>
      <c r="V39" s="394"/>
    </row>
    <row r="40" spans="2:22" x14ac:dyDescent="0.2">
      <c r="B40" s="426">
        <v>44668</v>
      </c>
      <c r="C40" s="394">
        <v>84.2</v>
      </c>
      <c r="D40" s="420">
        <f t="shared" si="0"/>
        <v>0</v>
      </c>
      <c r="E40" s="394"/>
      <c r="F40" s="418">
        <v>17171.95</v>
      </c>
      <c r="G40" s="420">
        <f t="shared" si="1"/>
        <v>-1.7378466609253462E-2</v>
      </c>
      <c r="H40" s="397"/>
      <c r="I40" s="397"/>
      <c r="J40" s="397"/>
      <c r="K40" s="394"/>
      <c r="L40" s="396"/>
      <c r="S40" s="393"/>
      <c r="T40" s="394"/>
      <c r="U40" s="393"/>
      <c r="V40" s="394"/>
    </row>
    <row r="41" spans="2:22" x14ac:dyDescent="0.2">
      <c r="B41" s="426">
        <v>44675</v>
      </c>
      <c r="C41" s="394">
        <v>85.65</v>
      </c>
      <c r="D41" s="420">
        <f t="shared" si="0"/>
        <v>1.7220902612826716E-2</v>
      </c>
      <c r="E41" s="394"/>
      <c r="F41" s="418">
        <v>17102.55</v>
      </c>
      <c r="G41" s="420">
        <f t="shared" si="1"/>
        <v>-4.0414746141237412E-3</v>
      </c>
      <c r="H41" s="397"/>
      <c r="I41" s="397"/>
      <c r="J41" s="397"/>
      <c r="K41" s="394"/>
      <c r="L41" s="396"/>
      <c r="S41" s="393"/>
      <c r="T41" s="394"/>
      <c r="U41" s="393"/>
      <c r="V41" s="394"/>
    </row>
    <row r="42" spans="2:22" x14ac:dyDescent="0.2">
      <c r="B42" s="426">
        <v>44682</v>
      </c>
      <c r="C42" s="394">
        <v>83.5</v>
      </c>
      <c r="D42" s="420">
        <f t="shared" si="0"/>
        <v>-2.5102159953298342E-2</v>
      </c>
      <c r="E42" s="394"/>
      <c r="F42" s="418">
        <v>16411.25</v>
      </c>
      <c r="G42" s="420">
        <f t="shared" si="1"/>
        <v>-4.0420872910764682E-2</v>
      </c>
      <c r="H42" s="397"/>
      <c r="I42" s="397"/>
      <c r="J42" s="397"/>
      <c r="K42" s="394"/>
      <c r="L42" s="396"/>
      <c r="S42" s="393"/>
      <c r="T42" s="394"/>
      <c r="U42" s="393"/>
      <c r="V42" s="394"/>
    </row>
    <row r="43" spans="2:22" x14ac:dyDescent="0.2">
      <c r="B43" s="426">
        <v>44689</v>
      </c>
      <c r="C43" s="394">
        <v>78.55</v>
      </c>
      <c r="D43" s="420">
        <f t="shared" si="0"/>
        <v>-5.9281437125748515E-2</v>
      </c>
      <c r="E43" s="394"/>
      <c r="F43" s="418">
        <v>15782.15</v>
      </c>
      <c r="G43" s="420">
        <f t="shared" si="1"/>
        <v>-3.8333460278772158E-2</v>
      </c>
      <c r="H43" s="397"/>
      <c r="I43" s="397"/>
      <c r="J43" s="397"/>
      <c r="K43" s="394"/>
      <c r="L43" s="396"/>
      <c r="S43" s="393"/>
      <c r="T43" s="394"/>
      <c r="U43" s="393"/>
      <c r="V43" s="394"/>
    </row>
    <row r="44" spans="2:22" x14ac:dyDescent="0.2">
      <c r="B44" s="426">
        <v>44696</v>
      </c>
      <c r="C44" s="394">
        <v>79.05</v>
      </c>
      <c r="D44" s="420">
        <f t="shared" si="0"/>
        <v>6.3653723742838064E-3</v>
      </c>
      <c r="E44" s="394"/>
      <c r="F44" s="418">
        <v>16266.15</v>
      </c>
      <c r="G44" s="420">
        <f t="shared" si="1"/>
        <v>3.0667557968971249E-2</v>
      </c>
      <c r="H44" s="397"/>
      <c r="I44" s="397"/>
      <c r="J44" s="397"/>
      <c r="K44" s="394"/>
      <c r="L44" s="396"/>
      <c r="S44" s="393"/>
      <c r="T44" s="394"/>
      <c r="U44" s="393"/>
      <c r="V44" s="394"/>
    </row>
    <row r="45" spans="2:22" x14ac:dyDescent="0.2">
      <c r="B45" s="426">
        <v>44703</v>
      </c>
      <c r="C45" s="394">
        <v>78.900000000000006</v>
      </c>
      <c r="D45" s="420">
        <f t="shared" si="0"/>
        <v>-1.8975332068310591E-3</v>
      </c>
      <c r="E45" s="394"/>
      <c r="F45" s="418">
        <v>16352.45</v>
      </c>
      <c r="G45" s="420">
        <f t="shared" si="1"/>
        <v>5.3054963835941216E-3</v>
      </c>
      <c r="H45" s="397"/>
      <c r="I45" s="397"/>
      <c r="J45" s="397"/>
      <c r="K45" s="394"/>
      <c r="L45" s="396"/>
      <c r="S45" s="393"/>
      <c r="T45" s="394"/>
      <c r="U45" s="393"/>
      <c r="V45" s="394"/>
    </row>
    <row r="46" spans="2:22" x14ac:dyDescent="0.2">
      <c r="B46" s="426">
        <v>44710</v>
      </c>
      <c r="C46" s="394">
        <v>79.25</v>
      </c>
      <c r="D46" s="420">
        <f t="shared" si="0"/>
        <v>4.4359949302914536E-3</v>
      </c>
      <c r="E46" s="394"/>
      <c r="F46" s="418">
        <v>16584.3</v>
      </c>
      <c r="G46" s="420">
        <f t="shared" si="1"/>
        <v>1.4178303556959371E-2</v>
      </c>
      <c r="H46" s="397"/>
      <c r="I46" s="397"/>
      <c r="J46" s="397"/>
      <c r="K46" s="394"/>
      <c r="L46" s="396"/>
      <c r="S46" s="393"/>
      <c r="T46" s="394"/>
      <c r="U46" s="393"/>
      <c r="V46" s="394"/>
    </row>
    <row r="47" spans="2:22" x14ac:dyDescent="0.2">
      <c r="B47" s="426">
        <v>44717</v>
      </c>
      <c r="C47" s="394">
        <v>78.05</v>
      </c>
      <c r="D47" s="420">
        <f t="shared" si="0"/>
        <v>-1.5141955835962229E-2</v>
      </c>
      <c r="E47" s="394"/>
      <c r="F47" s="418">
        <v>16201.8</v>
      </c>
      <c r="G47" s="420">
        <f t="shared" si="1"/>
        <v>-2.3063982200032584E-2</v>
      </c>
      <c r="H47" s="397"/>
      <c r="I47" s="397"/>
      <c r="J47" s="397"/>
      <c r="K47" s="394"/>
      <c r="L47" s="396"/>
      <c r="S47" s="393"/>
      <c r="T47" s="394"/>
      <c r="U47" s="393"/>
      <c r="V47" s="394"/>
    </row>
    <row r="48" spans="2:22" x14ac:dyDescent="0.2">
      <c r="B48" s="426">
        <v>44724</v>
      </c>
      <c r="C48" s="394">
        <v>71.3</v>
      </c>
      <c r="D48" s="420">
        <f t="shared" si="0"/>
        <v>-8.6483023702754624E-2</v>
      </c>
      <c r="E48" s="394"/>
      <c r="F48" s="418">
        <v>15293.5</v>
      </c>
      <c r="G48" s="420">
        <f t="shared" si="1"/>
        <v>-5.6061672159883447E-2</v>
      </c>
      <c r="H48" s="397"/>
      <c r="I48" s="397"/>
      <c r="J48" s="397"/>
      <c r="K48" s="394"/>
      <c r="L48" s="396"/>
      <c r="S48" s="393"/>
      <c r="T48" s="394"/>
      <c r="U48" s="393"/>
      <c r="V48" s="394"/>
    </row>
    <row r="49" spans="2:22" x14ac:dyDescent="0.2">
      <c r="B49" s="426">
        <v>44731</v>
      </c>
      <c r="C49" s="394">
        <v>70.3</v>
      </c>
      <c r="D49" s="420">
        <f t="shared" si="0"/>
        <v>-1.4025245441795287E-2</v>
      </c>
      <c r="E49" s="394"/>
      <c r="F49" s="418">
        <v>15699.25</v>
      </c>
      <c r="G49" s="420">
        <f t="shared" si="1"/>
        <v>2.6530879131657192E-2</v>
      </c>
      <c r="H49" s="397"/>
      <c r="I49" s="397"/>
      <c r="J49" s="397"/>
      <c r="K49" s="394"/>
      <c r="L49" s="396"/>
      <c r="S49" s="393"/>
      <c r="T49" s="394"/>
      <c r="U49" s="393"/>
      <c r="V49" s="394"/>
    </row>
    <row r="50" spans="2:22" x14ac:dyDescent="0.2">
      <c r="B50" s="426">
        <v>44738</v>
      </c>
      <c r="C50" s="394">
        <v>71</v>
      </c>
      <c r="D50" s="420">
        <f t="shared" si="0"/>
        <v>9.957325746799528E-3</v>
      </c>
      <c r="E50" s="394"/>
      <c r="F50" s="418">
        <v>15752.05</v>
      </c>
      <c r="G50" s="420">
        <f t="shared" si="1"/>
        <v>3.3632179881204483E-3</v>
      </c>
      <c r="H50" s="397"/>
      <c r="I50" s="397"/>
      <c r="J50" s="397"/>
      <c r="K50" s="394"/>
      <c r="L50" s="396"/>
      <c r="S50" s="393"/>
      <c r="T50" s="394"/>
      <c r="U50" s="393"/>
      <c r="V50" s="394"/>
    </row>
    <row r="51" spans="2:22" x14ac:dyDescent="0.2">
      <c r="B51" s="426">
        <v>44745</v>
      </c>
      <c r="C51" s="394">
        <v>72.7</v>
      </c>
      <c r="D51" s="420">
        <f t="shared" si="0"/>
        <v>2.3943661971830954E-2</v>
      </c>
      <c r="E51" s="394"/>
      <c r="F51" s="418">
        <v>16220.6</v>
      </c>
      <c r="G51" s="420">
        <f t="shared" si="1"/>
        <v>2.9745334734209372E-2</v>
      </c>
      <c r="H51" s="397"/>
      <c r="I51" s="397"/>
      <c r="J51" s="397"/>
      <c r="K51" s="394"/>
      <c r="L51" s="396"/>
      <c r="S51" s="393"/>
      <c r="T51" s="394"/>
      <c r="U51" s="393"/>
      <c r="V51" s="394"/>
    </row>
    <row r="52" spans="2:22" x14ac:dyDescent="0.2">
      <c r="B52" s="426">
        <v>44752</v>
      </c>
      <c r="C52" s="394">
        <v>74.150000000000006</v>
      </c>
      <c r="D52" s="420">
        <f t="shared" si="0"/>
        <v>1.9944979367262805E-2</v>
      </c>
      <c r="E52" s="394"/>
      <c r="F52" s="418">
        <v>16049.2</v>
      </c>
      <c r="G52" s="420">
        <f t="shared" si="1"/>
        <v>-1.0566810105668067E-2</v>
      </c>
      <c r="H52" s="397"/>
      <c r="I52" s="397"/>
      <c r="J52" s="397"/>
      <c r="K52" s="394"/>
      <c r="L52" s="396"/>
      <c r="S52" s="393"/>
      <c r="T52" s="394"/>
      <c r="U52" s="393"/>
      <c r="V52" s="394"/>
    </row>
    <row r="53" spans="2:22" x14ac:dyDescent="0.2">
      <c r="B53" s="426">
        <v>44759</v>
      </c>
      <c r="C53" s="394">
        <v>75.05</v>
      </c>
      <c r="D53" s="420">
        <f t="shared" si="0"/>
        <v>1.2137559002022735E-2</v>
      </c>
      <c r="E53" s="394"/>
      <c r="F53" s="418">
        <v>16719.45</v>
      </c>
      <c r="G53" s="420">
        <f t="shared" si="1"/>
        <v>4.1762206215886222E-2</v>
      </c>
      <c r="H53" s="397"/>
      <c r="I53" s="397"/>
      <c r="J53" s="397"/>
      <c r="K53" s="394"/>
      <c r="L53" s="396"/>
      <c r="S53" s="393"/>
      <c r="T53" s="394"/>
      <c r="U53" s="393"/>
      <c r="V53" s="394"/>
    </row>
    <row r="54" spans="2:22" x14ac:dyDescent="0.2">
      <c r="B54" s="426">
        <v>44766</v>
      </c>
      <c r="C54" s="394">
        <v>76.650000000000006</v>
      </c>
      <c r="D54" s="420">
        <f t="shared" si="0"/>
        <v>2.1319120586275941E-2</v>
      </c>
      <c r="E54" s="394"/>
      <c r="F54" s="418">
        <v>17158.25</v>
      </c>
      <c r="G54" s="420">
        <f t="shared" si="1"/>
        <v>2.6244882457257868E-2</v>
      </c>
      <c r="H54" s="397"/>
      <c r="I54" s="397"/>
      <c r="J54" s="397"/>
      <c r="K54" s="394"/>
      <c r="L54" s="396"/>
      <c r="S54" s="393"/>
      <c r="T54" s="394"/>
      <c r="U54" s="393"/>
      <c r="V54" s="394"/>
    </row>
    <row r="55" spans="2:22" x14ac:dyDescent="0.2">
      <c r="B55" s="426">
        <v>44773</v>
      </c>
      <c r="C55" s="394">
        <v>79.650000000000006</v>
      </c>
      <c r="D55" s="420">
        <f t="shared" si="0"/>
        <v>3.9138943248532287E-2</v>
      </c>
      <c r="E55" s="394"/>
      <c r="F55" s="418">
        <v>17397.5</v>
      </c>
      <c r="G55" s="420">
        <f t="shared" si="1"/>
        <v>1.3943729692713402E-2</v>
      </c>
      <c r="H55" s="397"/>
      <c r="I55" s="397"/>
      <c r="J55" s="397"/>
      <c r="K55" s="394"/>
      <c r="L55" s="396"/>
      <c r="S55" s="393"/>
      <c r="T55" s="394"/>
      <c r="U55" s="393"/>
      <c r="V55" s="394"/>
    </row>
    <row r="56" spans="2:22" x14ac:dyDescent="0.2">
      <c r="B56" s="426">
        <v>44780</v>
      </c>
      <c r="C56" s="394">
        <v>79.45</v>
      </c>
      <c r="D56" s="420">
        <f t="shared" si="0"/>
        <v>-2.5109855618330457E-3</v>
      </c>
      <c r="E56" s="394"/>
      <c r="F56" s="418">
        <v>17698.150000000001</v>
      </c>
      <c r="G56" s="420">
        <f t="shared" si="1"/>
        <v>1.7281218565885936E-2</v>
      </c>
      <c r="H56" s="397"/>
      <c r="I56" s="397"/>
      <c r="J56" s="397"/>
      <c r="K56" s="394"/>
      <c r="L56" s="396"/>
      <c r="S56" s="393"/>
      <c r="T56" s="394"/>
      <c r="U56" s="393"/>
      <c r="V56" s="394"/>
    </row>
    <row r="57" spans="2:22" x14ac:dyDescent="0.2">
      <c r="B57" s="426">
        <v>44787</v>
      </c>
      <c r="C57" s="394">
        <v>79.400000000000006</v>
      </c>
      <c r="D57" s="420">
        <f t="shared" si="0"/>
        <v>-6.2932662051595756E-4</v>
      </c>
      <c r="E57" s="394"/>
      <c r="F57" s="418">
        <v>17758.45</v>
      </c>
      <c r="G57" s="420">
        <f t="shared" si="1"/>
        <v>3.4071357740781405E-3</v>
      </c>
      <c r="H57" s="397"/>
      <c r="I57" s="397"/>
      <c r="J57" s="397"/>
      <c r="K57" s="394"/>
      <c r="L57" s="396"/>
      <c r="S57" s="393"/>
      <c r="T57" s="394"/>
      <c r="U57" s="393"/>
      <c r="V57" s="394"/>
    </row>
    <row r="58" spans="2:22" x14ac:dyDescent="0.2">
      <c r="B58" s="426">
        <v>44794</v>
      </c>
      <c r="C58" s="394">
        <v>79.95</v>
      </c>
      <c r="D58" s="420">
        <f t="shared" si="0"/>
        <v>6.9269521410579848E-3</v>
      </c>
      <c r="E58" s="394"/>
      <c r="F58" s="418">
        <v>17558.900000000001</v>
      </c>
      <c r="G58" s="420">
        <f t="shared" si="1"/>
        <v>-1.1236904121699753E-2</v>
      </c>
      <c r="H58" s="397"/>
      <c r="I58" s="397"/>
      <c r="J58" s="397"/>
      <c r="K58" s="394"/>
      <c r="L58" s="396"/>
      <c r="S58" s="393"/>
      <c r="T58" s="394"/>
      <c r="U58" s="393"/>
      <c r="V58" s="394"/>
    </row>
    <row r="59" spans="2:22" x14ac:dyDescent="0.2">
      <c r="B59" s="426">
        <v>44801</v>
      </c>
      <c r="C59" s="394">
        <v>80</v>
      </c>
      <c r="D59" s="420">
        <f t="shared" si="0"/>
        <v>6.2539086929325194E-4</v>
      </c>
      <c r="E59" s="394"/>
      <c r="F59" s="418">
        <v>17539.45</v>
      </c>
      <c r="G59" s="420">
        <f t="shared" si="1"/>
        <v>-1.1077003684741848E-3</v>
      </c>
      <c r="H59" s="397"/>
      <c r="I59" s="397"/>
      <c r="J59" s="397"/>
      <c r="K59" s="394"/>
      <c r="L59" s="396"/>
      <c r="S59" s="393"/>
      <c r="T59" s="394"/>
      <c r="U59" s="393"/>
      <c r="V59" s="394"/>
    </row>
    <row r="60" spans="2:22" x14ac:dyDescent="0.2">
      <c r="B60" s="426">
        <v>44808</v>
      </c>
      <c r="C60" s="394">
        <v>83.25</v>
      </c>
      <c r="D60" s="420">
        <f t="shared" si="0"/>
        <v>4.0624999999999911E-2</v>
      </c>
      <c r="E60" s="394"/>
      <c r="F60" s="418">
        <v>17833.349999999999</v>
      </c>
      <c r="G60" s="420">
        <f t="shared" si="1"/>
        <v>1.6756511749228098E-2</v>
      </c>
      <c r="H60" s="397"/>
      <c r="I60" s="397"/>
      <c r="J60" s="397"/>
      <c r="K60" s="394"/>
      <c r="L60" s="396"/>
      <c r="S60" s="393"/>
      <c r="T60" s="394"/>
      <c r="U60" s="393"/>
      <c r="V60" s="394"/>
    </row>
    <row r="61" spans="2:22" x14ac:dyDescent="0.2">
      <c r="B61" s="426">
        <v>44815</v>
      </c>
      <c r="C61" s="394">
        <v>80.25</v>
      </c>
      <c r="D61" s="420">
        <f t="shared" si="0"/>
        <v>-3.6036036036036001E-2</v>
      </c>
      <c r="E61" s="394"/>
      <c r="F61" s="418">
        <v>17530.849999999999</v>
      </c>
      <c r="G61" s="420">
        <f t="shared" si="1"/>
        <v>-1.6962600969531838E-2</v>
      </c>
      <c r="H61" s="397"/>
      <c r="I61" s="397"/>
      <c r="J61" s="397"/>
      <c r="K61" s="394"/>
      <c r="L61" s="396"/>
      <c r="S61" s="393"/>
      <c r="T61" s="394"/>
      <c r="U61" s="393"/>
      <c r="V61" s="394"/>
    </row>
    <row r="62" spans="2:22" x14ac:dyDescent="0.2">
      <c r="B62" s="426">
        <v>44822</v>
      </c>
      <c r="C62" s="394">
        <v>79.3</v>
      </c>
      <c r="D62" s="420">
        <f t="shared" si="0"/>
        <v>-1.1838006230529663E-2</v>
      </c>
      <c r="E62" s="394"/>
      <c r="F62" s="418">
        <v>17327.349999999999</v>
      </c>
      <c r="G62" s="420">
        <f t="shared" si="1"/>
        <v>-1.1608107992481798E-2</v>
      </c>
      <c r="H62" s="397"/>
      <c r="I62" s="397"/>
      <c r="J62" s="397"/>
      <c r="K62" s="394"/>
      <c r="L62" s="396"/>
      <c r="S62" s="393"/>
      <c r="T62" s="394"/>
      <c r="U62" s="393"/>
      <c r="V62" s="394"/>
    </row>
    <row r="63" spans="2:22" x14ac:dyDescent="0.2">
      <c r="B63" s="426">
        <v>44829</v>
      </c>
      <c r="C63" s="394">
        <v>77.3</v>
      </c>
      <c r="D63" s="420">
        <f t="shared" si="0"/>
        <v>-2.5220680958385921E-2</v>
      </c>
      <c r="E63" s="394"/>
      <c r="F63" s="418">
        <v>17094.349999999999</v>
      </c>
      <c r="G63" s="420">
        <f t="shared" si="1"/>
        <v>-1.3446949475828696E-2</v>
      </c>
      <c r="H63" s="397"/>
      <c r="I63" s="397"/>
      <c r="J63" s="397"/>
      <c r="K63" s="394"/>
      <c r="L63" s="396"/>
      <c r="S63" s="393"/>
      <c r="T63" s="394"/>
      <c r="U63" s="393"/>
      <c r="V63" s="394"/>
    </row>
    <row r="64" spans="2:22" x14ac:dyDescent="0.2">
      <c r="B64" s="426">
        <v>44836</v>
      </c>
      <c r="C64" s="394">
        <v>79.55</v>
      </c>
      <c r="D64" s="420">
        <f t="shared" si="0"/>
        <v>2.9107373868046515E-2</v>
      </c>
      <c r="E64" s="394"/>
      <c r="F64" s="418">
        <v>17314.650000000001</v>
      </c>
      <c r="G64" s="420">
        <f t="shared" si="1"/>
        <v>1.2887299019851861E-2</v>
      </c>
      <c r="H64" s="397"/>
      <c r="I64" s="397"/>
      <c r="J64" s="397"/>
      <c r="K64" s="394"/>
      <c r="L64" s="396"/>
      <c r="S64" s="393"/>
      <c r="T64" s="394"/>
      <c r="U64" s="393"/>
      <c r="V64" s="394"/>
    </row>
    <row r="65" spans="2:22" x14ac:dyDescent="0.2">
      <c r="B65" s="426">
        <v>44843</v>
      </c>
      <c r="C65" s="394">
        <v>78.45</v>
      </c>
      <c r="D65" s="420">
        <f t="shared" si="0"/>
        <v>-1.3827781269641681E-2</v>
      </c>
      <c r="E65" s="394"/>
      <c r="F65" s="418">
        <v>17185.7</v>
      </c>
      <c r="G65" s="420">
        <f t="shared" si="1"/>
        <v>-7.4474505693156168E-3</v>
      </c>
      <c r="H65" s="397"/>
      <c r="I65" s="397"/>
      <c r="J65" s="397"/>
      <c r="K65" s="394"/>
      <c r="L65" s="396"/>
      <c r="S65" s="393"/>
      <c r="T65" s="394"/>
      <c r="U65" s="393"/>
      <c r="V65" s="394"/>
    </row>
    <row r="66" spans="2:22" x14ac:dyDescent="0.2">
      <c r="B66" s="426">
        <v>44850</v>
      </c>
      <c r="C66" s="394">
        <v>77.900000000000006</v>
      </c>
      <c r="D66" s="420">
        <f t="shared" si="0"/>
        <v>-7.0108349267048453E-3</v>
      </c>
      <c r="E66" s="394"/>
      <c r="F66" s="418">
        <v>17576.3</v>
      </c>
      <c r="G66" s="420">
        <f t="shared" si="1"/>
        <v>2.2728198444055048E-2</v>
      </c>
      <c r="H66" s="397"/>
      <c r="I66" s="397"/>
      <c r="J66" s="397"/>
      <c r="K66" s="394"/>
      <c r="L66" s="396"/>
      <c r="S66" s="393"/>
      <c r="T66" s="394"/>
      <c r="U66" s="393"/>
      <c r="V66" s="394"/>
    </row>
    <row r="67" spans="2:22" x14ac:dyDescent="0.2">
      <c r="B67" s="426">
        <v>44857</v>
      </c>
      <c r="C67" s="394">
        <v>77.150000000000006</v>
      </c>
      <c r="D67" s="420">
        <f t="shared" si="0"/>
        <v>-9.6277278562258983E-3</v>
      </c>
      <c r="E67" s="394"/>
      <c r="F67" s="418">
        <v>17786.8</v>
      </c>
      <c r="G67" s="420">
        <f t="shared" si="1"/>
        <v>1.1976354522851729E-2</v>
      </c>
      <c r="H67" s="397"/>
      <c r="I67" s="397"/>
      <c r="J67" s="397"/>
      <c r="K67" s="394"/>
      <c r="L67" s="396"/>
      <c r="S67" s="393"/>
      <c r="T67" s="394"/>
      <c r="U67" s="393"/>
      <c r="V67" s="394"/>
    </row>
    <row r="68" spans="2:22" x14ac:dyDescent="0.2">
      <c r="B68" s="426">
        <v>44864</v>
      </c>
      <c r="C68" s="394">
        <v>75.900000000000006</v>
      </c>
      <c r="D68" s="420">
        <f t="shared" si="0"/>
        <v>-1.6202203499675938E-2</v>
      </c>
      <c r="E68" s="394"/>
      <c r="F68" s="418">
        <v>18117.150000000001</v>
      </c>
      <c r="G68" s="420">
        <f t="shared" si="1"/>
        <v>1.8572761823374861E-2</v>
      </c>
      <c r="H68" s="397"/>
      <c r="I68" s="397"/>
      <c r="J68" s="397"/>
      <c r="K68" s="394"/>
      <c r="L68" s="396"/>
      <c r="S68" s="393"/>
      <c r="T68" s="394"/>
      <c r="U68" s="393"/>
      <c r="V68" s="394"/>
    </row>
    <row r="69" spans="2:22" x14ac:dyDescent="0.2">
      <c r="B69" s="426">
        <v>44871</v>
      </c>
      <c r="C69" s="394">
        <v>75.349999999999994</v>
      </c>
      <c r="D69" s="420">
        <f t="shared" si="0"/>
        <v>-7.2463768115943461E-3</v>
      </c>
      <c r="E69" s="394"/>
      <c r="F69" s="418">
        <v>18349.7</v>
      </c>
      <c r="G69" s="420">
        <f t="shared" si="1"/>
        <v>1.2835904101914375E-2</v>
      </c>
      <c r="H69" s="397"/>
      <c r="I69" s="397"/>
      <c r="J69" s="397"/>
      <c r="K69" s="394"/>
      <c r="L69" s="396"/>
      <c r="S69" s="393"/>
      <c r="T69" s="394"/>
      <c r="U69" s="393"/>
      <c r="V69" s="394"/>
    </row>
    <row r="70" spans="2:22" x14ac:dyDescent="0.2">
      <c r="B70" s="426">
        <v>44878</v>
      </c>
      <c r="C70" s="394">
        <v>72.25</v>
      </c>
      <c r="D70" s="420">
        <f t="shared" si="0"/>
        <v>-4.1141340411413374E-2</v>
      </c>
      <c r="E70" s="394"/>
      <c r="F70" s="418">
        <v>18307.650000000001</v>
      </c>
      <c r="G70" s="420">
        <f t="shared" si="1"/>
        <v>-2.2915905982113793E-3</v>
      </c>
      <c r="H70" s="397"/>
      <c r="I70" s="397"/>
      <c r="J70" s="397"/>
      <c r="K70" s="394"/>
      <c r="L70" s="396"/>
      <c r="S70" s="393"/>
      <c r="T70" s="394"/>
      <c r="U70" s="393"/>
      <c r="V70" s="394"/>
    </row>
    <row r="71" spans="2:22" x14ac:dyDescent="0.2">
      <c r="B71" s="426">
        <v>44885</v>
      </c>
      <c r="C71" s="394">
        <v>74.45</v>
      </c>
      <c r="D71" s="420">
        <f t="shared" si="0"/>
        <v>3.04498269896194E-2</v>
      </c>
      <c r="E71" s="394"/>
      <c r="F71" s="418">
        <v>18512.75</v>
      </c>
      <c r="G71" s="420">
        <f t="shared" si="1"/>
        <v>1.1202967065680136E-2</v>
      </c>
      <c r="H71" s="397"/>
      <c r="I71" s="397"/>
      <c r="J71" s="397"/>
      <c r="K71" s="394"/>
      <c r="L71" s="396"/>
      <c r="S71" s="393"/>
      <c r="T71" s="394"/>
      <c r="U71" s="393"/>
      <c r="V71" s="394"/>
    </row>
    <row r="72" spans="2:22" x14ac:dyDescent="0.2">
      <c r="B72" s="426">
        <v>44892</v>
      </c>
      <c r="C72" s="394">
        <v>75.55</v>
      </c>
      <c r="D72" s="420">
        <f t="shared" si="0"/>
        <v>1.4775016789791762E-2</v>
      </c>
      <c r="E72" s="394"/>
      <c r="F72" s="418">
        <v>18696.099999999999</v>
      </c>
      <c r="G72" s="420">
        <f t="shared" si="1"/>
        <v>9.9039850913558158E-3</v>
      </c>
      <c r="H72" s="397"/>
      <c r="I72" s="397"/>
      <c r="J72" s="397"/>
      <c r="K72" s="394"/>
      <c r="L72" s="396"/>
      <c r="S72" s="393"/>
      <c r="T72" s="394"/>
      <c r="U72" s="393"/>
      <c r="V72" s="394"/>
    </row>
    <row r="73" spans="2:22" x14ac:dyDescent="0.2">
      <c r="B73" s="426">
        <v>44899</v>
      </c>
      <c r="C73" s="394">
        <v>76.349999999999994</v>
      </c>
      <c r="D73" s="420">
        <f t="shared" si="0"/>
        <v>1.0589013898080646E-2</v>
      </c>
      <c r="E73" s="394"/>
      <c r="F73" s="418">
        <v>18496.599999999999</v>
      </c>
      <c r="G73" s="420">
        <f t="shared" si="1"/>
        <v>-1.0670674632677457E-2</v>
      </c>
      <c r="H73" s="397"/>
      <c r="I73" s="397"/>
      <c r="J73" s="397"/>
      <c r="K73" s="394"/>
      <c r="L73" s="396"/>
      <c r="S73" s="393"/>
      <c r="T73" s="394"/>
      <c r="U73" s="393"/>
      <c r="V73" s="394"/>
    </row>
    <row r="74" spans="2:22" x14ac:dyDescent="0.2">
      <c r="B74" s="426">
        <v>44906</v>
      </c>
      <c r="C74" s="394">
        <v>80.25</v>
      </c>
      <c r="D74" s="420">
        <f t="shared" si="0"/>
        <v>5.1080550098231869E-2</v>
      </c>
      <c r="E74" s="394"/>
      <c r="F74" s="418">
        <v>18269</v>
      </c>
      <c r="G74" s="420">
        <f t="shared" si="1"/>
        <v>-1.2304964155574472E-2</v>
      </c>
      <c r="H74" s="397"/>
      <c r="I74" s="397"/>
      <c r="J74" s="397"/>
      <c r="K74" s="394"/>
      <c r="L74" s="396"/>
      <c r="S74" s="393"/>
      <c r="T74" s="394"/>
      <c r="U74" s="393"/>
      <c r="V74" s="394"/>
    </row>
    <row r="75" spans="2:22" x14ac:dyDescent="0.2">
      <c r="B75" s="426">
        <v>44913</v>
      </c>
      <c r="C75" s="394">
        <v>75.2</v>
      </c>
      <c r="D75" s="420">
        <f t="shared" ref="D75:D138" si="2">C75/C74-1</f>
        <v>-6.2928348909657261E-2</v>
      </c>
      <c r="E75" s="394"/>
      <c r="F75" s="418">
        <v>17806.8</v>
      </c>
      <c r="G75" s="420">
        <f t="shared" si="1"/>
        <v>-2.5299687996058973E-2</v>
      </c>
      <c r="H75" s="397"/>
      <c r="I75" s="397"/>
      <c r="J75" s="397"/>
      <c r="K75" s="394"/>
      <c r="L75" s="396"/>
      <c r="S75" s="393"/>
      <c r="T75" s="394"/>
      <c r="U75" s="393"/>
      <c r="V75" s="394"/>
    </row>
    <row r="76" spans="2:22" x14ac:dyDescent="0.2">
      <c r="B76" s="426">
        <v>44920</v>
      </c>
      <c r="C76" s="394">
        <v>76.400000000000006</v>
      </c>
      <c r="D76" s="420">
        <f t="shared" si="2"/>
        <v>1.5957446808510634E-2</v>
      </c>
      <c r="E76" s="394"/>
      <c r="F76" s="418">
        <v>18105.3</v>
      </c>
      <c r="G76" s="420">
        <f t="shared" ref="G76:G139" si="3">F76/F75-1</f>
        <v>1.6763258979715534E-2</v>
      </c>
      <c r="H76" s="397"/>
      <c r="I76" s="397"/>
      <c r="J76" s="397"/>
      <c r="K76" s="394"/>
      <c r="L76" s="396"/>
      <c r="S76" s="393"/>
      <c r="T76" s="394"/>
      <c r="U76" s="393"/>
      <c r="V76" s="394"/>
    </row>
    <row r="77" spans="2:22" x14ac:dyDescent="0.2">
      <c r="B77" s="426">
        <v>44927</v>
      </c>
      <c r="C77" s="394">
        <v>75.849999999999994</v>
      </c>
      <c r="D77" s="420">
        <f t="shared" si="2"/>
        <v>-7.1989528795812774E-3</v>
      </c>
      <c r="E77" s="394"/>
      <c r="F77" s="418">
        <v>17859.45</v>
      </c>
      <c r="G77" s="420">
        <f t="shared" si="3"/>
        <v>-1.3578896787128536E-2</v>
      </c>
      <c r="H77" s="397"/>
      <c r="I77" s="397"/>
      <c r="J77" s="397"/>
      <c r="K77" s="394"/>
      <c r="L77" s="396"/>
      <c r="S77" s="393"/>
      <c r="T77" s="394"/>
      <c r="U77" s="393"/>
      <c r="V77" s="394"/>
    </row>
    <row r="78" spans="2:22" x14ac:dyDescent="0.2">
      <c r="B78" s="426">
        <v>44934</v>
      </c>
      <c r="C78" s="394">
        <v>73.95</v>
      </c>
      <c r="D78" s="420">
        <f t="shared" si="2"/>
        <v>-2.5049439683585861E-2</v>
      </c>
      <c r="E78" s="394"/>
      <c r="F78" s="418">
        <v>17956.599999999999</v>
      </c>
      <c r="G78" s="420">
        <f t="shared" si="3"/>
        <v>5.4396971911228054E-3</v>
      </c>
      <c r="H78" s="397"/>
      <c r="I78" s="397"/>
      <c r="J78" s="397"/>
      <c r="K78" s="394"/>
      <c r="L78" s="396"/>
      <c r="S78" s="393"/>
      <c r="T78" s="394"/>
      <c r="U78" s="393"/>
      <c r="V78" s="394"/>
    </row>
    <row r="79" spans="2:22" x14ac:dyDescent="0.2">
      <c r="B79" s="426">
        <v>44941</v>
      </c>
      <c r="C79" s="394">
        <v>73.8</v>
      </c>
      <c r="D79" s="420">
        <f t="shared" si="2"/>
        <v>-2.0283975659229903E-3</v>
      </c>
      <c r="E79" s="394"/>
      <c r="F79" s="418">
        <v>18027.650000000001</v>
      </c>
      <c r="G79" s="420">
        <f t="shared" si="3"/>
        <v>3.9567624160476988E-3</v>
      </c>
      <c r="H79" s="397"/>
      <c r="I79" s="397"/>
      <c r="J79" s="397"/>
      <c r="K79" s="394"/>
      <c r="L79" s="396"/>
      <c r="S79" s="393"/>
      <c r="T79" s="394"/>
      <c r="U79" s="393"/>
      <c r="V79" s="394"/>
    </row>
    <row r="80" spans="2:22" x14ac:dyDescent="0.2">
      <c r="B80" s="426">
        <v>44948</v>
      </c>
      <c r="C80" s="394">
        <v>72.5</v>
      </c>
      <c r="D80" s="420">
        <f t="shared" si="2"/>
        <v>-1.7615176151761447E-2</v>
      </c>
      <c r="E80" s="394"/>
      <c r="F80" s="418">
        <v>17604.349999999999</v>
      </c>
      <c r="G80" s="420">
        <f t="shared" si="3"/>
        <v>-2.3480597859399488E-2</v>
      </c>
      <c r="H80" s="397"/>
      <c r="I80" s="397"/>
      <c r="J80" s="397"/>
      <c r="K80" s="394"/>
      <c r="L80" s="396"/>
      <c r="S80" s="393"/>
      <c r="T80" s="394"/>
      <c r="U80" s="393"/>
      <c r="V80" s="394"/>
    </row>
    <row r="81" spans="2:22" x14ac:dyDescent="0.2">
      <c r="B81" s="426">
        <v>44955</v>
      </c>
      <c r="C81" s="394">
        <v>72.650000000000006</v>
      </c>
      <c r="D81" s="420">
        <f t="shared" si="2"/>
        <v>2.0689655172414501E-3</v>
      </c>
      <c r="E81" s="394"/>
      <c r="F81" s="418">
        <v>17854.05</v>
      </c>
      <c r="G81" s="420">
        <f t="shared" si="3"/>
        <v>1.4183994296864233E-2</v>
      </c>
      <c r="H81" s="397"/>
      <c r="I81" s="397"/>
      <c r="J81" s="397"/>
      <c r="K81" s="394"/>
      <c r="L81" s="396"/>
      <c r="S81" s="393"/>
      <c r="T81" s="394"/>
      <c r="U81" s="393"/>
      <c r="V81" s="394"/>
    </row>
    <row r="82" spans="2:22" x14ac:dyDescent="0.2">
      <c r="B82" s="426">
        <v>44962</v>
      </c>
      <c r="C82" s="394">
        <v>73.45</v>
      </c>
      <c r="D82" s="420">
        <f t="shared" si="2"/>
        <v>1.1011699931176899E-2</v>
      </c>
      <c r="E82" s="394"/>
      <c r="F82" s="418">
        <v>17856.5</v>
      </c>
      <c r="G82" s="420">
        <f t="shared" si="3"/>
        <v>1.372237671564136E-4</v>
      </c>
      <c r="H82" s="397"/>
      <c r="I82" s="397"/>
      <c r="J82" s="397"/>
      <c r="K82" s="394"/>
      <c r="L82" s="396"/>
      <c r="S82" s="393"/>
      <c r="T82" s="394"/>
      <c r="U82" s="393"/>
      <c r="V82" s="394"/>
    </row>
    <row r="83" spans="2:22" x14ac:dyDescent="0.2">
      <c r="B83" s="426">
        <v>44969</v>
      </c>
      <c r="C83" s="394">
        <v>76.95</v>
      </c>
      <c r="D83" s="420">
        <f t="shared" si="2"/>
        <v>4.7651463580667075E-2</v>
      </c>
      <c r="E83" s="394"/>
      <c r="F83" s="418">
        <v>17944.2</v>
      </c>
      <c r="G83" s="420">
        <f t="shared" si="3"/>
        <v>4.9113768095652155E-3</v>
      </c>
      <c r="H83" s="397"/>
      <c r="I83" s="397"/>
      <c r="J83" s="397"/>
      <c r="K83" s="394"/>
      <c r="L83" s="396"/>
      <c r="S83" s="393"/>
      <c r="T83" s="394"/>
      <c r="U83" s="393"/>
      <c r="V83" s="394"/>
    </row>
    <row r="84" spans="2:22" x14ac:dyDescent="0.2">
      <c r="B84" s="426">
        <v>44976</v>
      </c>
      <c r="C84" s="394">
        <v>72.2</v>
      </c>
      <c r="D84" s="420">
        <f t="shared" si="2"/>
        <v>-6.1728395061728447E-2</v>
      </c>
      <c r="E84" s="394"/>
      <c r="F84" s="418">
        <v>17465.8</v>
      </c>
      <c r="G84" s="420">
        <f t="shared" si="3"/>
        <v>-2.6660425095574092E-2</v>
      </c>
      <c r="H84" s="397"/>
      <c r="I84" s="397"/>
      <c r="J84" s="397"/>
      <c r="K84" s="394"/>
      <c r="L84" s="396"/>
      <c r="S84" s="393"/>
      <c r="T84" s="394"/>
      <c r="U84" s="393"/>
      <c r="V84" s="394"/>
    </row>
    <row r="85" spans="2:22" x14ac:dyDescent="0.2">
      <c r="B85" s="426">
        <v>44983</v>
      </c>
      <c r="C85" s="394">
        <v>70</v>
      </c>
      <c r="D85" s="420">
        <f t="shared" si="2"/>
        <v>-3.0470914127423865E-2</v>
      </c>
      <c r="E85" s="394"/>
      <c r="F85" s="418">
        <v>17594.349999999999</v>
      </c>
      <c r="G85" s="420">
        <f t="shared" si="3"/>
        <v>7.360098020130712E-3</v>
      </c>
      <c r="H85" s="397"/>
      <c r="I85" s="397"/>
      <c r="J85" s="397"/>
      <c r="K85" s="394"/>
      <c r="L85" s="396"/>
      <c r="S85" s="393"/>
      <c r="T85" s="394"/>
      <c r="U85" s="393"/>
      <c r="V85" s="394"/>
    </row>
    <row r="86" spans="2:22" x14ac:dyDescent="0.2">
      <c r="B86" s="426">
        <v>44990</v>
      </c>
      <c r="C86" s="394">
        <v>70.900000000000006</v>
      </c>
      <c r="D86" s="420">
        <f t="shared" si="2"/>
        <v>1.28571428571429E-2</v>
      </c>
      <c r="E86" s="394"/>
      <c r="F86" s="418">
        <v>17412.900000000001</v>
      </c>
      <c r="G86" s="420">
        <f t="shared" si="3"/>
        <v>-1.0312969788596749E-2</v>
      </c>
      <c r="H86" s="397"/>
      <c r="I86" s="397"/>
      <c r="J86" s="397"/>
      <c r="K86" s="394"/>
      <c r="L86" s="396"/>
      <c r="S86" s="393"/>
      <c r="T86" s="394"/>
      <c r="U86" s="393"/>
      <c r="V86" s="394"/>
    </row>
    <row r="87" spans="2:22" x14ac:dyDescent="0.2">
      <c r="B87" s="426">
        <v>44997</v>
      </c>
      <c r="C87" s="394">
        <v>68.8</v>
      </c>
      <c r="D87" s="420">
        <f t="shared" si="2"/>
        <v>-2.961918194640345E-2</v>
      </c>
      <c r="E87" s="394"/>
      <c r="F87" s="418">
        <v>17100.05</v>
      </c>
      <c r="G87" s="420">
        <f t="shared" si="3"/>
        <v>-1.796656501788918E-2</v>
      </c>
      <c r="H87" s="397"/>
      <c r="I87" s="397"/>
      <c r="J87" s="397"/>
      <c r="K87" s="394"/>
      <c r="L87" s="396"/>
      <c r="S87" s="393"/>
      <c r="T87" s="394"/>
      <c r="U87" s="393"/>
      <c r="V87" s="394"/>
    </row>
    <row r="88" spans="2:22" x14ac:dyDescent="0.2">
      <c r="B88" s="426">
        <v>45004</v>
      </c>
      <c r="C88" s="394">
        <v>66.8</v>
      </c>
      <c r="D88" s="420">
        <f t="shared" si="2"/>
        <v>-2.9069767441860517E-2</v>
      </c>
      <c r="E88" s="394"/>
      <c r="F88" s="418">
        <v>16945.05</v>
      </c>
      <c r="G88" s="420">
        <f t="shared" si="3"/>
        <v>-9.0643009815760678E-3</v>
      </c>
      <c r="H88" s="397"/>
      <c r="I88" s="397"/>
      <c r="J88" s="397"/>
      <c r="K88" s="394"/>
      <c r="L88" s="396"/>
      <c r="S88" s="393"/>
      <c r="T88" s="394"/>
      <c r="U88" s="393"/>
      <c r="V88" s="394"/>
    </row>
    <row r="89" spans="2:22" x14ac:dyDescent="0.2">
      <c r="B89" s="426">
        <v>45011</v>
      </c>
      <c r="C89" s="394">
        <v>66.650000000000006</v>
      </c>
      <c r="D89" s="420">
        <f t="shared" si="2"/>
        <v>-2.2455089820357932E-3</v>
      </c>
      <c r="E89" s="394"/>
      <c r="F89" s="418">
        <v>17359.75</v>
      </c>
      <c r="G89" s="420">
        <f t="shared" si="3"/>
        <v>2.4473223743807226E-2</v>
      </c>
      <c r="H89" s="397"/>
      <c r="I89" s="397"/>
      <c r="J89" s="397"/>
      <c r="K89" s="394"/>
      <c r="L89" s="396"/>
      <c r="S89" s="393"/>
      <c r="T89" s="394"/>
      <c r="U89" s="393"/>
      <c r="V89" s="394"/>
    </row>
    <row r="90" spans="2:22" x14ac:dyDescent="0.2">
      <c r="B90" s="426">
        <v>45018</v>
      </c>
      <c r="C90" s="394">
        <v>69.2</v>
      </c>
      <c r="D90" s="420">
        <f t="shared" si="2"/>
        <v>3.825956489122273E-2</v>
      </c>
      <c r="E90" s="394"/>
      <c r="F90" s="418">
        <v>17599.150000000001</v>
      </c>
      <c r="G90" s="420">
        <f t="shared" si="3"/>
        <v>1.3790521176860304E-2</v>
      </c>
      <c r="H90" s="397"/>
      <c r="I90" s="397"/>
      <c r="J90" s="397"/>
      <c r="K90" s="394"/>
      <c r="L90" s="396"/>
      <c r="S90" s="393"/>
      <c r="T90" s="394"/>
      <c r="U90" s="393"/>
      <c r="V90" s="394"/>
    </row>
    <row r="91" spans="2:22" x14ac:dyDescent="0.2">
      <c r="B91" s="426">
        <v>45025</v>
      </c>
      <c r="C91" s="394">
        <v>68.25</v>
      </c>
      <c r="D91" s="420">
        <f t="shared" si="2"/>
        <v>-1.3728323699422007E-2</v>
      </c>
      <c r="E91" s="394"/>
      <c r="F91" s="418">
        <v>17828</v>
      </c>
      <c r="G91" s="420">
        <f t="shared" si="3"/>
        <v>1.3003468917532901E-2</v>
      </c>
      <c r="H91" s="397"/>
      <c r="I91" s="397"/>
      <c r="J91" s="397"/>
      <c r="K91" s="394"/>
      <c r="L91" s="396"/>
      <c r="S91" s="393"/>
      <c r="T91" s="394"/>
      <c r="U91" s="393"/>
      <c r="V91" s="394"/>
    </row>
    <row r="92" spans="2:22" x14ac:dyDescent="0.2">
      <c r="B92" s="426">
        <v>45032</v>
      </c>
      <c r="C92" s="394">
        <v>67.849999999999994</v>
      </c>
      <c r="D92" s="420">
        <f t="shared" si="2"/>
        <v>-5.860805860805951E-3</v>
      </c>
      <c r="E92" s="394"/>
      <c r="F92" s="418">
        <v>17624.05</v>
      </c>
      <c r="G92" s="420">
        <f t="shared" si="3"/>
        <v>-1.143986986762402E-2</v>
      </c>
      <c r="H92" s="397"/>
      <c r="I92" s="397"/>
      <c r="J92" s="397"/>
      <c r="K92" s="394"/>
      <c r="L92" s="396"/>
      <c r="S92" s="393"/>
      <c r="T92" s="394"/>
      <c r="U92" s="393"/>
      <c r="V92" s="394"/>
    </row>
    <row r="93" spans="2:22" x14ac:dyDescent="0.2">
      <c r="B93" s="426">
        <v>45039</v>
      </c>
      <c r="C93" s="394">
        <v>68.5</v>
      </c>
      <c r="D93" s="420">
        <f t="shared" si="2"/>
        <v>9.579955784819516E-3</v>
      </c>
      <c r="E93" s="394"/>
      <c r="F93" s="418">
        <v>18065</v>
      </c>
      <c r="G93" s="420">
        <f t="shared" si="3"/>
        <v>2.5019788300645995E-2</v>
      </c>
      <c r="H93" s="397"/>
      <c r="I93" s="397"/>
      <c r="J93" s="397"/>
      <c r="K93" s="394"/>
      <c r="L93" s="396"/>
      <c r="S93" s="393"/>
      <c r="T93" s="394"/>
      <c r="U93" s="393"/>
      <c r="V93" s="394"/>
    </row>
    <row r="94" spans="2:22" x14ac:dyDescent="0.2">
      <c r="B94" s="426">
        <v>45046</v>
      </c>
      <c r="C94" s="394">
        <v>68.650000000000006</v>
      </c>
      <c r="D94" s="420">
        <f t="shared" si="2"/>
        <v>2.1897810218978186E-3</v>
      </c>
      <c r="E94" s="394"/>
      <c r="F94" s="418">
        <v>18069</v>
      </c>
      <c r="G94" s="420">
        <f t="shared" si="3"/>
        <v>2.2142264046509652E-4</v>
      </c>
      <c r="H94" s="397"/>
      <c r="I94" s="397"/>
      <c r="J94" s="397"/>
      <c r="K94" s="394"/>
      <c r="L94" s="396"/>
      <c r="S94" s="393"/>
      <c r="T94" s="394"/>
      <c r="U94" s="393"/>
      <c r="V94" s="394"/>
    </row>
    <row r="95" spans="2:22" x14ac:dyDescent="0.2">
      <c r="B95" s="426">
        <v>45053</v>
      </c>
      <c r="C95" s="394">
        <v>70.25</v>
      </c>
      <c r="D95" s="420">
        <f t="shared" si="2"/>
        <v>2.3306627822286874E-2</v>
      </c>
      <c r="E95" s="394"/>
      <c r="F95" s="418">
        <v>18314.8</v>
      </c>
      <c r="G95" s="420">
        <f t="shared" si="3"/>
        <v>1.3603409153799317E-2</v>
      </c>
      <c r="H95" s="397"/>
      <c r="I95" s="397"/>
      <c r="J95" s="397"/>
      <c r="K95" s="394"/>
      <c r="L95" s="396"/>
      <c r="S95" s="393"/>
      <c r="T95" s="394"/>
      <c r="U95" s="393"/>
      <c r="V95" s="394"/>
    </row>
    <row r="96" spans="2:22" x14ac:dyDescent="0.2">
      <c r="B96" s="426">
        <v>45060</v>
      </c>
      <c r="C96" s="394">
        <v>71.7</v>
      </c>
      <c r="D96" s="420">
        <f t="shared" si="2"/>
        <v>2.0640569395017794E-2</v>
      </c>
      <c r="E96" s="394"/>
      <c r="F96" s="418">
        <v>18203.400000000001</v>
      </c>
      <c r="G96" s="420">
        <f t="shared" si="3"/>
        <v>-6.0825125035489647E-3</v>
      </c>
      <c r="H96" s="397"/>
      <c r="I96" s="397"/>
      <c r="J96" s="397"/>
      <c r="K96" s="394"/>
      <c r="L96" s="396"/>
      <c r="S96" s="393"/>
      <c r="T96" s="394"/>
      <c r="U96" s="393"/>
      <c r="V96" s="394"/>
    </row>
    <row r="97" spans="2:22" x14ac:dyDescent="0.2">
      <c r="B97" s="426">
        <v>45067</v>
      </c>
      <c r="C97" s="394">
        <v>69.599999999999994</v>
      </c>
      <c r="D97" s="420">
        <f t="shared" si="2"/>
        <v>-2.9288702928870425E-2</v>
      </c>
      <c r="E97" s="394"/>
      <c r="F97" s="418">
        <v>18499.349999999999</v>
      </c>
      <c r="G97" s="420">
        <f t="shared" si="3"/>
        <v>1.6257951811200044E-2</v>
      </c>
      <c r="H97" s="397"/>
      <c r="I97" s="397"/>
      <c r="J97" s="397"/>
      <c r="K97" s="394"/>
      <c r="L97" s="396"/>
      <c r="S97" s="393"/>
      <c r="T97" s="394"/>
      <c r="U97" s="393"/>
      <c r="V97" s="394"/>
    </row>
    <row r="98" spans="2:22" x14ac:dyDescent="0.2">
      <c r="B98" s="426">
        <v>45074</v>
      </c>
      <c r="C98" s="394">
        <v>69.55</v>
      </c>
      <c r="D98" s="420">
        <f t="shared" si="2"/>
        <v>-7.1839080459767946E-4</v>
      </c>
      <c r="E98" s="394"/>
      <c r="F98" s="418">
        <v>18534.099999999999</v>
      </c>
      <c r="G98" s="420">
        <f t="shared" si="3"/>
        <v>1.8784443777755122E-3</v>
      </c>
      <c r="H98" s="397"/>
      <c r="I98" s="397"/>
      <c r="J98" s="397"/>
      <c r="K98" s="394"/>
      <c r="L98" s="396"/>
      <c r="S98" s="393"/>
      <c r="T98" s="394"/>
      <c r="U98" s="393"/>
      <c r="V98" s="394"/>
    </row>
    <row r="99" spans="2:22" x14ac:dyDescent="0.2">
      <c r="B99" s="426">
        <v>45081</v>
      </c>
      <c r="C99" s="394">
        <v>71.3</v>
      </c>
      <c r="D99" s="420">
        <f t="shared" si="2"/>
        <v>2.5161754133716796E-2</v>
      </c>
      <c r="E99" s="394"/>
      <c r="F99" s="418">
        <v>18563.400000000001</v>
      </c>
      <c r="G99" s="420">
        <f t="shared" si="3"/>
        <v>1.5808698561032841E-3</v>
      </c>
      <c r="H99" s="397"/>
      <c r="I99" s="397"/>
      <c r="J99" s="397"/>
      <c r="K99" s="394"/>
      <c r="L99" s="396"/>
      <c r="S99" s="393"/>
      <c r="T99" s="394"/>
      <c r="U99" s="393"/>
      <c r="V99" s="394"/>
    </row>
    <row r="100" spans="2:22" x14ac:dyDescent="0.2">
      <c r="B100" s="426">
        <v>45088</v>
      </c>
      <c r="C100" s="394">
        <v>72</v>
      </c>
      <c r="D100" s="420">
        <f t="shared" si="2"/>
        <v>9.817671809256634E-3</v>
      </c>
      <c r="E100" s="394"/>
      <c r="F100" s="418">
        <v>18826</v>
      </c>
      <c r="G100" s="420">
        <f t="shared" si="3"/>
        <v>1.4146115474535925E-2</v>
      </c>
      <c r="H100" s="397"/>
      <c r="I100" s="397"/>
      <c r="J100" s="397"/>
      <c r="K100" s="394"/>
      <c r="L100" s="396"/>
      <c r="S100" s="393"/>
      <c r="T100" s="394"/>
      <c r="U100" s="393"/>
      <c r="V100" s="394"/>
    </row>
    <row r="101" spans="2:22" x14ac:dyDescent="0.2">
      <c r="B101" s="426">
        <v>45095</v>
      </c>
      <c r="C101" s="394">
        <v>71.900000000000006</v>
      </c>
      <c r="D101" s="420">
        <f t="shared" si="2"/>
        <v>-1.3888888888887729E-3</v>
      </c>
      <c r="E101" s="394"/>
      <c r="F101" s="418">
        <v>18665.5</v>
      </c>
      <c r="G101" s="420">
        <f t="shared" si="3"/>
        <v>-8.5254435355359703E-3</v>
      </c>
      <c r="H101" s="397"/>
      <c r="I101" s="397"/>
      <c r="J101" s="397"/>
      <c r="K101" s="394"/>
      <c r="L101" s="396"/>
      <c r="S101" s="393"/>
      <c r="T101" s="394"/>
      <c r="U101" s="393"/>
      <c r="V101" s="394"/>
    </row>
    <row r="102" spans="2:22" x14ac:dyDescent="0.2">
      <c r="B102" s="426">
        <v>45102</v>
      </c>
      <c r="C102" s="394">
        <v>71.95</v>
      </c>
      <c r="D102" s="420">
        <f t="shared" si="2"/>
        <v>6.9541029207220717E-4</v>
      </c>
      <c r="E102" s="394"/>
      <c r="F102" s="418">
        <v>19189.05</v>
      </c>
      <c r="G102" s="420">
        <f t="shared" si="3"/>
        <v>2.8049074495727355E-2</v>
      </c>
      <c r="H102" s="397"/>
      <c r="I102" s="397"/>
      <c r="J102" s="397"/>
      <c r="K102" s="394"/>
      <c r="L102" s="396"/>
      <c r="S102" s="393"/>
      <c r="T102" s="394"/>
      <c r="U102" s="393"/>
      <c r="V102" s="394"/>
    </row>
    <row r="103" spans="2:22" x14ac:dyDescent="0.2">
      <c r="B103" s="426">
        <v>45109</v>
      </c>
      <c r="C103" s="394">
        <v>75.05</v>
      </c>
      <c r="D103" s="420">
        <f t="shared" si="2"/>
        <v>4.3085476025017222E-2</v>
      </c>
      <c r="E103" s="394"/>
      <c r="F103" s="418">
        <v>19331.8</v>
      </c>
      <c r="G103" s="420">
        <f t="shared" si="3"/>
        <v>7.4391384669902916E-3</v>
      </c>
      <c r="H103" s="397"/>
      <c r="I103" s="397"/>
      <c r="J103" s="397"/>
      <c r="K103" s="394"/>
      <c r="L103" s="396"/>
      <c r="S103" s="393"/>
      <c r="T103" s="394"/>
      <c r="U103" s="393"/>
      <c r="V103" s="394"/>
    </row>
    <row r="104" spans="2:22" x14ac:dyDescent="0.2">
      <c r="B104" s="426">
        <v>45116</v>
      </c>
      <c r="C104" s="394">
        <v>75.45</v>
      </c>
      <c r="D104" s="420">
        <f t="shared" si="2"/>
        <v>5.3297801465690409E-3</v>
      </c>
      <c r="E104" s="394"/>
      <c r="F104" s="418">
        <v>19564.5</v>
      </c>
      <c r="G104" s="420">
        <f t="shared" si="3"/>
        <v>1.2037161567986399E-2</v>
      </c>
      <c r="H104" s="397"/>
      <c r="I104" s="397"/>
      <c r="J104" s="397"/>
      <c r="K104" s="394"/>
      <c r="L104" s="396"/>
      <c r="S104" s="393"/>
      <c r="T104" s="394"/>
      <c r="U104" s="393"/>
      <c r="V104" s="394"/>
    </row>
    <row r="105" spans="2:22" x14ac:dyDescent="0.2">
      <c r="B105" s="426">
        <v>45123</v>
      </c>
      <c r="C105" s="394">
        <v>74.95</v>
      </c>
      <c r="D105" s="420">
        <f t="shared" si="2"/>
        <v>-6.6269052352551094E-3</v>
      </c>
      <c r="E105" s="394"/>
      <c r="F105" s="418">
        <v>19745</v>
      </c>
      <c r="G105" s="420">
        <f t="shared" si="3"/>
        <v>9.225893838329613E-3</v>
      </c>
      <c r="H105" s="397"/>
      <c r="I105" s="397"/>
      <c r="J105" s="397"/>
      <c r="K105" s="394"/>
      <c r="L105" s="396"/>
      <c r="S105" s="393"/>
      <c r="T105" s="394"/>
      <c r="U105" s="393"/>
      <c r="V105" s="394"/>
    </row>
    <row r="106" spans="2:22" x14ac:dyDescent="0.2">
      <c r="B106" s="426">
        <v>45130</v>
      </c>
      <c r="C106" s="394">
        <v>75.400000000000006</v>
      </c>
      <c r="D106" s="420">
        <f t="shared" si="2"/>
        <v>6.0040026684455849E-3</v>
      </c>
      <c r="E106" s="394"/>
      <c r="F106" s="418">
        <v>19646.05</v>
      </c>
      <c r="G106" s="420">
        <f t="shared" si="3"/>
        <v>-5.0113952899468739E-3</v>
      </c>
      <c r="H106" s="397"/>
      <c r="I106" s="397"/>
      <c r="J106" s="397"/>
      <c r="K106" s="394"/>
      <c r="L106" s="396"/>
      <c r="S106" s="393"/>
      <c r="T106" s="394"/>
      <c r="U106" s="393"/>
      <c r="V106" s="394"/>
    </row>
    <row r="107" spans="2:22" x14ac:dyDescent="0.2">
      <c r="B107" s="426">
        <v>45137</v>
      </c>
      <c r="C107" s="394">
        <v>78.8</v>
      </c>
      <c r="D107" s="420">
        <f t="shared" si="2"/>
        <v>4.5092838196286289E-2</v>
      </c>
      <c r="E107" s="394"/>
      <c r="F107" s="418">
        <v>19517</v>
      </c>
      <c r="G107" s="420">
        <f t="shared" si="3"/>
        <v>-6.568750461288575E-3</v>
      </c>
      <c r="H107" s="397"/>
      <c r="I107" s="397"/>
      <c r="J107" s="397"/>
      <c r="K107" s="394"/>
      <c r="L107" s="396"/>
      <c r="S107" s="393"/>
      <c r="T107" s="394"/>
      <c r="U107" s="393"/>
      <c r="V107" s="394"/>
    </row>
    <row r="108" spans="2:22" x14ac:dyDescent="0.2">
      <c r="B108" s="426">
        <v>45144</v>
      </c>
      <c r="C108" s="394">
        <v>78.3</v>
      </c>
      <c r="D108" s="420">
        <f t="shared" si="2"/>
        <v>-6.3451776649746661E-3</v>
      </c>
      <c r="E108" s="394"/>
      <c r="F108" s="418">
        <v>19428.3</v>
      </c>
      <c r="G108" s="420">
        <f t="shared" si="3"/>
        <v>-4.5447558538710409E-3</v>
      </c>
      <c r="H108" s="397"/>
      <c r="I108" s="397"/>
      <c r="J108" s="397"/>
      <c r="K108" s="394"/>
      <c r="L108" s="396"/>
      <c r="S108" s="393"/>
      <c r="T108" s="394"/>
      <c r="U108" s="393"/>
      <c r="V108" s="394"/>
    </row>
    <row r="109" spans="2:22" x14ac:dyDescent="0.2">
      <c r="B109" s="426">
        <v>45151</v>
      </c>
      <c r="C109" s="394">
        <v>77.25</v>
      </c>
      <c r="D109" s="420">
        <f t="shared" si="2"/>
        <v>-1.3409961685823757E-2</v>
      </c>
      <c r="E109" s="394"/>
      <c r="F109" s="418">
        <v>19310.150000000001</v>
      </c>
      <c r="G109" s="420">
        <f t="shared" si="3"/>
        <v>-6.0813349598265454E-3</v>
      </c>
      <c r="H109" s="397"/>
      <c r="I109" s="397"/>
      <c r="J109" s="397"/>
      <c r="K109" s="394"/>
      <c r="L109" s="396"/>
      <c r="S109" s="393"/>
      <c r="T109" s="394"/>
      <c r="U109" s="393"/>
      <c r="V109" s="394"/>
    </row>
    <row r="110" spans="2:22" x14ac:dyDescent="0.2">
      <c r="B110" s="426">
        <v>45158</v>
      </c>
      <c r="C110" s="394">
        <v>81.2</v>
      </c>
      <c r="D110" s="420">
        <f t="shared" si="2"/>
        <v>5.1132686084142343E-2</v>
      </c>
      <c r="E110" s="394"/>
      <c r="F110" s="418">
        <v>19265.8</v>
      </c>
      <c r="G110" s="420">
        <f t="shared" si="3"/>
        <v>-2.2967196008317758E-3</v>
      </c>
      <c r="H110" s="397"/>
      <c r="I110" s="397"/>
      <c r="J110" s="397"/>
      <c r="K110" s="394"/>
      <c r="L110" s="396"/>
      <c r="S110" s="393"/>
      <c r="T110" s="394"/>
      <c r="U110" s="393"/>
      <c r="V110" s="394"/>
    </row>
    <row r="111" spans="2:22" x14ac:dyDescent="0.2">
      <c r="B111" s="426">
        <v>45165</v>
      </c>
      <c r="C111" s="394">
        <v>86.45</v>
      </c>
      <c r="D111" s="420">
        <f t="shared" si="2"/>
        <v>6.4655172413793149E-2</v>
      </c>
      <c r="E111" s="394"/>
      <c r="F111" s="418">
        <v>19435.3</v>
      </c>
      <c r="G111" s="420">
        <f t="shared" si="3"/>
        <v>8.7979736112697715E-3</v>
      </c>
      <c r="H111" s="397"/>
      <c r="I111" s="397"/>
      <c r="J111" s="397"/>
      <c r="K111" s="394"/>
      <c r="L111" s="396"/>
      <c r="S111" s="393"/>
      <c r="T111" s="394"/>
      <c r="U111" s="393"/>
      <c r="V111" s="394"/>
    </row>
    <row r="112" spans="2:22" x14ac:dyDescent="0.2">
      <c r="B112" s="426">
        <v>45172</v>
      </c>
      <c r="C112" s="394">
        <v>92.9</v>
      </c>
      <c r="D112" s="420">
        <f t="shared" si="2"/>
        <v>7.4609600925390485E-2</v>
      </c>
      <c r="E112" s="394"/>
      <c r="F112" s="418">
        <v>19819.95</v>
      </c>
      <c r="G112" s="420">
        <f t="shared" si="3"/>
        <v>1.9791307569216876E-2</v>
      </c>
      <c r="H112" s="397"/>
      <c r="I112" s="397"/>
      <c r="J112" s="397"/>
      <c r="K112" s="394"/>
      <c r="L112" s="396"/>
      <c r="S112" s="393"/>
      <c r="T112" s="394"/>
      <c r="U112" s="393"/>
      <c r="V112" s="394"/>
    </row>
    <row r="113" spans="2:22" x14ac:dyDescent="0.2">
      <c r="B113" s="426">
        <v>45179</v>
      </c>
      <c r="C113" s="394">
        <v>90.1</v>
      </c>
      <c r="D113" s="420">
        <f t="shared" si="2"/>
        <v>-3.0139935414424279E-2</v>
      </c>
      <c r="E113" s="394"/>
      <c r="F113" s="418">
        <v>20192.349999999999</v>
      </c>
      <c r="G113" s="420">
        <f t="shared" si="3"/>
        <v>1.8789149316723597E-2</v>
      </c>
      <c r="H113" s="397"/>
      <c r="I113" s="397"/>
      <c r="J113" s="397"/>
      <c r="K113" s="394"/>
      <c r="L113" s="396"/>
      <c r="S113" s="393"/>
      <c r="T113" s="394"/>
      <c r="U113" s="393"/>
      <c r="V113" s="394"/>
    </row>
    <row r="114" spans="2:22" x14ac:dyDescent="0.2">
      <c r="B114" s="426">
        <v>45186</v>
      </c>
      <c r="C114" s="394">
        <v>90.8</v>
      </c>
      <c r="D114" s="420">
        <f t="shared" si="2"/>
        <v>7.769145394006749E-3</v>
      </c>
      <c r="E114" s="394"/>
      <c r="F114" s="418">
        <v>19674.25</v>
      </c>
      <c r="G114" s="420">
        <f t="shared" si="3"/>
        <v>-2.5658231954180599E-2</v>
      </c>
      <c r="H114" s="397"/>
      <c r="I114" s="397"/>
      <c r="J114" s="397"/>
      <c r="K114" s="394"/>
      <c r="L114" s="396"/>
      <c r="S114" s="393"/>
      <c r="T114" s="394"/>
      <c r="U114" s="393"/>
      <c r="V114" s="394"/>
    </row>
    <row r="115" spans="2:22" x14ac:dyDescent="0.2">
      <c r="B115" s="426">
        <v>45193</v>
      </c>
      <c r="C115" s="394">
        <v>89.95</v>
      </c>
      <c r="D115" s="420">
        <f t="shared" si="2"/>
        <v>-9.3612334801761454E-3</v>
      </c>
      <c r="E115" s="394"/>
      <c r="F115" s="418">
        <v>19638.3</v>
      </c>
      <c r="G115" s="420">
        <f t="shared" si="3"/>
        <v>-1.8272615220402688E-3</v>
      </c>
      <c r="H115" s="397"/>
      <c r="I115" s="397"/>
      <c r="J115" s="397"/>
      <c r="K115" s="394"/>
      <c r="L115" s="396"/>
      <c r="S115" s="393"/>
      <c r="T115" s="394"/>
      <c r="U115" s="393"/>
      <c r="V115" s="394"/>
    </row>
    <row r="116" spans="2:22" x14ac:dyDescent="0.2">
      <c r="B116" s="426">
        <v>45200</v>
      </c>
      <c r="C116" s="394">
        <v>87.85</v>
      </c>
      <c r="D116" s="420">
        <f t="shared" si="2"/>
        <v>-2.3346303501945664E-2</v>
      </c>
      <c r="E116" s="394"/>
      <c r="F116" s="418">
        <v>19653.5</v>
      </c>
      <c r="G116" s="420">
        <f t="shared" si="3"/>
        <v>7.7399774929598486E-4</v>
      </c>
      <c r="H116" s="397"/>
      <c r="I116" s="397"/>
      <c r="J116" s="397"/>
      <c r="K116" s="394"/>
      <c r="L116" s="396"/>
      <c r="S116" s="393"/>
      <c r="T116" s="394"/>
      <c r="U116" s="393"/>
      <c r="V116" s="394"/>
    </row>
    <row r="117" spans="2:22" x14ac:dyDescent="0.2">
      <c r="B117" s="426">
        <v>45207</v>
      </c>
      <c r="C117" s="394">
        <v>87.9</v>
      </c>
      <c r="D117" s="420">
        <f t="shared" si="2"/>
        <v>5.6915196357443243E-4</v>
      </c>
      <c r="E117" s="394"/>
      <c r="F117" s="418">
        <v>19751.05</v>
      </c>
      <c r="G117" s="420">
        <f t="shared" si="3"/>
        <v>4.9634925076957881E-3</v>
      </c>
      <c r="H117" s="397"/>
      <c r="I117" s="397"/>
      <c r="J117" s="397"/>
      <c r="K117" s="394"/>
      <c r="L117" s="396"/>
      <c r="S117" s="393"/>
      <c r="T117" s="394"/>
      <c r="U117" s="393"/>
      <c r="V117" s="394"/>
    </row>
    <row r="118" spans="2:22" x14ac:dyDescent="0.2">
      <c r="B118" s="426">
        <v>45214</v>
      </c>
      <c r="C118" s="394">
        <v>89</v>
      </c>
      <c r="D118" s="420">
        <f t="shared" si="2"/>
        <v>1.2514220705347023E-2</v>
      </c>
      <c r="E118" s="394"/>
      <c r="F118" s="418">
        <v>19542.650000000001</v>
      </c>
      <c r="G118" s="420">
        <f t="shared" si="3"/>
        <v>-1.0551337776978809E-2</v>
      </c>
      <c r="H118" s="397"/>
      <c r="I118" s="397"/>
      <c r="J118" s="397"/>
      <c r="K118" s="394"/>
      <c r="L118" s="396"/>
      <c r="S118" s="393"/>
      <c r="T118" s="394"/>
      <c r="U118" s="393"/>
      <c r="V118" s="394"/>
    </row>
    <row r="119" spans="2:22" x14ac:dyDescent="0.2">
      <c r="B119" s="426">
        <v>45221</v>
      </c>
      <c r="C119" s="394">
        <v>84.9</v>
      </c>
      <c r="D119" s="420">
        <f t="shared" si="2"/>
        <v>-4.6067415730337014E-2</v>
      </c>
      <c r="E119" s="394"/>
      <c r="F119" s="418">
        <v>19047.25</v>
      </c>
      <c r="G119" s="420">
        <f t="shared" si="3"/>
        <v>-2.5349683896503383E-2</v>
      </c>
      <c r="H119" s="397"/>
      <c r="I119" s="397"/>
      <c r="J119" s="397"/>
      <c r="K119" s="394"/>
      <c r="L119" s="396"/>
      <c r="S119" s="393"/>
      <c r="T119" s="394"/>
      <c r="U119" s="393"/>
      <c r="V119" s="394"/>
    </row>
    <row r="120" spans="2:22" x14ac:dyDescent="0.2">
      <c r="B120" s="426">
        <v>45228</v>
      </c>
      <c r="C120" s="394">
        <v>86.55</v>
      </c>
      <c r="D120" s="420">
        <f t="shared" si="2"/>
        <v>1.9434628975264934E-2</v>
      </c>
      <c r="E120" s="394"/>
      <c r="F120" s="418">
        <v>19230.599999999999</v>
      </c>
      <c r="G120" s="420">
        <f t="shared" si="3"/>
        <v>9.6260615049414966E-3</v>
      </c>
      <c r="H120" s="397"/>
      <c r="I120" s="397"/>
      <c r="J120" s="397"/>
      <c r="K120" s="394"/>
      <c r="L120" s="396"/>
      <c r="S120" s="393"/>
      <c r="T120" s="394"/>
      <c r="U120" s="393"/>
      <c r="V120" s="394"/>
    </row>
    <row r="121" spans="2:22" x14ac:dyDescent="0.2">
      <c r="B121" s="426">
        <v>45235</v>
      </c>
      <c r="C121" s="394">
        <v>89.05</v>
      </c>
      <c r="D121" s="420">
        <f t="shared" si="2"/>
        <v>2.888503755054872E-2</v>
      </c>
      <c r="E121" s="394"/>
      <c r="F121" s="418">
        <v>19425.349999999999</v>
      </c>
      <c r="G121" s="420">
        <f t="shared" si="3"/>
        <v>1.0127089118384225E-2</v>
      </c>
      <c r="H121" s="397"/>
      <c r="I121" s="397"/>
      <c r="J121" s="397"/>
      <c r="K121" s="394"/>
      <c r="L121" s="396"/>
      <c r="S121" s="393"/>
      <c r="T121" s="394"/>
      <c r="U121" s="393"/>
      <c r="V121" s="394"/>
    </row>
    <row r="122" spans="2:22" x14ac:dyDescent="0.2">
      <c r="B122" s="426">
        <v>45242</v>
      </c>
      <c r="C122" s="394">
        <v>97.2</v>
      </c>
      <c r="D122" s="420">
        <f t="shared" si="2"/>
        <v>9.1521617069062478E-2</v>
      </c>
      <c r="E122" s="394"/>
      <c r="F122" s="418">
        <v>19731.8</v>
      </c>
      <c r="G122" s="420">
        <f t="shared" si="3"/>
        <v>1.5775777527818002E-2</v>
      </c>
      <c r="H122" s="397"/>
      <c r="I122" s="397"/>
      <c r="J122" s="397"/>
      <c r="K122" s="394"/>
      <c r="L122" s="396"/>
      <c r="S122" s="393"/>
      <c r="T122" s="394"/>
      <c r="U122" s="393"/>
      <c r="V122" s="394"/>
    </row>
    <row r="123" spans="2:22" x14ac:dyDescent="0.2">
      <c r="B123" s="426">
        <v>45249</v>
      </c>
      <c r="C123" s="394">
        <v>98</v>
      </c>
      <c r="D123" s="420">
        <f t="shared" si="2"/>
        <v>8.2304526748970819E-3</v>
      </c>
      <c r="E123" s="394"/>
      <c r="F123" s="418">
        <v>19794.7</v>
      </c>
      <c r="G123" s="420">
        <f t="shared" si="3"/>
        <v>3.1877476966115648E-3</v>
      </c>
      <c r="H123" s="397"/>
      <c r="I123" s="397"/>
      <c r="J123" s="397"/>
      <c r="K123" s="394"/>
      <c r="L123" s="396"/>
      <c r="S123" s="393"/>
      <c r="T123" s="394"/>
      <c r="U123" s="393"/>
      <c r="V123" s="394"/>
    </row>
    <row r="124" spans="2:22" x14ac:dyDescent="0.2">
      <c r="B124" s="426">
        <v>45256</v>
      </c>
      <c r="C124" s="394">
        <v>100.5</v>
      </c>
      <c r="D124" s="420">
        <f t="shared" si="2"/>
        <v>2.5510204081632626E-2</v>
      </c>
      <c r="E124" s="394"/>
      <c r="F124" s="418">
        <v>20267.900000000001</v>
      </c>
      <c r="G124" s="420">
        <f t="shared" si="3"/>
        <v>2.3905388816198414E-2</v>
      </c>
      <c r="H124" s="397"/>
      <c r="I124" s="397"/>
      <c r="J124" s="397"/>
      <c r="K124" s="394"/>
      <c r="L124" s="396"/>
      <c r="S124" s="393"/>
      <c r="T124" s="394"/>
      <c r="U124" s="393"/>
      <c r="V124" s="394"/>
    </row>
    <row r="125" spans="2:22" x14ac:dyDescent="0.2">
      <c r="B125" s="426">
        <v>45263</v>
      </c>
      <c r="C125" s="394">
        <v>120</v>
      </c>
      <c r="D125" s="420">
        <f t="shared" si="2"/>
        <v>0.19402985074626855</v>
      </c>
      <c r="E125" s="394"/>
      <c r="F125" s="418">
        <v>20969.400000000001</v>
      </c>
      <c r="G125" s="420">
        <f t="shared" si="3"/>
        <v>3.4611380557433069E-2</v>
      </c>
      <c r="H125" s="397"/>
      <c r="I125" s="397"/>
      <c r="J125" s="397"/>
      <c r="K125" s="394"/>
      <c r="L125" s="396"/>
      <c r="S125" s="393"/>
      <c r="T125" s="394"/>
      <c r="U125" s="393"/>
      <c r="V125" s="394"/>
    </row>
    <row r="126" spans="2:22" x14ac:dyDescent="0.2">
      <c r="B126" s="426">
        <v>45270</v>
      </c>
      <c r="C126" s="394">
        <v>122.65</v>
      </c>
      <c r="D126" s="420">
        <f t="shared" si="2"/>
        <v>2.2083333333333455E-2</v>
      </c>
      <c r="E126" s="394"/>
      <c r="F126" s="418">
        <v>21456.65</v>
      </c>
      <c r="G126" s="420">
        <f t="shared" si="3"/>
        <v>2.3236239472755438E-2</v>
      </c>
      <c r="H126" s="397"/>
      <c r="I126" s="397"/>
      <c r="J126" s="397"/>
      <c r="K126" s="394"/>
      <c r="L126" s="396"/>
      <c r="S126" s="393"/>
      <c r="T126" s="394"/>
      <c r="U126" s="393"/>
      <c r="V126" s="394"/>
    </row>
    <row r="127" spans="2:22" x14ac:dyDescent="0.2">
      <c r="B127" s="426">
        <v>45277</v>
      </c>
      <c r="C127" s="394">
        <v>119.15</v>
      </c>
      <c r="D127" s="420">
        <f t="shared" si="2"/>
        <v>-2.8536485935589107E-2</v>
      </c>
      <c r="E127" s="394"/>
      <c r="F127" s="418">
        <v>21349.4</v>
      </c>
      <c r="G127" s="420">
        <f t="shared" si="3"/>
        <v>-4.9984503638732525E-3</v>
      </c>
      <c r="H127" s="397"/>
      <c r="I127" s="397"/>
      <c r="J127" s="397"/>
      <c r="K127" s="394"/>
      <c r="L127" s="396"/>
      <c r="S127" s="393"/>
      <c r="T127" s="394"/>
      <c r="U127" s="393"/>
      <c r="V127" s="394"/>
    </row>
    <row r="128" spans="2:22" x14ac:dyDescent="0.2">
      <c r="B128" s="426">
        <v>45284</v>
      </c>
      <c r="C128" s="394">
        <v>132.5</v>
      </c>
      <c r="D128" s="420">
        <f t="shared" si="2"/>
        <v>0.112043642467478</v>
      </c>
      <c r="E128" s="394"/>
      <c r="F128" s="418">
        <v>21731.4</v>
      </c>
      <c r="G128" s="420">
        <f t="shared" si="3"/>
        <v>1.7892774504201459E-2</v>
      </c>
      <c r="H128" s="397"/>
      <c r="I128" s="397"/>
      <c r="J128" s="397"/>
      <c r="K128" s="394"/>
      <c r="L128" s="396"/>
      <c r="S128" s="393"/>
      <c r="T128" s="394"/>
      <c r="U128" s="393"/>
      <c r="V128" s="394"/>
    </row>
    <row r="129" spans="2:22" x14ac:dyDescent="0.2">
      <c r="B129" s="426">
        <v>45291</v>
      </c>
      <c r="C129" s="394">
        <v>138.6</v>
      </c>
      <c r="D129" s="420">
        <f t="shared" si="2"/>
        <v>4.603773584905646E-2</v>
      </c>
      <c r="E129" s="394"/>
      <c r="F129" s="418">
        <v>21710.799999999999</v>
      </c>
      <c r="G129" s="420">
        <f t="shared" si="3"/>
        <v>-9.479370864280412E-4</v>
      </c>
      <c r="H129" s="397"/>
      <c r="I129" s="397"/>
      <c r="J129" s="397"/>
      <c r="K129" s="394"/>
      <c r="L129" s="396"/>
      <c r="S129" s="393"/>
      <c r="T129" s="397"/>
      <c r="U129" s="393"/>
      <c r="V129" s="394"/>
    </row>
    <row r="130" spans="2:22" x14ac:dyDescent="0.2">
      <c r="B130" s="426">
        <v>45298</v>
      </c>
      <c r="C130" s="394">
        <v>140.69999999999999</v>
      </c>
      <c r="D130" s="420">
        <f t="shared" si="2"/>
        <v>1.5151515151515138E-2</v>
      </c>
      <c r="E130" s="394"/>
      <c r="F130" s="418">
        <v>21894.55</v>
      </c>
      <c r="G130" s="420">
        <f t="shared" si="3"/>
        <v>8.4635296718684749E-3</v>
      </c>
      <c r="H130" s="397"/>
      <c r="I130" s="397"/>
      <c r="J130" s="397"/>
      <c r="K130" s="394"/>
      <c r="L130" s="396"/>
      <c r="S130" s="393"/>
      <c r="T130" s="397"/>
      <c r="U130" s="393"/>
      <c r="V130" s="394"/>
    </row>
    <row r="131" spans="2:22" x14ac:dyDescent="0.2">
      <c r="B131" s="426">
        <v>45305</v>
      </c>
      <c r="C131" s="394">
        <v>143.65</v>
      </c>
      <c r="D131" s="420">
        <f t="shared" si="2"/>
        <v>2.0966595593461479E-2</v>
      </c>
      <c r="E131" s="394"/>
      <c r="F131" s="418">
        <v>21622.400000000001</v>
      </c>
      <c r="G131" s="420">
        <f t="shared" si="3"/>
        <v>-1.2430033958222397E-2</v>
      </c>
      <c r="H131" s="397"/>
      <c r="I131" s="397"/>
      <c r="J131" s="397"/>
      <c r="K131" s="394"/>
      <c r="L131" s="396"/>
      <c r="S131" s="393"/>
      <c r="T131" s="394"/>
      <c r="U131" s="393"/>
      <c r="V131" s="394"/>
    </row>
    <row r="132" spans="2:22" x14ac:dyDescent="0.2">
      <c r="B132" s="426">
        <v>45312</v>
      </c>
      <c r="C132" s="394">
        <v>133.30000000000001</v>
      </c>
      <c r="D132" s="420">
        <f t="shared" si="2"/>
        <v>-7.2050121823877489E-2</v>
      </c>
      <c r="E132" s="394"/>
      <c r="F132" s="418">
        <v>21352.6</v>
      </c>
      <c r="G132" s="420">
        <f t="shared" si="3"/>
        <v>-1.2477800799171379E-2</v>
      </c>
      <c r="H132" s="397"/>
      <c r="I132" s="397"/>
      <c r="J132" s="397"/>
      <c r="K132" s="394"/>
      <c r="L132" s="396"/>
      <c r="S132" s="393"/>
      <c r="T132" s="397"/>
      <c r="U132" s="393"/>
      <c r="V132" s="394"/>
    </row>
    <row r="133" spans="2:22" x14ac:dyDescent="0.2">
      <c r="B133" s="426">
        <v>45319</v>
      </c>
      <c r="C133" s="394">
        <v>137.69999999999999</v>
      </c>
      <c r="D133" s="420">
        <f t="shared" si="2"/>
        <v>3.3008252063015497E-2</v>
      </c>
      <c r="E133" s="394"/>
      <c r="F133" s="418">
        <v>21853.8</v>
      </c>
      <c r="G133" s="420">
        <f t="shared" si="3"/>
        <v>2.3472551352060167E-2</v>
      </c>
      <c r="H133" s="397"/>
      <c r="I133" s="397"/>
      <c r="J133" s="397"/>
      <c r="K133" s="394"/>
      <c r="L133" s="396"/>
      <c r="S133" s="393"/>
      <c r="T133" s="397"/>
      <c r="U133" s="393"/>
      <c r="V133" s="394"/>
    </row>
    <row r="134" spans="2:22" x14ac:dyDescent="0.2">
      <c r="B134" s="426">
        <v>45326</v>
      </c>
      <c r="C134" s="394">
        <v>134.55000000000001</v>
      </c>
      <c r="D134" s="420">
        <f t="shared" si="2"/>
        <v>-2.287581699346386E-2</v>
      </c>
      <c r="E134" s="394"/>
      <c r="F134" s="418">
        <v>21782.5</v>
      </c>
      <c r="G134" s="420">
        <f t="shared" si="3"/>
        <v>-3.2625904876955047E-3</v>
      </c>
      <c r="H134" s="397"/>
      <c r="I134" s="397"/>
      <c r="J134" s="397"/>
      <c r="K134" s="394"/>
      <c r="L134" s="396"/>
      <c r="S134" s="393"/>
      <c r="T134" s="397"/>
      <c r="U134" s="393"/>
      <c r="V134" s="394"/>
    </row>
    <row r="135" spans="2:22" x14ac:dyDescent="0.2">
      <c r="B135" s="426">
        <v>45333</v>
      </c>
      <c r="C135" s="394">
        <v>132.15</v>
      </c>
      <c r="D135" s="420">
        <f t="shared" si="2"/>
        <v>-1.7837235228539638E-2</v>
      </c>
      <c r="E135" s="394"/>
      <c r="F135" s="418">
        <v>22040.7</v>
      </c>
      <c r="G135" s="420">
        <f t="shared" si="3"/>
        <v>1.1853552163433978E-2</v>
      </c>
      <c r="H135" s="397"/>
      <c r="I135" s="397"/>
      <c r="J135" s="397"/>
      <c r="K135" s="394"/>
      <c r="L135" s="396"/>
      <c r="S135" s="393"/>
      <c r="T135" s="397"/>
      <c r="U135" s="393"/>
      <c r="V135" s="394"/>
    </row>
    <row r="136" spans="2:22" x14ac:dyDescent="0.2">
      <c r="B136" s="426">
        <v>45340</v>
      </c>
      <c r="C136" s="394">
        <v>129.35</v>
      </c>
      <c r="D136" s="420">
        <f t="shared" si="2"/>
        <v>-2.1188043889519559E-2</v>
      </c>
      <c r="E136" s="394"/>
      <c r="F136" s="418">
        <v>22212.7</v>
      </c>
      <c r="G136" s="420">
        <f t="shared" si="3"/>
        <v>7.8037448901351336E-3</v>
      </c>
      <c r="H136" s="397"/>
      <c r="I136" s="397"/>
      <c r="J136" s="397"/>
      <c r="K136" s="394"/>
      <c r="L136" s="396"/>
      <c r="S136" s="393"/>
      <c r="T136" s="397"/>
      <c r="U136" s="393"/>
      <c r="V136" s="394"/>
    </row>
    <row r="137" spans="2:22" x14ac:dyDescent="0.2">
      <c r="B137" s="426">
        <v>45347</v>
      </c>
      <c r="C137" s="394">
        <v>126.7</v>
      </c>
      <c r="D137" s="420">
        <f t="shared" si="2"/>
        <v>-2.0487050637804316E-2</v>
      </c>
      <c r="E137" s="394"/>
      <c r="F137" s="418">
        <v>22338.75</v>
      </c>
      <c r="G137" s="420">
        <f t="shared" si="3"/>
        <v>5.6746816010659895E-3</v>
      </c>
      <c r="H137" s="397"/>
      <c r="I137" s="397"/>
      <c r="J137" s="397"/>
      <c r="K137" s="394"/>
      <c r="L137" s="396"/>
      <c r="S137" s="393"/>
      <c r="T137" s="397"/>
      <c r="U137" s="393"/>
      <c r="V137" s="394"/>
    </row>
    <row r="138" spans="2:22" x14ac:dyDescent="0.2">
      <c r="B138" s="426">
        <v>45354</v>
      </c>
      <c r="C138" s="394">
        <v>125.35</v>
      </c>
      <c r="D138" s="420">
        <f t="shared" si="2"/>
        <v>-1.0655090765588016E-2</v>
      </c>
      <c r="E138" s="394"/>
      <c r="F138" s="418">
        <v>22493.55</v>
      </c>
      <c r="G138" s="420">
        <f t="shared" si="3"/>
        <v>6.929662581836471E-3</v>
      </c>
      <c r="H138" s="397"/>
      <c r="I138" s="397"/>
      <c r="J138" s="397"/>
      <c r="K138" s="394"/>
      <c r="L138" s="396"/>
      <c r="S138" s="393"/>
      <c r="T138" s="397"/>
      <c r="U138" s="393"/>
      <c r="V138" s="394"/>
    </row>
    <row r="139" spans="2:22" x14ac:dyDescent="0.2">
      <c r="B139" s="426">
        <v>45361</v>
      </c>
      <c r="C139" s="394">
        <v>117.45</v>
      </c>
      <c r="D139" s="420">
        <f t="shared" ref="D139:D202" si="4">C139/C138-1</f>
        <v>-6.3023534104507339E-2</v>
      </c>
      <c r="E139" s="394"/>
      <c r="F139" s="418">
        <v>22023.35</v>
      </c>
      <c r="G139" s="420">
        <f t="shared" si="3"/>
        <v>-2.0903770191899484E-2</v>
      </c>
      <c r="H139" s="397"/>
      <c r="I139" s="397"/>
      <c r="J139" s="397"/>
      <c r="K139" s="394"/>
      <c r="L139" s="396"/>
      <c r="S139" s="393"/>
      <c r="T139" s="397"/>
      <c r="U139" s="393"/>
      <c r="V139" s="394"/>
    </row>
    <row r="140" spans="2:22" x14ac:dyDescent="0.2">
      <c r="B140" s="426">
        <v>45368</v>
      </c>
      <c r="C140" s="394">
        <v>119.7</v>
      </c>
      <c r="D140" s="420">
        <f t="shared" si="4"/>
        <v>1.9157088122605304E-2</v>
      </c>
      <c r="E140" s="394"/>
      <c r="F140" s="418">
        <v>22096.75</v>
      </c>
      <c r="G140" s="420">
        <f t="shared" ref="G140:G203" si="5">F140/F139-1</f>
        <v>3.3328262957270649E-3</v>
      </c>
      <c r="H140" s="397"/>
      <c r="I140" s="397"/>
      <c r="J140" s="397"/>
      <c r="K140" s="394"/>
      <c r="L140" s="396"/>
      <c r="S140" s="393"/>
      <c r="T140" s="397"/>
      <c r="U140" s="393"/>
      <c r="V140" s="394"/>
    </row>
    <row r="141" spans="2:22" x14ac:dyDescent="0.2">
      <c r="B141" s="426">
        <v>45375</v>
      </c>
      <c r="C141" s="394">
        <v>121.65</v>
      </c>
      <c r="D141" s="420">
        <f t="shared" si="4"/>
        <v>1.6290726817042689E-2</v>
      </c>
      <c r="E141" s="394"/>
      <c r="F141" s="418">
        <v>22326.9</v>
      </c>
      <c r="G141" s="420">
        <f t="shared" si="5"/>
        <v>1.0415558849152129E-2</v>
      </c>
      <c r="H141" s="397"/>
      <c r="I141" s="397"/>
      <c r="J141" s="397"/>
      <c r="K141" s="394"/>
      <c r="L141" s="396"/>
      <c r="S141" s="393"/>
      <c r="T141" s="397"/>
      <c r="U141" s="393"/>
      <c r="V141" s="394"/>
    </row>
    <row r="142" spans="2:22" x14ac:dyDescent="0.2">
      <c r="B142" s="426">
        <v>45382</v>
      </c>
      <c r="C142" s="394">
        <v>135.5</v>
      </c>
      <c r="D142" s="420">
        <f t="shared" si="4"/>
        <v>0.1138512124948623</v>
      </c>
      <c r="E142" s="394"/>
      <c r="F142" s="418">
        <v>22513.7</v>
      </c>
      <c r="G142" s="420">
        <f t="shared" si="5"/>
        <v>8.3665891816597782E-3</v>
      </c>
      <c r="H142" s="397"/>
      <c r="I142" s="397"/>
      <c r="J142" s="397"/>
      <c r="K142" s="394"/>
      <c r="L142" s="396"/>
      <c r="S142" s="393"/>
      <c r="T142" s="397"/>
      <c r="U142" s="393"/>
      <c r="V142" s="394"/>
    </row>
    <row r="143" spans="2:22" x14ac:dyDescent="0.2">
      <c r="B143" s="426">
        <v>45389</v>
      </c>
      <c r="C143" s="394">
        <v>141.1</v>
      </c>
      <c r="D143" s="420">
        <f t="shared" si="4"/>
        <v>4.1328413284132726E-2</v>
      </c>
      <c r="E143" s="394"/>
      <c r="F143" s="418">
        <v>22519.4</v>
      </c>
      <c r="G143" s="420">
        <f t="shared" si="5"/>
        <v>2.5317917534661838E-4</v>
      </c>
      <c r="H143" s="397"/>
      <c r="I143" s="397"/>
      <c r="J143" s="397"/>
      <c r="K143" s="394"/>
      <c r="L143" s="396"/>
      <c r="S143" s="393"/>
      <c r="T143" s="397"/>
      <c r="U143" s="393"/>
      <c r="V143" s="394"/>
    </row>
    <row r="144" spans="2:22" x14ac:dyDescent="0.2">
      <c r="B144" s="426">
        <v>45396</v>
      </c>
      <c r="C144" s="394">
        <v>140.94999999999999</v>
      </c>
      <c r="D144" s="420">
        <f t="shared" si="4"/>
        <v>-1.0630758327427881E-3</v>
      </c>
      <c r="E144" s="394"/>
      <c r="F144" s="418">
        <v>22147</v>
      </c>
      <c r="G144" s="420">
        <f t="shared" si="5"/>
        <v>-1.6536852669254087E-2</v>
      </c>
      <c r="H144" s="397"/>
      <c r="I144" s="397"/>
      <c r="J144" s="397"/>
      <c r="K144" s="394"/>
      <c r="L144" s="396"/>
      <c r="S144" s="393"/>
      <c r="T144" s="397"/>
      <c r="U144" s="393"/>
      <c r="V144" s="394"/>
    </row>
    <row r="145" spans="2:22" x14ac:dyDescent="0.2">
      <c r="B145" s="426">
        <v>45403</v>
      </c>
      <c r="C145" s="394">
        <v>143.5</v>
      </c>
      <c r="D145" s="420">
        <f t="shared" si="4"/>
        <v>1.8091521816246958E-2</v>
      </c>
      <c r="E145" s="394"/>
      <c r="F145" s="418">
        <v>22419.95</v>
      </c>
      <c r="G145" s="420">
        <f t="shared" si="5"/>
        <v>1.2324468325281002E-2</v>
      </c>
      <c r="H145" s="397"/>
      <c r="I145" s="397"/>
      <c r="J145" s="397"/>
      <c r="K145" s="394"/>
      <c r="L145" s="396"/>
      <c r="S145" s="393"/>
      <c r="T145" s="397"/>
      <c r="U145" s="393"/>
      <c r="V145" s="394"/>
    </row>
    <row r="146" spans="2:22" x14ac:dyDescent="0.2">
      <c r="B146" s="426">
        <v>45410</v>
      </c>
      <c r="C146" s="394">
        <v>152.85</v>
      </c>
      <c r="D146" s="420">
        <f t="shared" si="4"/>
        <v>6.5156794425087039E-2</v>
      </c>
      <c r="E146" s="394"/>
      <c r="F146" s="418">
        <v>22475.85</v>
      </c>
      <c r="G146" s="420">
        <f t="shared" si="5"/>
        <v>2.4933151055197555E-3</v>
      </c>
      <c r="H146" s="397"/>
      <c r="I146" s="397"/>
      <c r="J146" s="397"/>
      <c r="K146" s="394"/>
      <c r="L146" s="396"/>
      <c r="S146" s="393"/>
      <c r="T146" s="397"/>
      <c r="U146" s="393"/>
      <c r="V146" s="394"/>
    </row>
    <row r="147" spans="2:22" x14ac:dyDescent="0.2">
      <c r="B147" s="426">
        <v>45417</v>
      </c>
      <c r="C147" s="394">
        <v>141.69999999999999</v>
      </c>
      <c r="D147" s="420">
        <f t="shared" si="4"/>
        <v>-7.2947333987569585E-2</v>
      </c>
      <c r="E147" s="394"/>
      <c r="F147" s="418">
        <v>22055.200000000001</v>
      </c>
      <c r="G147" s="420">
        <f t="shared" si="5"/>
        <v>-1.8715643679771743E-2</v>
      </c>
      <c r="H147" s="397"/>
      <c r="I147" s="397"/>
      <c r="J147" s="397"/>
      <c r="K147" s="394"/>
      <c r="L147" s="396"/>
      <c r="S147" s="393"/>
      <c r="T147" s="397"/>
      <c r="U147" s="393"/>
      <c r="V147" s="394"/>
    </row>
    <row r="148" spans="2:22" x14ac:dyDescent="0.2">
      <c r="B148" s="426">
        <v>45424</v>
      </c>
      <c r="C148" s="394">
        <v>147.15</v>
      </c>
      <c r="D148" s="420">
        <f t="shared" si="4"/>
        <v>3.8461538461538547E-2</v>
      </c>
      <c r="E148" s="394"/>
      <c r="F148" s="418">
        <v>22466.1</v>
      </c>
      <c r="G148" s="420">
        <f t="shared" si="5"/>
        <v>1.8630527041241907E-2</v>
      </c>
      <c r="H148" s="397"/>
      <c r="I148" s="397"/>
      <c r="J148" s="397"/>
      <c r="K148" s="394"/>
      <c r="L148" s="396"/>
      <c r="S148" s="393"/>
      <c r="T148" s="397"/>
      <c r="U148" s="393"/>
      <c r="V148" s="394"/>
    </row>
    <row r="149" spans="2:22" x14ac:dyDescent="0.2">
      <c r="B149" s="426">
        <v>45431</v>
      </c>
      <c r="C149" s="394">
        <v>145</v>
      </c>
      <c r="D149" s="420">
        <f t="shared" si="4"/>
        <v>-1.4610941216445794E-2</v>
      </c>
      <c r="E149" s="394"/>
      <c r="F149" s="418">
        <v>22957.1</v>
      </c>
      <c r="G149" s="420">
        <f t="shared" si="5"/>
        <v>2.1855150649200406E-2</v>
      </c>
      <c r="H149" s="397"/>
      <c r="I149" s="397"/>
      <c r="J149" s="397"/>
      <c r="K149" s="394"/>
      <c r="L149" s="396"/>
      <c r="S149" s="393"/>
      <c r="T149" s="397"/>
      <c r="U149" s="393"/>
      <c r="V149" s="394"/>
    </row>
    <row r="150" spans="2:22" x14ac:dyDescent="0.2">
      <c r="B150" s="426">
        <v>45438</v>
      </c>
      <c r="C150" s="394">
        <v>147.05000000000001</v>
      </c>
      <c r="D150" s="420">
        <f t="shared" si="4"/>
        <v>1.4137931034482909E-2</v>
      </c>
      <c r="E150" s="394"/>
      <c r="F150" s="418">
        <v>22530.7</v>
      </c>
      <c r="G150" s="420">
        <f t="shared" si="5"/>
        <v>-1.8573774562117951E-2</v>
      </c>
      <c r="H150" s="397"/>
      <c r="I150" s="397"/>
      <c r="J150" s="397"/>
      <c r="K150" s="394"/>
      <c r="L150" s="396"/>
      <c r="S150" s="393"/>
      <c r="T150" s="397"/>
      <c r="U150" s="393"/>
      <c r="V150" s="394"/>
    </row>
    <row r="151" spans="2:22" x14ac:dyDescent="0.2">
      <c r="B151" s="426">
        <v>45445</v>
      </c>
      <c r="C151" s="394">
        <v>147</v>
      </c>
      <c r="D151" s="420">
        <f t="shared" si="4"/>
        <v>-3.4002040122416144E-4</v>
      </c>
      <c r="E151" s="394"/>
      <c r="F151" s="418">
        <v>23290.15</v>
      </c>
      <c r="G151" s="420">
        <f t="shared" si="5"/>
        <v>3.3707341538434354E-2</v>
      </c>
      <c r="H151" s="397"/>
      <c r="I151" s="397"/>
      <c r="J151" s="397"/>
      <c r="K151" s="394"/>
      <c r="L151" s="396"/>
      <c r="S151" s="393"/>
      <c r="T151" s="397"/>
      <c r="U151" s="393"/>
      <c r="V151" s="394"/>
    </row>
    <row r="152" spans="2:22" x14ac:dyDescent="0.2">
      <c r="B152" s="426">
        <v>45452</v>
      </c>
      <c r="C152" s="394">
        <v>149.75</v>
      </c>
      <c r="D152" s="420">
        <f t="shared" si="4"/>
        <v>1.8707482993197244E-2</v>
      </c>
      <c r="E152" s="394"/>
      <c r="F152" s="418">
        <v>23465.599999999999</v>
      </c>
      <c r="G152" s="420">
        <f t="shared" si="5"/>
        <v>7.5332275661599279E-3</v>
      </c>
      <c r="H152" s="397"/>
      <c r="I152" s="397"/>
      <c r="J152" s="397"/>
      <c r="K152" s="394"/>
      <c r="L152" s="396"/>
      <c r="S152" s="393"/>
      <c r="T152" s="397"/>
      <c r="U152" s="393"/>
      <c r="V152" s="394"/>
    </row>
    <row r="153" spans="2:22" x14ac:dyDescent="0.2">
      <c r="B153" s="426">
        <v>45459</v>
      </c>
      <c r="C153" s="394">
        <v>150.78</v>
      </c>
      <c r="D153" s="420">
        <f t="shared" si="4"/>
        <v>6.8781302170284331E-3</v>
      </c>
      <c r="E153" s="394"/>
      <c r="F153" s="418">
        <v>23501.1</v>
      </c>
      <c r="G153" s="420">
        <f t="shared" si="5"/>
        <v>1.5128528569481325E-3</v>
      </c>
      <c r="H153" s="397"/>
      <c r="I153" s="397"/>
      <c r="J153" s="397"/>
      <c r="K153" s="394"/>
      <c r="L153" s="396"/>
      <c r="S153" s="393"/>
      <c r="T153" s="397"/>
      <c r="U153" s="393"/>
      <c r="V153" s="394"/>
    </row>
    <row r="154" spans="2:22" x14ac:dyDescent="0.2">
      <c r="B154" s="426">
        <v>45466</v>
      </c>
      <c r="C154" s="394">
        <v>162.6</v>
      </c>
      <c r="D154" s="420">
        <f t="shared" si="4"/>
        <v>7.8392359729406946E-2</v>
      </c>
      <c r="E154" s="394"/>
      <c r="F154" s="418">
        <v>24010.6</v>
      </c>
      <c r="G154" s="420">
        <f t="shared" si="5"/>
        <v>2.1679836262983532E-2</v>
      </c>
      <c r="H154" s="397"/>
      <c r="I154" s="397"/>
      <c r="J154" s="397"/>
      <c r="K154" s="394"/>
      <c r="L154" s="396"/>
      <c r="S154" s="393"/>
      <c r="T154" s="397"/>
      <c r="U154" s="393"/>
      <c r="V154" s="394"/>
    </row>
    <row r="155" spans="2:22" x14ac:dyDescent="0.2">
      <c r="B155" s="426">
        <v>45473</v>
      </c>
      <c r="C155" s="394">
        <v>168.02</v>
      </c>
      <c r="D155" s="420">
        <f t="shared" si="4"/>
        <v>3.3333333333333437E-2</v>
      </c>
      <c r="E155" s="394"/>
      <c r="F155" s="418">
        <v>24323.85</v>
      </c>
      <c r="G155" s="420">
        <f t="shared" si="5"/>
        <v>1.3046321208133094E-2</v>
      </c>
      <c r="H155" s="397"/>
      <c r="I155" s="397"/>
      <c r="J155" s="397"/>
      <c r="K155" s="394"/>
      <c r="L155" s="396"/>
      <c r="S155" s="393"/>
      <c r="T155" s="397"/>
      <c r="U155" s="393"/>
      <c r="V155" s="394"/>
    </row>
    <row r="156" spans="2:22" x14ac:dyDescent="0.2">
      <c r="B156" s="426">
        <v>45480</v>
      </c>
      <c r="C156" s="394">
        <v>186.92</v>
      </c>
      <c r="D156" s="420">
        <f t="shared" si="4"/>
        <v>0.11248660873705507</v>
      </c>
      <c r="E156" s="394"/>
      <c r="F156" s="418">
        <v>24502.15</v>
      </c>
      <c r="G156" s="420">
        <f t="shared" si="5"/>
        <v>7.3302540510651326E-3</v>
      </c>
      <c r="H156" s="397"/>
      <c r="I156" s="397"/>
      <c r="J156" s="397"/>
      <c r="K156" s="394"/>
      <c r="L156" s="396"/>
      <c r="S156" s="393"/>
      <c r="T156" s="397"/>
      <c r="U156" s="393"/>
      <c r="V156" s="394"/>
    </row>
    <row r="157" spans="2:22" x14ac:dyDescent="0.2">
      <c r="B157" s="426">
        <v>45487</v>
      </c>
      <c r="C157" s="394">
        <v>167.41</v>
      </c>
      <c r="D157" s="420">
        <f t="shared" si="4"/>
        <v>-0.10437620372351808</v>
      </c>
      <c r="E157" s="394"/>
      <c r="F157" s="418">
        <v>24530.9</v>
      </c>
      <c r="G157" s="420">
        <f t="shared" si="5"/>
        <v>1.1733664188653403E-3</v>
      </c>
      <c r="H157" s="397"/>
      <c r="I157" s="397"/>
      <c r="J157" s="397"/>
      <c r="K157" s="394"/>
      <c r="L157" s="396"/>
      <c r="S157" s="393"/>
      <c r="T157" s="397"/>
      <c r="U157" s="393"/>
      <c r="V157" s="394"/>
    </row>
    <row r="158" spans="2:22" x14ac:dyDescent="0.2">
      <c r="B158" s="426">
        <v>45494</v>
      </c>
      <c r="C158" s="394">
        <v>166.88</v>
      </c>
      <c r="D158" s="420">
        <f t="shared" si="4"/>
        <v>-3.1658801744220977E-3</v>
      </c>
      <c r="E158" s="394"/>
      <c r="F158" s="418">
        <v>24834.85</v>
      </c>
      <c r="G158" s="420">
        <f t="shared" si="5"/>
        <v>1.2390495252925682E-2</v>
      </c>
      <c r="H158" s="397"/>
      <c r="I158" s="397"/>
      <c r="J158" s="397"/>
      <c r="K158" s="394"/>
      <c r="L158" s="396"/>
      <c r="S158" s="393"/>
      <c r="T158" s="397"/>
      <c r="U158" s="393"/>
      <c r="V158" s="394"/>
    </row>
    <row r="159" spans="2:22" x14ac:dyDescent="0.2">
      <c r="B159" s="426">
        <v>45501</v>
      </c>
      <c r="C159" s="394">
        <v>179.57</v>
      </c>
      <c r="D159" s="420">
        <f t="shared" si="4"/>
        <v>7.6042665388303066E-2</v>
      </c>
      <c r="E159" s="394"/>
      <c r="F159" s="418">
        <v>24717.7</v>
      </c>
      <c r="G159" s="420">
        <f t="shared" si="5"/>
        <v>-4.7171615693268887E-3</v>
      </c>
      <c r="H159" s="397"/>
      <c r="I159" s="397"/>
      <c r="J159" s="397"/>
      <c r="K159" s="394"/>
      <c r="L159" s="396"/>
      <c r="S159" s="393"/>
      <c r="T159" s="397"/>
      <c r="U159" s="393"/>
      <c r="V159" s="394"/>
    </row>
    <row r="160" spans="2:22" x14ac:dyDescent="0.2">
      <c r="B160" s="426">
        <v>45508</v>
      </c>
      <c r="C160" s="394">
        <v>175.75</v>
      </c>
      <c r="D160" s="420">
        <f t="shared" si="4"/>
        <v>-2.1273041153867522E-2</v>
      </c>
      <c r="E160" s="394"/>
      <c r="F160" s="418">
        <v>24367.5</v>
      </c>
      <c r="G160" s="420">
        <f t="shared" si="5"/>
        <v>-1.4167984885325113E-2</v>
      </c>
      <c r="H160" s="397"/>
      <c r="I160" s="397"/>
      <c r="J160" s="397"/>
      <c r="K160" s="394"/>
      <c r="L160" s="396"/>
      <c r="S160" s="393"/>
      <c r="T160" s="397"/>
      <c r="U160" s="393"/>
      <c r="V160" s="394"/>
    </row>
    <row r="161" spans="2:22" x14ac:dyDescent="0.2">
      <c r="B161" s="426">
        <v>45515</v>
      </c>
      <c r="C161" s="394">
        <v>168.87</v>
      </c>
      <c r="D161" s="420">
        <f t="shared" si="4"/>
        <v>-3.9146514935988641E-2</v>
      </c>
      <c r="E161" s="394"/>
      <c r="F161" s="418">
        <v>24541.15</v>
      </c>
      <c r="G161" s="420">
        <f t="shared" si="5"/>
        <v>7.1262952703396998E-3</v>
      </c>
      <c r="H161" s="397"/>
      <c r="I161" s="397"/>
      <c r="J161" s="397"/>
      <c r="K161" s="394"/>
      <c r="L161" s="396"/>
      <c r="S161" s="393"/>
      <c r="T161" s="397"/>
      <c r="U161" s="393"/>
      <c r="V161" s="394"/>
    </row>
    <row r="162" spans="2:22" x14ac:dyDescent="0.2">
      <c r="B162" s="426">
        <v>45522</v>
      </c>
      <c r="C162" s="394">
        <v>190.2</v>
      </c>
      <c r="D162" s="420">
        <f t="shared" si="4"/>
        <v>0.12631017942796219</v>
      </c>
      <c r="E162" s="394"/>
      <c r="F162" s="418">
        <v>24823.15</v>
      </c>
      <c r="G162" s="420">
        <f t="shared" si="5"/>
        <v>1.1490904052988471E-2</v>
      </c>
      <c r="H162" s="397"/>
      <c r="I162" s="397"/>
      <c r="J162" s="397"/>
      <c r="K162" s="394"/>
      <c r="L162" s="396"/>
      <c r="S162" s="393"/>
      <c r="T162" s="397"/>
      <c r="U162" s="393"/>
      <c r="V162" s="394"/>
    </row>
    <row r="163" spans="2:22" x14ac:dyDescent="0.2">
      <c r="B163" s="426">
        <v>45529</v>
      </c>
      <c r="C163" s="394">
        <v>194.04</v>
      </c>
      <c r="D163" s="420">
        <f t="shared" si="4"/>
        <v>2.018927444794949E-2</v>
      </c>
      <c r="E163" s="394"/>
      <c r="F163" s="418">
        <v>25235.9</v>
      </c>
      <c r="G163" s="420">
        <f t="shared" si="5"/>
        <v>1.6627623810837822E-2</v>
      </c>
      <c r="H163" s="397"/>
      <c r="I163" s="397"/>
      <c r="J163" s="397"/>
      <c r="K163" s="394"/>
      <c r="L163" s="396"/>
      <c r="S163" s="393"/>
      <c r="T163" s="397"/>
      <c r="U163" s="393"/>
      <c r="V163" s="394"/>
    </row>
    <row r="164" spans="2:22" x14ac:dyDescent="0.2">
      <c r="B164" s="426">
        <v>45536</v>
      </c>
      <c r="C164" s="394">
        <v>187.93</v>
      </c>
      <c r="D164" s="420">
        <f t="shared" si="4"/>
        <v>-3.1488352916924311E-2</v>
      </c>
      <c r="E164" s="394"/>
      <c r="F164" s="418">
        <v>24852.15</v>
      </c>
      <c r="G164" s="420">
        <f t="shared" si="5"/>
        <v>-1.5206511358818231E-2</v>
      </c>
      <c r="H164" s="397"/>
      <c r="I164" s="397"/>
      <c r="J164" s="397"/>
      <c r="K164" s="394"/>
      <c r="L164" s="396"/>
      <c r="S164" s="393"/>
      <c r="T164" s="397"/>
      <c r="U164" s="393"/>
      <c r="V164" s="394"/>
    </row>
    <row r="165" spans="2:22" x14ac:dyDescent="0.2">
      <c r="B165" s="426">
        <v>45543</v>
      </c>
      <c r="C165" s="394">
        <v>197.53</v>
      </c>
      <c r="D165" s="420">
        <f t="shared" si="4"/>
        <v>5.1082849997339475E-2</v>
      </c>
      <c r="E165" s="394"/>
      <c r="F165" s="418">
        <v>25356.5</v>
      </c>
      <c r="G165" s="420">
        <f t="shared" si="5"/>
        <v>2.0294018827344829E-2</v>
      </c>
      <c r="H165" s="397"/>
      <c r="I165" s="397"/>
      <c r="J165" s="397"/>
      <c r="K165" s="394"/>
      <c r="L165" s="396"/>
      <c r="S165" s="393"/>
      <c r="T165" s="397"/>
      <c r="U165" s="393"/>
      <c r="V165" s="394"/>
    </row>
    <row r="166" spans="2:22" x14ac:dyDescent="0.2">
      <c r="B166" s="426">
        <v>45550</v>
      </c>
      <c r="C166" s="394">
        <v>186.36</v>
      </c>
      <c r="D166" s="420">
        <f t="shared" si="4"/>
        <v>-5.6548372399129132E-2</v>
      </c>
      <c r="E166" s="394"/>
      <c r="F166" s="418">
        <v>25790.95</v>
      </c>
      <c r="G166" s="420">
        <f t="shared" si="5"/>
        <v>1.7133673811448702E-2</v>
      </c>
      <c r="H166" s="397"/>
      <c r="I166" s="397"/>
      <c r="J166" s="397"/>
      <c r="K166" s="394"/>
      <c r="L166" s="396"/>
      <c r="S166" s="393"/>
      <c r="T166" s="397"/>
      <c r="U166" s="393"/>
      <c r="V166" s="394"/>
    </row>
    <row r="167" spans="2:22" x14ac:dyDescent="0.2">
      <c r="B167" s="426">
        <v>45557</v>
      </c>
      <c r="C167" s="394">
        <v>199.9</v>
      </c>
      <c r="D167" s="420">
        <f t="shared" si="4"/>
        <v>7.2655076196608714E-2</v>
      </c>
      <c r="E167" s="394"/>
      <c r="F167" s="418">
        <v>26178.95</v>
      </c>
      <c r="G167" s="420">
        <f t="shared" si="5"/>
        <v>1.5044036764834123E-2</v>
      </c>
      <c r="H167" s="397"/>
      <c r="I167" s="397"/>
      <c r="J167" s="397"/>
      <c r="K167" s="394"/>
      <c r="L167" s="396"/>
      <c r="S167" s="393"/>
      <c r="T167" s="397"/>
      <c r="U167" s="393"/>
      <c r="V167" s="394"/>
    </row>
    <row r="168" spans="2:22" x14ac:dyDescent="0.2">
      <c r="B168" s="426">
        <v>45564</v>
      </c>
      <c r="C168" s="394">
        <v>194.3</v>
      </c>
      <c r="D168" s="420">
        <f t="shared" si="4"/>
        <v>-2.8014007003501762E-2</v>
      </c>
      <c r="E168" s="394"/>
      <c r="F168" s="418">
        <v>25014.6</v>
      </c>
      <c r="G168" s="420">
        <f t="shared" si="5"/>
        <v>-4.4476573735768743E-2</v>
      </c>
      <c r="H168" s="397"/>
      <c r="I168" s="397"/>
      <c r="J168" s="397"/>
      <c r="K168" s="394"/>
      <c r="L168" s="396"/>
      <c r="S168" s="393"/>
      <c r="T168" s="397"/>
      <c r="U168" s="393"/>
      <c r="V168" s="394"/>
    </row>
    <row r="169" spans="2:22" x14ac:dyDescent="0.2">
      <c r="B169" s="426">
        <v>45571</v>
      </c>
      <c r="C169" s="394">
        <v>185.5</v>
      </c>
      <c r="D169" s="420">
        <f t="shared" si="4"/>
        <v>-4.5290787442099911E-2</v>
      </c>
      <c r="E169" s="394"/>
      <c r="F169" s="418">
        <v>24964.25</v>
      </c>
      <c r="G169" s="420">
        <f t="shared" si="5"/>
        <v>-2.0128245104857889E-3</v>
      </c>
      <c r="H169" s="397"/>
      <c r="I169" s="397"/>
      <c r="J169" s="397"/>
      <c r="K169" s="394"/>
      <c r="L169" s="396"/>
      <c r="S169" s="393"/>
      <c r="T169" s="397"/>
      <c r="U169" s="393"/>
      <c r="V169" s="394"/>
    </row>
    <row r="170" spans="2:22" x14ac:dyDescent="0.2">
      <c r="B170" s="426">
        <v>45578</v>
      </c>
      <c r="C170" s="394">
        <v>197.03</v>
      </c>
      <c r="D170" s="420">
        <f t="shared" si="4"/>
        <v>6.2156334231805888E-2</v>
      </c>
      <c r="E170" s="394"/>
      <c r="F170" s="418">
        <v>24854.05</v>
      </c>
      <c r="G170" s="420">
        <f t="shared" si="5"/>
        <v>-4.4143124668275524E-3</v>
      </c>
      <c r="H170" s="397"/>
      <c r="I170" s="397"/>
      <c r="J170" s="397"/>
      <c r="K170" s="394"/>
      <c r="L170" s="396"/>
      <c r="S170" s="393"/>
      <c r="T170" s="397"/>
      <c r="U170" s="393"/>
      <c r="V170" s="394"/>
    </row>
    <row r="171" spans="2:22" x14ac:dyDescent="0.2">
      <c r="B171" s="426">
        <v>45585</v>
      </c>
      <c r="C171" s="394">
        <v>182.6</v>
      </c>
      <c r="D171" s="420">
        <f t="shared" si="4"/>
        <v>-7.3237578033802042E-2</v>
      </c>
      <c r="E171" s="394"/>
      <c r="F171" s="418">
        <v>24180.799999999999</v>
      </c>
      <c r="G171" s="420">
        <f t="shared" si="5"/>
        <v>-2.7088140564616281E-2</v>
      </c>
      <c r="H171" s="397"/>
      <c r="I171" s="397"/>
      <c r="J171" s="397"/>
      <c r="K171" s="394"/>
      <c r="L171" s="396"/>
      <c r="S171" s="393"/>
      <c r="T171" s="397"/>
      <c r="U171" s="393"/>
      <c r="V171" s="394"/>
    </row>
    <row r="172" spans="2:22" x14ac:dyDescent="0.2">
      <c r="B172" s="426">
        <v>45592</v>
      </c>
      <c r="C172" s="394">
        <v>190.69</v>
      </c>
      <c r="D172" s="420">
        <f t="shared" si="4"/>
        <v>4.4304490690032949E-2</v>
      </c>
      <c r="E172" s="394"/>
      <c r="F172" s="418">
        <v>24304.35</v>
      </c>
      <c r="G172" s="420">
        <f t="shared" si="5"/>
        <v>5.1094256600276999E-3</v>
      </c>
      <c r="H172" s="397"/>
      <c r="I172" s="397"/>
      <c r="J172" s="397"/>
      <c r="K172" s="394"/>
      <c r="L172" s="396"/>
      <c r="S172" s="393"/>
      <c r="T172" s="397"/>
      <c r="U172" s="393"/>
      <c r="V172" s="394"/>
    </row>
    <row r="173" spans="2:22" x14ac:dyDescent="0.2">
      <c r="B173" s="426">
        <v>45599</v>
      </c>
      <c r="C173" s="394">
        <v>182.75</v>
      </c>
      <c r="D173" s="420">
        <f t="shared" si="4"/>
        <v>-4.1638261051969105E-2</v>
      </c>
      <c r="E173" s="394"/>
      <c r="F173" s="418">
        <v>24148.2</v>
      </c>
      <c r="G173" s="420">
        <f t="shared" si="5"/>
        <v>-6.4247758117372822E-3</v>
      </c>
      <c r="H173" s="397"/>
      <c r="I173" s="397"/>
      <c r="J173" s="397"/>
      <c r="K173" s="394"/>
      <c r="L173" s="396"/>
      <c r="S173" s="393"/>
      <c r="T173" s="397"/>
      <c r="U173" s="393"/>
      <c r="V173" s="394"/>
    </row>
    <row r="174" spans="2:22" x14ac:dyDescent="0.2">
      <c r="B174" s="426">
        <v>45606</v>
      </c>
      <c r="C174" s="394">
        <v>174.96</v>
      </c>
      <c r="D174" s="420">
        <f t="shared" si="4"/>
        <v>-4.262653898768809E-2</v>
      </c>
      <c r="E174" s="394"/>
      <c r="F174" s="418">
        <v>23532.7</v>
      </c>
      <c r="G174" s="420">
        <f t="shared" si="5"/>
        <v>-2.5488442202731498E-2</v>
      </c>
      <c r="H174" s="397"/>
      <c r="I174" s="397"/>
      <c r="J174" s="397"/>
      <c r="K174" s="394"/>
      <c r="L174" s="396"/>
      <c r="S174" s="393"/>
      <c r="T174" s="397"/>
      <c r="U174" s="393"/>
      <c r="V174" s="394"/>
    </row>
    <row r="175" spans="2:22" x14ac:dyDescent="0.2">
      <c r="B175" s="426">
        <v>45613</v>
      </c>
      <c r="C175" s="394">
        <v>172.98</v>
      </c>
      <c r="D175" s="420">
        <f t="shared" si="4"/>
        <v>-1.1316872427983626E-2</v>
      </c>
      <c r="E175" s="394"/>
      <c r="F175" s="418">
        <v>23907.25</v>
      </c>
      <c r="G175" s="420">
        <f t="shared" si="5"/>
        <v>1.5916150717937061E-2</v>
      </c>
      <c r="H175" s="397"/>
      <c r="I175" s="397"/>
      <c r="J175" s="397"/>
      <c r="K175" s="394"/>
      <c r="L175" s="396"/>
      <c r="S175" s="393"/>
      <c r="T175" s="397"/>
      <c r="U175" s="393"/>
      <c r="V175" s="394"/>
    </row>
    <row r="176" spans="2:22" x14ac:dyDescent="0.2">
      <c r="B176" s="426">
        <v>45620</v>
      </c>
      <c r="C176" s="394">
        <v>173.98</v>
      </c>
      <c r="D176" s="420">
        <f t="shared" si="4"/>
        <v>5.781015146259616E-3</v>
      </c>
      <c r="E176" s="394"/>
      <c r="F176" s="418">
        <v>24131.1</v>
      </c>
      <c r="G176" s="420">
        <f t="shared" si="5"/>
        <v>9.3632684645870157E-3</v>
      </c>
      <c r="H176" s="397"/>
      <c r="I176" s="397"/>
      <c r="J176" s="397"/>
      <c r="K176" s="394"/>
      <c r="L176" s="396"/>
      <c r="S176" s="393"/>
      <c r="T176" s="397"/>
      <c r="U176" s="393"/>
      <c r="V176" s="394"/>
    </row>
    <row r="177" spans="2:22" x14ac:dyDescent="0.2">
      <c r="B177" s="426">
        <v>45627</v>
      </c>
      <c r="C177" s="394">
        <v>197.88</v>
      </c>
      <c r="D177" s="420">
        <f t="shared" si="4"/>
        <v>0.13737211173698127</v>
      </c>
      <c r="E177" s="394"/>
      <c r="F177" s="418">
        <v>24677.8</v>
      </c>
      <c r="G177" s="420">
        <f t="shared" si="5"/>
        <v>2.2655411481449228E-2</v>
      </c>
      <c r="H177" s="397"/>
      <c r="I177" s="397"/>
      <c r="J177" s="397"/>
      <c r="K177" s="394"/>
      <c r="L177" s="396"/>
      <c r="S177" s="393"/>
      <c r="T177" s="397"/>
      <c r="U177" s="393"/>
      <c r="V177" s="394"/>
    </row>
    <row r="178" spans="2:22" x14ac:dyDescent="0.2">
      <c r="B178" s="426">
        <v>45634</v>
      </c>
      <c r="C178" s="394">
        <v>187.5</v>
      </c>
      <c r="D178" s="420">
        <f t="shared" si="4"/>
        <v>-5.2456033959975668E-2</v>
      </c>
      <c r="E178" s="394"/>
      <c r="F178" s="418">
        <v>24768.3</v>
      </c>
      <c r="G178" s="420">
        <f t="shared" si="5"/>
        <v>3.6672636944945491E-3</v>
      </c>
      <c r="H178" s="397"/>
      <c r="I178" s="397"/>
      <c r="J178" s="397"/>
      <c r="K178" s="394"/>
      <c r="L178" s="396"/>
      <c r="S178" s="393"/>
      <c r="T178" s="397"/>
      <c r="U178" s="393"/>
      <c r="V178" s="394"/>
    </row>
    <row r="179" spans="2:22" x14ac:dyDescent="0.2">
      <c r="B179" s="426">
        <v>45641</v>
      </c>
      <c r="C179" s="394">
        <v>182.74</v>
      </c>
      <c r="D179" s="420">
        <f t="shared" si="4"/>
        <v>-2.5386666666666668E-2</v>
      </c>
      <c r="E179" s="394"/>
      <c r="F179" s="418">
        <v>23587.5</v>
      </c>
      <c r="G179" s="420">
        <f t="shared" si="5"/>
        <v>-4.7673841159869612E-2</v>
      </c>
      <c r="H179" s="397"/>
      <c r="I179" s="397"/>
      <c r="J179" s="397"/>
      <c r="K179" s="394"/>
      <c r="L179" s="396"/>
      <c r="S179" s="393"/>
      <c r="T179" s="397"/>
      <c r="U179" s="393"/>
      <c r="V179" s="394"/>
    </row>
    <row r="180" spans="2:22" x14ac:dyDescent="0.2">
      <c r="B180" s="426">
        <v>45648</v>
      </c>
      <c r="C180" s="394">
        <v>184.59</v>
      </c>
      <c r="D180" s="420">
        <f t="shared" si="4"/>
        <v>1.012367297800143E-2</v>
      </c>
      <c r="E180" s="394"/>
      <c r="F180" s="418">
        <v>23813.4</v>
      </c>
      <c r="G180" s="420">
        <f t="shared" si="5"/>
        <v>9.5771065182830295E-3</v>
      </c>
      <c r="H180" s="397"/>
      <c r="I180" s="397"/>
      <c r="J180" s="397"/>
      <c r="K180" s="394"/>
      <c r="L180" s="396"/>
      <c r="S180" s="393"/>
      <c r="T180" s="397"/>
      <c r="U180" s="393"/>
      <c r="V180" s="394"/>
    </row>
    <row r="181" spans="2:22" x14ac:dyDescent="0.2">
      <c r="B181" s="426">
        <v>45655</v>
      </c>
      <c r="C181" s="394">
        <v>185.9</v>
      </c>
      <c r="D181" s="420">
        <f t="shared" si="4"/>
        <v>7.0968091445906545E-3</v>
      </c>
      <c r="E181" s="394"/>
      <c r="F181" s="418">
        <v>24004.75</v>
      </c>
      <c r="G181" s="420">
        <f t="shared" si="5"/>
        <v>8.035391838208783E-3</v>
      </c>
      <c r="H181" s="397"/>
      <c r="I181" s="397"/>
      <c r="J181" s="397"/>
      <c r="K181" s="394"/>
      <c r="L181" s="396"/>
      <c r="S181" s="393"/>
      <c r="T181" s="397"/>
      <c r="U181" s="393"/>
      <c r="V181" s="394"/>
    </row>
    <row r="182" spans="2:22" x14ac:dyDescent="0.2">
      <c r="B182" s="426">
        <v>45662</v>
      </c>
      <c r="C182" s="394">
        <v>162.41999999999999</v>
      </c>
      <c r="D182" s="420">
        <f t="shared" si="4"/>
        <v>-0.12630446476600332</v>
      </c>
      <c r="E182" s="394"/>
      <c r="F182" s="418">
        <v>23431.5</v>
      </c>
      <c r="G182" s="420">
        <f t="shared" si="5"/>
        <v>-2.3880690280048689E-2</v>
      </c>
      <c r="H182" s="397"/>
      <c r="I182" s="397"/>
      <c r="J182" s="397"/>
      <c r="K182" s="394"/>
      <c r="L182" s="396"/>
      <c r="S182" s="393"/>
      <c r="T182" s="397"/>
      <c r="U182" s="393"/>
      <c r="V182" s="394"/>
    </row>
    <row r="183" spans="2:22" x14ac:dyDescent="0.2">
      <c r="B183" s="426">
        <v>45669</v>
      </c>
      <c r="C183" s="394">
        <v>152.65</v>
      </c>
      <c r="D183" s="420">
        <f t="shared" si="4"/>
        <v>-6.0152690555350219E-2</v>
      </c>
      <c r="E183" s="394"/>
      <c r="F183" s="418">
        <v>23203.200000000001</v>
      </c>
      <c r="G183" s="420">
        <f t="shared" si="5"/>
        <v>-9.7432942833365344E-3</v>
      </c>
      <c r="H183" s="397"/>
      <c r="I183" s="397"/>
      <c r="J183" s="397"/>
      <c r="K183" s="394"/>
      <c r="L183" s="396"/>
      <c r="S183" s="393"/>
      <c r="T183" s="397"/>
      <c r="U183" s="393"/>
      <c r="V183" s="394"/>
    </row>
    <row r="184" spans="2:22" x14ac:dyDescent="0.2">
      <c r="B184" s="426">
        <v>45676</v>
      </c>
      <c r="C184" s="394">
        <v>139</v>
      </c>
      <c r="D184" s="420">
        <f t="shared" si="4"/>
        <v>-8.9420242384539828E-2</v>
      </c>
      <c r="E184" s="394"/>
      <c r="F184" s="418">
        <v>23092.2</v>
      </c>
      <c r="G184" s="420">
        <f t="shared" si="5"/>
        <v>-4.7838229209764549E-3</v>
      </c>
      <c r="H184" s="397"/>
      <c r="I184" s="397"/>
      <c r="J184" s="397"/>
      <c r="K184" s="394"/>
      <c r="L184" s="396"/>
      <c r="S184" s="393"/>
      <c r="T184" s="397"/>
      <c r="U184" s="393"/>
      <c r="V184" s="394"/>
    </row>
    <row r="185" spans="2:22" x14ac:dyDescent="0.2">
      <c r="B185" s="426">
        <v>45683</v>
      </c>
      <c r="C185" s="394">
        <v>142.97999999999999</v>
      </c>
      <c r="D185" s="420">
        <f t="shared" si="4"/>
        <v>2.8633093525179731E-2</v>
      </c>
      <c r="E185" s="394"/>
      <c r="F185" s="418">
        <v>23508.400000000001</v>
      </c>
      <c r="G185" s="420">
        <f t="shared" si="5"/>
        <v>1.8023401841314346E-2</v>
      </c>
      <c r="H185" s="397"/>
      <c r="I185" s="397"/>
      <c r="J185" s="397"/>
      <c r="K185" s="394"/>
      <c r="L185" s="396"/>
      <c r="S185" s="393"/>
      <c r="T185" s="397"/>
      <c r="U185" s="393"/>
      <c r="V185" s="394"/>
    </row>
    <row r="186" spans="2:22" x14ac:dyDescent="0.2">
      <c r="B186" s="426">
        <v>45690</v>
      </c>
      <c r="C186" s="394">
        <v>135.19999999999999</v>
      </c>
      <c r="D186" s="420">
        <f t="shared" si="4"/>
        <v>-5.4413204644006119E-2</v>
      </c>
      <c r="E186" s="394"/>
      <c r="F186" s="418">
        <v>23559.95</v>
      </c>
      <c r="G186" s="420">
        <f t="shared" si="5"/>
        <v>2.1928332000475947E-3</v>
      </c>
      <c r="H186" s="397"/>
      <c r="I186" s="397"/>
      <c r="J186" s="397"/>
      <c r="K186" s="394"/>
      <c r="L186" s="396"/>
      <c r="S186" s="393"/>
      <c r="T186" s="397"/>
      <c r="U186" s="393"/>
      <c r="V186" s="394"/>
    </row>
    <row r="187" spans="2:22" x14ac:dyDescent="0.2">
      <c r="B187" s="426">
        <v>45697</v>
      </c>
      <c r="C187" s="394">
        <v>122.18</v>
      </c>
      <c r="D187" s="420">
        <f t="shared" si="4"/>
        <v>-9.6301775147928814E-2</v>
      </c>
      <c r="E187" s="394"/>
      <c r="F187" s="418">
        <v>22929.25</v>
      </c>
      <c r="G187" s="420">
        <f t="shared" si="5"/>
        <v>-2.6770005878620329E-2</v>
      </c>
      <c r="H187" s="397"/>
      <c r="I187" s="397"/>
      <c r="J187" s="397"/>
      <c r="K187" s="394"/>
      <c r="L187" s="396"/>
      <c r="S187" s="393"/>
      <c r="T187" s="397"/>
      <c r="U187" s="393"/>
      <c r="V187" s="394"/>
    </row>
    <row r="188" spans="2:22" x14ac:dyDescent="0.2">
      <c r="B188" s="426">
        <v>45704</v>
      </c>
      <c r="C188" s="394">
        <v>136.56</v>
      </c>
      <c r="D188" s="420">
        <f t="shared" si="4"/>
        <v>0.11769520379767551</v>
      </c>
      <c r="E188" s="394"/>
      <c r="F188" s="418">
        <v>22795.9</v>
      </c>
      <c r="G188" s="420">
        <f t="shared" si="5"/>
        <v>-5.8157157342695331E-3</v>
      </c>
      <c r="H188" s="397"/>
      <c r="I188" s="397"/>
      <c r="J188" s="397"/>
      <c r="K188" s="394"/>
      <c r="L188" s="396"/>
      <c r="S188" s="393"/>
      <c r="T188" s="397"/>
      <c r="U188" s="393"/>
      <c r="V188" s="394"/>
    </row>
    <row r="189" spans="2:22" x14ac:dyDescent="0.2">
      <c r="B189" s="426">
        <v>45711</v>
      </c>
      <c r="C189" s="394">
        <v>130.79</v>
      </c>
      <c r="D189" s="420">
        <f t="shared" si="4"/>
        <v>-4.2252489748096145E-2</v>
      </c>
      <c r="E189" s="394"/>
      <c r="F189" s="418">
        <v>22124.7</v>
      </c>
      <c r="G189" s="420">
        <f t="shared" si="5"/>
        <v>-2.9443891226053842E-2</v>
      </c>
      <c r="H189" s="397"/>
      <c r="I189" s="397"/>
      <c r="J189" s="397"/>
      <c r="K189" s="394"/>
      <c r="L189" s="396"/>
      <c r="S189" s="393"/>
      <c r="T189" s="397"/>
      <c r="U189" s="393"/>
      <c r="V189" s="394"/>
    </row>
    <row r="190" spans="2:22" x14ac:dyDescent="0.2">
      <c r="B190" s="426">
        <v>45718</v>
      </c>
      <c r="C190" s="394">
        <v>140.94</v>
      </c>
      <c r="D190" s="420">
        <f t="shared" si="4"/>
        <v>7.7605321507760561E-2</v>
      </c>
      <c r="E190" s="394"/>
      <c r="F190" s="418">
        <v>22552.5</v>
      </c>
      <c r="G190" s="420">
        <f t="shared" si="5"/>
        <v>1.9335855401429125E-2</v>
      </c>
      <c r="H190" s="397"/>
      <c r="I190" s="397"/>
      <c r="J190" s="397"/>
      <c r="K190" s="394"/>
      <c r="L190" s="396"/>
      <c r="S190" s="393"/>
      <c r="T190" s="397"/>
      <c r="U190" s="393"/>
      <c r="V190" s="394"/>
    </row>
    <row r="191" spans="2:22" x14ac:dyDescent="0.2">
      <c r="B191" s="426">
        <v>45725</v>
      </c>
      <c r="C191" s="394">
        <v>138.66999999999999</v>
      </c>
      <c r="D191" s="420">
        <f t="shared" si="4"/>
        <v>-1.6106144458635008E-2</v>
      </c>
      <c r="E191" s="394"/>
      <c r="F191" s="418">
        <v>22397.200000000001</v>
      </c>
      <c r="G191" s="420">
        <f t="shared" si="5"/>
        <v>-6.8861545283227521E-3</v>
      </c>
      <c r="H191" s="397"/>
      <c r="I191" s="397"/>
      <c r="J191" s="397"/>
      <c r="K191" s="394"/>
      <c r="L191" s="396"/>
      <c r="S191" s="393"/>
      <c r="T191" s="397"/>
      <c r="U191" s="393"/>
      <c r="V191" s="394"/>
    </row>
    <row r="192" spans="2:22" x14ac:dyDescent="0.2">
      <c r="B192" s="426">
        <v>45732</v>
      </c>
      <c r="C192" s="394">
        <v>150.82</v>
      </c>
      <c r="D192" s="420">
        <f t="shared" si="4"/>
        <v>8.7618086103699477E-2</v>
      </c>
      <c r="E192" s="394"/>
      <c r="F192" s="418">
        <v>23350.400000000001</v>
      </c>
      <c r="G192" s="420">
        <f t="shared" si="5"/>
        <v>4.2558891289982803E-2</v>
      </c>
      <c r="H192" s="397"/>
      <c r="I192" s="397"/>
      <c r="J192" s="397"/>
      <c r="K192" s="394"/>
      <c r="L192" s="396"/>
      <c r="S192" s="393"/>
      <c r="T192" s="397"/>
      <c r="U192" s="393"/>
      <c r="V192" s="394"/>
    </row>
    <row r="193" spans="2:22" x14ac:dyDescent="0.2">
      <c r="B193" s="426">
        <v>45739</v>
      </c>
      <c r="C193" s="394">
        <v>153.86000000000001</v>
      </c>
      <c r="D193" s="420">
        <f t="shared" si="4"/>
        <v>2.0156477920700411E-2</v>
      </c>
      <c r="E193" s="394"/>
      <c r="F193" s="418">
        <v>23519.35</v>
      </c>
      <c r="G193" s="420">
        <f t="shared" si="5"/>
        <v>7.2354220912702605E-3</v>
      </c>
      <c r="H193" s="397"/>
      <c r="I193" s="397"/>
      <c r="J193" s="397"/>
      <c r="K193" s="394"/>
      <c r="L193" s="396"/>
      <c r="S193" s="393"/>
      <c r="T193" s="397"/>
      <c r="U193" s="393"/>
      <c r="V193" s="394"/>
    </row>
    <row r="194" spans="2:22" x14ac:dyDescent="0.2">
      <c r="B194" s="426">
        <v>45746</v>
      </c>
      <c r="C194" s="394">
        <v>151.83000000000001</v>
      </c>
      <c r="D194" s="420">
        <f t="shared" si="4"/>
        <v>-1.3193812556869911E-2</v>
      </c>
      <c r="E194" s="394"/>
      <c r="F194" s="418">
        <v>22904.45</v>
      </c>
      <c r="G194" s="420">
        <f t="shared" si="5"/>
        <v>-2.6144430011883713E-2</v>
      </c>
      <c r="H194" s="397"/>
      <c r="I194" s="397"/>
      <c r="J194" s="397"/>
      <c r="K194" s="394"/>
      <c r="L194" s="396"/>
      <c r="S194" s="393"/>
      <c r="T194" s="397"/>
      <c r="U194" s="393"/>
      <c r="V194" s="394"/>
    </row>
    <row r="195" spans="2:22" x14ac:dyDescent="0.2">
      <c r="B195" s="426">
        <v>45753</v>
      </c>
      <c r="C195" s="394">
        <v>153.69999999999999</v>
      </c>
      <c r="D195" s="420">
        <f t="shared" si="4"/>
        <v>1.2316406507277611E-2</v>
      </c>
      <c r="E195" s="394"/>
      <c r="F195" s="418">
        <v>22828.55</v>
      </c>
      <c r="G195" s="420">
        <f t="shared" si="5"/>
        <v>-3.3137665388167648E-3</v>
      </c>
      <c r="H195" s="397"/>
      <c r="I195" s="397"/>
      <c r="J195" s="397"/>
      <c r="K195" s="394"/>
      <c r="L195" s="396"/>
      <c r="S195" s="393"/>
      <c r="T195" s="397"/>
      <c r="U195" s="393"/>
      <c r="V195" s="394"/>
    </row>
    <row r="196" spans="2:22" x14ac:dyDescent="0.2">
      <c r="B196" s="426">
        <v>45760</v>
      </c>
      <c r="C196" s="394">
        <v>158.16</v>
      </c>
      <c r="D196" s="420">
        <f t="shared" si="4"/>
        <v>2.9017566688354091E-2</v>
      </c>
      <c r="E196" s="394"/>
      <c r="F196" s="418">
        <v>23851.65</v>
      </c>
      <c r="G196" s="420">
        <f t="shared" si="5"/>
        <v>4.4816687875489425E-2</v>
      </c>
      <c r="H196" s="397"/>
      <c r="I196" s="397"/>
      <c r="J196" s="397"/>
      <c r="K196" s="394"/>
      <c r="L196" s="396"/>
      <c r="S196" s="393"/>
      <c r="T196" s="397"/>
      <c r="U196" s="393"/>
      <c r="V196" s="394"/>
    </row>
    <row r="197" spans="2:22" x14ac:dyDescent="0.2">
      <c r="B197" s="426">
        <v>45767</v>
      </c>
      <c r="C197" s="394">
        <v>153.96</v>
      </c>
      <c r="D197" s="420">
        <f t="shared" si="4"/>
        <v>-2.6555386949924098E-2</v>
      </c>
      <c r="E197" s="394"/>
      <c r="F197" s="418">
        <v>24039.35</v>
      </c>
      <c r="G197" s="420">
        <f t="shared" si="5"/>
        <v>7.86947653516612E-3</v>
      </c>
      <c r="H197" s="397"/>
      <c r="I197" s="397"/>
      <c r="J197" s="397"/>
      <c r="K197" s="394"/>
      <c r="L197" s="396"/>
      <c r="S197" s="393"/>
      <c r="T197" s="397"/>
      <c r="U197" s="393"/>
      <c r="V197" s="394"/>
    </row>
    <row r="198" spans="2:22" x14ac:dyDescent="0.2">
      <c r="B198" s="426">
        <v>45774</v>
      </c>
      <c r="C198" s="394">
        <v>158.93</v>
      </c>
      <c r="D198" s="420">
        <f t="shared" si="4"/>
        <v>3.22811119771369E-2</v>
      </c>
      <c r="E198" s="394"/>
      <c r="F198" s="418">
        <v>24346.7</v>
      </c>
      <c r="G198" s="420">
        <f t="shared" si="5"/>
        <v>1.2785287455775673E-2</v>
      </c>
      <c r="H198" s="397"/>
      <c r="I198" s="397"/>
      <c r="J198" s="397"/>
      <c r="K198" s="394"/>
      <c r="L198" s="396"/>
      <c r="S198" s="393"/>
      <c r="T198" s="397"/>
      <c r="U198" s="393"/>
      <c r="V198" s="394"/>
    </row>
    <row r="199" spans="2:22" x14ac:dyDescent="0.2">
      <c r="B199" s="426">
        <v>45781</v>
      </c>
      <c r="C199" s="394">
        <v>157.71</v>
      </c>
      <c r="D199" s="420">
        <f t="shared" si="4"/>
        <v>-7.676335493613573E-3</v>
      </c>
      <c r="E199" s="394"/>
      <c r="F199" s="418">
        <v>24008</v>
      </c>
      <c r="G199" s="420">
        <f t="shared" si="5"/>
        <v>-1.391153626569519E-2</v>
      </c>
      <c r="H199" s="397"/>
      <c r="I199" s="397"/>
      <c r="J199" s="397"/>
      <c r="K199" s="394"/>
      <c r="L199" s="396"/>
      <c r="S199" s="393"/>
      <c r="T199" s="397"/>
      <c r="U199" s="393"/>
      <c r="V199" s="394"/>
    </row>
    <row r="200" spans="2:22" x14ac:dyDescent="0.2">
      <c r="B200" s="426">
        <v>45788</v>
      </c>
      <c r="C200" s="394">
        <v>165.19</v>
      </c>
      <c r="D200" s="420">
        <f t="shared" si="4"/>
        <v>4.7428825058651869E-2</v>
      </c>
      <c r="E200" s="394"/>
      <c r="F200" s="418">
        <v>25019.8</v>
      </c>
      <c r="G200" s="420">
        <f t="shared" si="5"/>
        <v>4.2144285238253865E-2</v>
      </c>
      <c r="H200" s="397"/>
      <c r="I200" s="397"/>
      <c r="J200" s="397"/>
      <c r="K200" s="394"/>
      <c r="L200" s="396"/>
      <c r="S200" s="393"/>
      <c r="T200" s="397"/>
      <c r="U200" s="393"/>
      <c r="V200" s="394"/>
    </row>
    <row r="201" spans="2:22" x14ac:dyDescent="0.2">
      <c r="B201" s="426">
        <v>45795</v>
      </c>
      <c r="C201" s="394">
        <v>170.3</v>
      </c>
      <c r="D201" s="420">
        <f t="shared" si="4"/>
        <v>3.0934075912585568E-2</v>
      </c>
      <c r="E201" s="394"/>
      <c r="F201" s="418">
        <v>24853.15</v>
      </c>
      <c r="G201" s="420">
        <f t="shared" si="5"/>
        <v>-6.660724706032739E-3</v>
      </c>
      <c r="H201" s="397"/>
      <c r="I201" s="397"/>
      <c r="J201" s="397"/>
      <c r="K201" s="394"/>
      <c r="L201" s="396"/>
      <c r="S201" s="393"/>
      <c r="T201" s="397"/>
      <c r="U201" s="393"/>
      <c r="V201" s="394"/>
    </row>
    <row r="202" spans="2:22" x14ac:dyDescent="0.2">
      <c r="B202" s="426">
        <v>45802</v>
      </c>
      <c r="C202" s="394">
        <v>162.4</v>
      </c>
      <c r="D202" s="420">
        <f t="shared" si="4"/>
        <v>-4.6388725778038764E-2</v>
      </c>
      <c r="E202" s="394"/>
      <c r="F202" s="418">
        <v>24750.7</v>
      </c>
      <c r="G202" s="420">
        <f t="shared" si="5"/>
        <v>-4.1222138843567402E-3</v>
      </c>
      <c r="H202" s="397"/>
      <c r="I202" s="397"/>
      <c r="J202" s="397"/>
      <c r="K202" s="394"/>
      <c r="L202" s="396"/>
      <c r="S202" s="393"/>
      <c r="T202" s="397"/>
      <c r="U202" s="393"/>
      <c r="V202" s="394"/>
    </row>
    <row r="203" spans="2:22" x14ac:dyDescent="0.2">
      <c r="B203" s="426">
        <v>45809</v>
      </c>
      <c r="C203" s="394">
        <v>168.08</v>
      </c>
      <c r="D203" s="420">
        <f t="shared" ref="D203:D266" si="6">C203/C202-1</f>
        <v>3.4975369458128069E-2</v>
      </c>
      <c r="E203" s="394"/>
      <c r="F203" s="418">
        <v>25003.05</v>
      </c>
      <c r="G203" s="420">
        <f t="shared" si="5"/>
        <v>1.0195671233540704E-2</v>
      </c>
      <c r="H203" s="397"/>
      <c r="I203" s="397"/>
      <c r="J203" s="397"/>
      <c r="K203" s="394"/>
      <c r="L203" s="396"/>
      <c r="S203" s="393"/>
      <c r="T203" s="397"/>
      <c r="U203" s="393"/>
      <c r="V203" s="394"/>
    </row>
    <row r="204" spans="2:22" x14ac:dyDescent="0.2">
      <c r="B204" s="426">
        <v>45816</v>
      </c>
      <c r="C204" s="394">
        <v>164.48</v>
      </c>
      <c r="D204" s="420">
        <f t="shared" si="6"/>
        <v>-2.1418372203712677E-2</v>
      </c>
      <c r="E204" s="394"/>
      <c r="F204" s="418">
        <v>24718.6</v>
      </c>
      <c r="G204" s="420">
        <f t="shared" ref="G204:G267" si="7">F204/F203-1</f>
        <v>-1.1376612053329516E-2</v>
      </c>
      <c r="H204" s="397"/>
      <c r="I204" s="397"/>
      <c r="J204" s="397"/>
      <c r="K204" s="394"/>
      <c r="L204" s="396"/>
      <c r="S204" s="393"/>
      <c r="T204" s="397"/>
      <c r="U204" s="393"/>
      <c r="V204" s="394"/>
    </row>
    <row r="205" spans="2:22" x14ac:dyDescent="0.2">
      <c r="B205" s="426">
        <v>45823</v>
      </c>
      <c r="C205" s="394">
        <v>163.38999999999999</v>
      </c>
      <c r="D205" s="420">
        <f t="shared" si="6"/>
        <v>-6.6269455252918608E-3</v>
      </c>
      <c r="E205" s="394"/>
      <c r="F205" s="418">
        <v>25112.400000000001</v>
      </c>
      <c r="G205" s="420">
        <f t="shared" si="7"/>
        <v>1.5931322971365791E-2</v>
      </c>
      <c r="H205" s="397"/>
      <c r="I205" s="397"/>
      <c r="J205" s="397"/>
      <c r="K205" s="394"/>
      <c r="L205" s="396"/>
      <c r="S205" s="393"/>
      <c r="T205" s="397"/>
      <c r="U205" s="393"/>
      <c r="V205" s="394"/>
    </row>
    <row r="206" spans="2:22" x14ac:dyDescent="0.2">
      <c r="B206" s="426">
        <v>45830</v>
      </c>
      <c r="C206" s="394">
        <v>172.3</v>
      </c>
      <c r="D206" s="420">
        <f t="shared" si="6"/>
        <v>5.4532101107779063E-2</v>
      </c>
      <c r="E206" s="394"/>
      <c r="F206" s="418">
        <v>25637.8</v>
      </c>
      <c r="G206" s="420">
        <f t="shared" si="7"/>
        <v>2.092193498032846E-2</v>
      </c>
      <c r="H206" s="397"/>
      <c r="I206" s="397"/>
      <c r="J206" s="397"/>
      <c r="K206" s="394"/>
      <c r="L206" s="396"/>
      <c r="S206" s="393"/>
      <c r="T206" s="397"/>
      <c r="U206" s="393"/>
      <c r="V206" s="394"/>
    </row>
    <row r="207" spans="2:22" x14ac:dyDescent="0.2">
      <c r="B207" s="426">
        <v>45837</v>
      </c>
      <c r="C207" s="394">
        <v>178.6</v>
      </c>
      <c r="D207" s="420">
        <f t="shared" si="6"/>
        <v>3.6564132327336019E-2</v>
      </c>
      <c r="E207" s="394"/>
      <c r="F207" s="418">
        <v>25461</v>
      </c>
      <c r="G207" s="420">
        <f t="shared" si="7"/>
        <v>-6.8960675252947023E-3</v>
      </c>
      <c r="H207" s="397"/>
      <c r="I207" s="397"/>
      <c r="J207" s="397"/>
      <c r="K207" s="394"/>
      <c r="L207" s="396"/>
      <c r="S207" s="393"/>
      <c r="T207" s="397"/>
      <c r="U207" s="393"/>
      <c r="V207" s="394"/>
    </row>
    <row r="208" spans="2:22" x14ac:dyDescent="0.2">
      <c r="B208" s="426">
        <v>45844</v>
      </c>
      <c r="C208" s="394">
        <v>174.81</v>
      </c>
      <c r="D208" s="420">
        <f t="shared" si="6"/>
        <v>-2.1220604703247381E-2</v>
      </c>
      <c r="E208" s="394"/>
      <c r="F208" s="418">
        <v>25149.85</v>
      </c>
      <c r="G208" s="420">
        <f t="shared" si="7"/>
        <v>-1.2220651192019205E-2</v>
      </c>
      <c r="H208" s="397"/>
      <c r="I208" s="397"/>
      <c r="J208" s="397"/>
      <c r="K208" s="394"/>
      <c r="L208" s="396"/>
      <c r="S208" s="393"/>
      <c r="T208" s="397"/>
      <c r="U208" s="393"/>
      <c r="V208" s="394"/>
    </row>
    <row r="209" spans="2:22" x14ac:dyDescent="0.2">
      <c r="B209" s="426">
        <v>45851</v>
      </c>
      <c r="C209" s="394">
        <v>178.74</v>
      </c>
      <c r="D209" s="420">
        <f t="shared" si="6"/>
        <v>2.248155139866137E-2</v>
      </c>
      <c r="E209" s="394"/>
      <c r="F209" s="418">
        <v>24968.400000000001</v>
      </c>
      <c r="G209" s="420">
        <f t="shared" si="7"/>
        <v>-7.214754759968578E-3</v>
      </c>
      <c r="H209" s="397"/>
      <c r="I209" s="397"/>
      <c r="J209" s="397"/>
      <c r="K209" s="394"/>
      <c r="L209" s="396"/>
      <c r="S209" s="393"/>
      <c r="T209" s="397"/>
      <c r="U209" s="393"/>
      <c r="V209" s="394"/>
    </row>
    <row r="210" spans="2:22" x14ac:dyDescent="0.2">
      <c r="B210" s="426">
        <v>45858</v>
      </c>
      <c r="C210" s="394">
        <v>173.11</v>
      </c>
      <c r="D210" s="420">
        <f t="shared" si="6"/>
        <v>-3.1498265637238454E-2</v>
      </c>
      <c r="E210" s="394"/>
      <c r="F210" s="418">
        <v>24837</v>
      </c>
      <c r="G210" s="420">
        <f t="shared" si="7"/>
        <v>-5.2626519921180615E-3</v>
      </c>
      <c r="H210" s="397"/>
      <c r="I210" s="397"/>
      <c r="J210" s="397"/>
      <c r="K210" s="394"/>
      <c r="L210" s="396"/>
      <c r="S210" s="393"/>
      <c r="T210" s="397"/>
      <c r="U210" s="393"/>
      <c r="V210" s="394"/>
    </row>
    <row r="211" spans="2:22" x14ac:dyDescent="0.2">
      <c r="B211" s="426">
        <v>45865</v>
      </c>
      <c r="C211" s="394">
        <v>165.53</v>
      </c>
      <c r="D211" s="420">
        <f t="shared" si="6"/>
        <v>-4.3787187337531064E-2</v>
      </c>
      <c r="E211" s="394"/>
      <c r="F211" s="418">
        <v>24565.35</v>
      </c>
      <c r="G211" s="420">
        <f t="shared" si="7"/>
        <v>-1.0937311269477057E-2</v>
      </c>
      <c r="H211" s="397"/>
      <c r="I211" s="397"/>
      <c r="J211" s="397"/>
      <c r="K211" s="394"/>
      <c r="L211" s="396"/>
      <c r="S211" s="393"/>
      <c r="T211" s="397"/>
      <c r="U211" s="393"/>
      <c r="V211" s="394"/>
    </row>
    <row r="212" spans="2:22" x14ac:dyDescent="0.2">
      <c r="B212" s="426">
        <v>45872</v>
      </c>
      <c r="C212" s="394">
        <v>163.19</v>
      </c>
      <c r="D212" s="420">
        <f t="shared" si="6"/>
        <v>-1.4136410318371317E-2</v>
      </c>
      <c r="E212" s="394"/>
      <c r="F212" s="418">
        <v>24363.3</v>
      </c>
      <c r="G212" s="420">
        <f t="shared" si="7"/>
        <v>-8.2249998473459263E-3</v>
      </c>
      <c r="H212" s="397"/>
      <c r="I212" s="397"/>
      <c r="J212" s="397"/>
      <c r="K212" s="394"/>
      <c r="L212" s="396"/>
      <c r="S212" s="393"/>
      <c r="T212" s="397"/>
      <c r="U212" s="393"/>
      <c r="V212" s="394"/>
    </row>
    <row r="213" spans="2:22" x14ac:dyDescent="0.2">
      <c r="B213" s="426">
        <v>45879</v>
      </c>
      <c r="C213" s="394">
        <v>162.91999999999999</v>
      </c>
      <c r="D213" s="420">
        <f t="shared" si="6"/>
        <v>-1.6545131441878524E-3</v>
      </c>
      <c r="E213" s="394"/>
      <c r="F213" s="418">
        <v>24631.3</v>
      </c>
      <c r="G213" s="420">
        <f t="shared" si="7"/>
        <v>1.100015186776826E-2</v>
      </c>
      <c r="H213" s="397"/>
      <c r="I213" s="397"/>
      <c r="J213" s="397"/>
      <c r="K213" s="394"/>
      <c r="L213" s="396"/>
      <c r="S213" s="393"/>
      <c r="T213" s="397"/>
      <c r="U213" s="393"/>
      <c r="V213" s="394"/>
    </row>
    <row r="214" spans="2:22" x14ac:dyDescent="0.2">
      <c r="B214" s="426">
        <v>45886</v>
      </c>
      <c r="C214" s="394">
        <v>166.81</v>
      </c>
      <c r="D214" s="420">
        <f t="shared" si="6"/>
        <v>2.38767493248222E-2</v>
      </c>
      <c r="E214" s="394"/>
      <c r="F214" s="418">
        <v>24870.1</v>
      </c>
      <c r="G214" s="420">
        <f t="shared" si="7"/>
        <v>9.6949815884666002E-3</v>
      </c>
      <c r="H214" s="397"/>
      <c r="I214" s="397"/>
      <c r="J214" s="397"/>
      <c r="K214" s="394"/>
      <c r="L214" s="396"/>
      <c r="S214" s="393"/>
      <c r="T214" s="397"/>
      <c r="U214" s="393"/>
      <c r="V214" s="394"/>
    </row>
    <row r="215" spans="2:22" x14ac:dyDescent="0.2">
      <c r="B215" s="426">
        <v>45893</v>
      </c>
      <c r="C215" s="394">
        <v>152.19</v>
      </c>
      <c r="D215" s="420">
        <f t="shared" si="6"/>
        <v>-8.7644625621965178E-2</v>
      </c>
      <c r="E215" s="394"/>
      <c r="F215" s="418">
        <v>24426.85</v>
      </c>
      <c r="G215" s="420">
        <f t="shared" si="7"/>
        <v>-1.7822606262138052E-2</v>
      </c>
      <c r="H215" s="397"/>
      <c r="I215" s="397"/>
      <c r="J215" s="397"/>
      <c r="K215" s="394"/>
      <c r="L215" s="396"/>
      <c r="S215" s="393"/>
      <c r="T215" s="397"/>
      <c r="U215" s="393"/>
      <c r="V215" s="394"/>
    </row>
    <row r="216" spans="2:22" x14ac:dyDescent="0.2">
      <c r="B216" s="426">
        <v>45900</v>
      </c>
      <c r="C216" s="394">
        <v>153.49</v>
      </c>
      <c r="D216" s="420">
        <f t="shared" si="6"/>
        <v>8.5419541362770079E-3</v>
      </c>
      <c r="E216" s="394"/>
      <c r="F216" s="418">
        <v>24741</v>
      </c>
      <c r="G216" s="420">
        <f t="shared" si="7"/>
        <v>1.2860847796584585E-2</v>
      </c>
      <c r="H216" s="397"/>
      <c r="I216" s="397"/>
      <c r="J216" s="397"/>
      <c r="K216" s="394"/>
      <c r="L216" s="396"/>
      <c r="S216" s="393"/>
      <c r="T216" s="397"/>
      <c r="U216" s="393"/>
      <c r="V216" s="394"/>
    </row>
    <row r="217" spans="2:22" x14ac:dyDescent="0.2">
      <c r="B217" s="426">
        <v>45907</v>
      </c>
      <c r="C217" s="394">
        <v>160.06</v>
      </c>
      <c r="D217" s="420">
        <f t="shared" si="6"/>
        <v>4.2804091471757122E-2</v>
      </c>
      <c r="E217" s="394"/>
      <c r="F217" s="418">
        <v>25114</v>
      </c>
      <c r="G217" s="420">
        <f t="shared" si="7"/>
        <v>1.5076189321369338E-2</v>
      </c>
      <c r="H217" s="397"/>
      <c r="I217" s="397"/>
      <c r="J217" s="397"/>
      <c r="K217" s="394"/>
      <c r="L217" s="396"/>
      <c r="S217" s="393"/>
      <c r="T217" s="397"/>
      <c r="U217" s="393"/>
      <c r="V217" s="394"/>
    </row>
    <row r="218" spans="2:22" x14ac:dyDescent="0.2">
      <c r="B218" s="426">
        <v>45914</v>
      </c>
      <c r="C218" s="394">
        <v>169.46</v>
      </c>
      <c r="D218" s="420">
        <f t="shared" si="6"/>
        <v>5.8727977008621757E-2</v>
      </c>
      <c r="E218" s="394"/>
      <c r="F218" s="418">
        <v>25327.05</v>
      </c>
      <c r="G218" s="420">
        <f t="shared" si="7"/>
        <v>8.4833160786812467E-3</v>
      </c>
      <c r="H218" s="397"/>
      <c r="I218" s="397"/>
      <c r="J218" s="397"/>
      <c r="K218" s="394"/>
      <c r="L218" s="396"/>
      <c r="S218" s="393"/>
      <c r="T218" s="397"/>
      <c r="U218" s="393"/>
      <c r="V218" s="394"/>
    </row>
    <row r="219" spans="2:22" x14ac:dyDescent="0.2">
      <c r="B219" s="426">
        <v>45921</v>
      </c>
      <c r="C219" s="394">
        <v>163.55000000000001</v>
      </c>
      <c r="D219" s="420">
        <f t="shared" si="6"/>
        <v>-3.4875486840552306E-2</v>
      </c>
      <c r="E219" s="394"/>
      <c r="F219" s="418">
        <v>24654.7</v>
      </c>
      <c r="G219" s="420">
        <f t="shared" si="7"/>
        <v>-2.6546715863079107E-2</v>
      </c>
      <c r="H219" s="397"/>
      <c r="I219" s="397"/>
      <c r="J219" s="397"/>
      <c r="K219" s="394"/>
      <c r="L219" s="396"/>
      <c r="S219" s="393"/>
      <c r="T219" s="397"/>
      <c r="U219" s="393"/>
      <c r="V219" s="394"/>
    </row>
    <row r="220" spans="2:22" x14ac:dyDescent="0.2">
      <c r="B220" s="426">
        <v>45928</v>
      </c>
      <c r="C220" s="394">
        <v>166.33</v>
      </c>
      <c r="D220" s="420">
        <f t="shared" si="6"/>
        <v>1.6997859981656926E-2</v>
      </c>
      <c r="E220" s="394"/>
      <c r="F220" s="418">
        <v>24894.25</v>
      </c>
      <c r="G220" s="420">
        <f t="shared" si="7"/>
        <v>9.7162001565624934E-3</v>
      </c>
      <c r="H220" s="397"/>
      <c r="I220" s="397"/>
      <c r="J220" s="397"/>
      <c r="K220" s="394"/>
      <c r="L220" s="396"/>
      <c r="S220" s="393"/>
      <c r="T220" s="397"/>
      <c r="U220" s="393"/>
      <c r="V220" s="394"/>
    </row>
    <row r="221" spans="2:22" x14ac:dyDescent="0.2">
      <c r="B221" s="426">
        <v>45935</v>
      </c>
      <c r="C221" s="394">
        <v>171.16</v>
      </c>
      <c r="D221" s="420">
        <f t="shared" si="6"/>
        <v>2.9038658089340474E-2</v>
      </c>
      <c r="E221" s="394"/>
      <c r="F221" s="418">
        <v>25285.35</v>
      </c>
      <c r="G221" s="420">
        <f t="shared" si="7"/>
        <v>1.5710455225604214E-2</v>
      </c>
      <c r="H221" s="397"/>
      <c r="I221" s="397"/>
      <c r="J221" s="397"/>
      <c r="K221" s="394"/>
      <c r="L221" s="396"/>
      <c r="S221" s="393"/>
      <c r="T221" s="397"/>
      <c r="U221" s="393"/>
      <c r="V221" s="394"/>
    </row>
    <row r="222" spans="2:22" x14ac:dyDescent="0.2">
      <c r="B222" s="426">
        <v>45942</v>
      </c>
      <c r="C222" s="394">
        <v>170.41</v>
      </c>
      <c r="D222" s="420">
        <f t="shared" si="6"/>
        <v>-4.3818649217106653E-3</v>
      </c>
      <c r="E222" s="394"/>
      <c r="F222" s="418">
        <v>25709.85</v>
      </c>
      <c r="G222" s="420">
        <f t="shared" si="7"/>
        <v>1.6788377459675319E-2</v>
      </c>
      <c r="H222" s="397"/>
      <c r="I222" s="397"/>
      <c r="J222" s="397"/>
      <c r="K222" s="394"/>
      <c r="L222" s="396"/>
      <c r="S222" s="393"/>
      <c r="T222" s="397"/>
      <c r="U222" s="393"/>
      <c r="V222" s="394"/>
    </row>
    <row r="223" spans="2:22" x14ac:dyDescent="0.2">
      <c r="B223" s="426">
        <v>45949</v>
      </c>
      <c r="C223" s="394">
        <v>184.65</v>
      </c>
      <c r="D223" s="420">
        <f t="shared" si="6"/>
        <v>8.3563171175400575E-2</v>
      </c>
      <c r="E223" s="394"/>
      <c r="F223" s="418">
        <v>25795.15</v>
      </c>
      <c r="G223" s="420">
        <f t="shared" si="7"/>
        <v>3.3177945417808274E-3</v>
      </c>
      <c r="H223" s="397"/>
      <c r="I223" s="397"/>
      <c r="J223" s="397"/>
      <c r="K223" s="394"/>
      <c r="L223" s="396"/>
      <c r="S223" s="393"/>
      <c r="T223" s="397"/>
      <c r="U223" s="393"/>
      <c r="V223" s="394"/>
    </row>
    <row r="224" spans="2:22" x14ac:dyDescent="0.2">
      <c r="B224" s="426">
        <v>45956</v>
      </c>
      <c r="C224" s="394">
        <v>179.96</v>
      </c>
      <c r="D224" s="420">
        <f t="shared" si="6"/>
        <v>-2.5399404278364512E-2</v>
      </c>
      <c r="E224" s="394"/>
      <c r="F224" s="418">
        <v>25722.1</v>
      </c>
      <c r="G224" s="420">
        <f t="shared" si="7"/>
        <v>-2.8319277073404203E-3</v>
      </c>
      <c r="H224" s="397"/>
      <c r="I224" s="397"/>
      <c r="J224" s="397"/>
      <c r="K224" s="394"/>
      <c r="L224" s="396"/>
      <c r="S224" s="393"/>
      <c r="T224" s="397"/>
      <c r="U224" s="393"/>
      <c r="V224" s="394"/>
    </row>
    <row r="225" spans="2:22" x14ac:dyDescent="0.2">
      <c r="B225" s="426">
        <v>45963</v>
      </c>
      <c r="C225" s="394">
        <v>174.75</v>
      </c>
      <c r="D225" s="420">
        <f t="shared" si="6"/>
        <v>-2.8950877972882871E-2</v>
      </c>
      <c r="E225" s="394"/>
      <c r="F225" s="418">
        <v>25492.3</v>
      </c>
      <c r="G225" s="420">
        <f t="shared" si="7"/>
        <v>-8.9339517379996014E-3</v>
      </c>
      <c r="H225" s="397"/>
      <c r="I225" s="397"/>
      <c r="J225" s="397"/>
      <c r="K225" s="394"/>
      <c r="L225" s="396"/>
      <c r="S225" s="393"/>
      <c r="T225" s="397"/>
      <c r="U225" s="393"/>
      <c r="V225" s="394"/>
    </row>
    <row r="226" spans="2:22" x14ac:dyDescent="0.2">
      <c r="B226" s="426">
        <v>45970</v>
      </c>
      <c r="C226" s="394">
        <v>174.41</v>
      </c>
      <c r="D226" s="420">
        <f t="shared" si="6"/>
        <v>-1.9456366237482481E-3</v>
      </c>
      <c r="E226" s="394"/>
      <c r="F226" s="418">
        <v>25910.05</v>
      </c>
      <c r="G226" s="420">
        <f t="shared" si="7"/>
        <v>1.6387301263518728E-2</v>
      </c>
      <c r="H226" s="397"/>
      <c r="I226" s="397"/>
      <c r="J226" s="397"/>
      <c r="K226" s="394"/>
      <c r="L226" s="396"/>
      <c r="S226" s="393"/>
      <c r="T226" s="397"/>
      <c r="U226" s="393"/>
      <c r="V226" s="394"/>
    </row>
    <row r="227" spans="2:22" x14ac:dyDescent="0.2">
      <c r="B227" s="426">
        <v>45977</v>
      </c>
      <c r="C227" s="394">
        <v>172.01</v>
      </c>
      <c r="D227" s="420">
        <f t="shared" si="6"/>
        <v>-1.3760678860157083E-2</v>
      </c>
      <c r="E227" s="394"/>
      <c r="F227" s="418">
        <v>26068.15</v>
      </c>
      <c r="G227" s="420">
        <f t="shared" si="7"/>
        <v>6.1018793865701415E-3</v>
      </c>
      <c r="H227" s="397"/>
      <c r="I227" s="397"/>
      <c r="J227" s="397"/>
      <c r="K227" s="394"/>
      <c r="L227" s="396"/>
      <c r="S227" s="393"/>
      <c r="T227" s="397"/>
      <c r="U227" s="393"/>
      <c r="V227" s="394"/>
    </row>
    <row r="228" spans="2:22" x14ac:dyDescent="0.2">
      <c r="B228" s="426">
        <v>45984</v>
      </c>
      <c r="C228" s="394">
        <v>170.48</v>
      </c>
      <c r="D228" s="420">
        <f t="shared" si="6"/>
        <v>-8.8948316958316065E-3</v>
      </c>
      <c r="E228" s="394"/>
      <c r="F228" s="418">
        <v>26202.95</v>
      </c>
      <c r="G228" s="420">
        <f t="shared" si="7"/>
        <v>5.1710612375637233E-3</v>
      </c>
      <c r="H228" s="397"/>
      <c r="I228" s="397"/>
      <c r="J228" s="397"/>
      <c r="K228" s="394"/>
      <c r="L228" s="396"/>
      <c r="S228" s="393"/>
      <c r="T228" s="397"/>
      <c r="U228" s="393"/>
      <c r="V228" s="394"/>
    </row>
    <row r="229" spans="2:22" x14ac:dyDescent="0.2">
      <c r="B229" s="426">
        <v>45991</v>
      </c>
      <c r="C229" s="394">
        <v>174</v>
      </c>
      <c r="D229" s="420">
        <f t="shared" si="6"/>
        <v>2.0647583294228111E-2</v>
      </c>
      <c r="E229" s="394"/>
      <c r="F229" s="418">
        <v>26186.45</v>
      </c>
      <c r="G229" s="420">
        <f t="shared" si="7"/>
        <v>-6.297000910202577E-4</v>
      </c>
      <c r="H229" s="397"/>
      <c r="I229" s="397"/>
      <c r="J229" s="397"/>
      <c r="K229" s="394"/>
      <c r="L229" s="396"/>
      <c r="S229" s="393"/>
      <c r="T229" s="397"/>
      <c r="U229" s="393"/>
      <c r="V229" s="394"/>
    </row>
    <row r="230" spans="2:22" x14ac:dyDescent="0.2">
      <c r="B230" s="426">
        <v>45998</v>
      </c>
      <c r="C230" s="394">
        <v>170.07</v>
      </c>
      <c r="D230" s="420">
        <f t="shared" si="6"/>
        <v>-2.2586206896551775E-2</v>
      </c>
      <c r="E230" s="394"/>
      <c r="F230" s="418">
        <v>26046.95</v>
      </c>
      <c r="G230" s="420">
        <f t="shared" si="7"/>
        <v>-5.3271825696113995E-3</v>
      </c>
      <c r="H230" s="397"/>
      <c r="I230" s="397"/>
      <c r="J230" s="397"/>
      <c r="K230" s="394"/>
      <c r="L230" s="396"/>
      <c r="S230" s="393"/>
      <c r="T230" s="397"/>
      <c r="U230" s="393"/>
      <c r="V230" s="394"/>
    </row>
    <row r="231" spans="2:22" x14ac:dyDescent="0.2">
      <c r="B231" s="426">
        <v>46005</v>
      </c>
      <c r="C231" s="394">
        <v>169.04</v>
      </c>
      <c r="D231" s="420">
        <f t="shared" si="6"/>
        <v>-6.0563297465749955E-3</v>
      </c>
      <c r="E231" s="394"/>
      <c r="F231" s="418">
        <v>25966.400000000001</v>
      </c>
      <c r="G231" s="420">
        <f t="shared" si="7"/>
        <v>-3.0924925951022475E-3</v>
      </c>
      <c r="H231" s="397"/>
      <c r="I231" s="397"/>
      <c r="J231" s="397"/>
      <c r="K231" s="394"/>
      <c r="L231" s="396"/>
      <c r="S231" s="393"/>
      <c r="T231" s="397"/>
      <c r="U231" s="393"/>
      <c r="V231" s="394"/>
    </row>
    <row r="232" spans="2:22" x14ac:dyDescent="0.2">
      <c r="B232" s="426">
        <v>46012</v>
      </c>
      <c r="C232" s="394">
        <v>166.59</v>
      </c>
      <c r="D232" s="420">
        <f t="shared" si="6"/>
        <v>-1.449361097964974E-2</v>
      </c>
      <c r="E232" s="394"/>
      <c r="F232" s="418">
        <v>26042.3</v>
      </c>
      <c r="G232" s="420">
        <f t="shared" si="7"/>
        <v>2.9230081952060782E-3</v>
      </c>
      <c r="H232" s="397"/>
      <c r="I232" s="397"/>
      <c r="J232" s="397"/>
      <c r="K232" s="394"/>
      <c r="L232" s="396"/>
      <c r="S232" s="393"/>
      <c r="T232" s="397"/>
      <c r="U232" s="393"/>
      <c r="V232" s="394"/>
    </row>
    <row r="233" spans="2:22" x14ac:dyDescent="0.2">
      <c r="B233" s="426">
        <v>46019</v>
      </c>
      <c r="C233" s="394">
        <v>175.37</v>
      </c>
      <c r="D233" s="420">
        <f t="shared" si="6"/>
        <v>5.2704243952218066E-2</v>
      </c>
      <c r="E233" s="394"/>
      <c r="F233" s="418">
        <v>26328.55</v>
      </c>
      <c r="G233" s="420">
        <f t="shared" si="7"/>
        <v>1.0991732681061128E-2</v>
      </c>
      <c r="H233" s="397"/>
      <c r="I233" s="397"/>
      <c r="J233" s="397"/>
      <c r="K233" s="394"/>
      <c r="L233" s="396"/>
      <c r="S233" s="393"/>
      <c r="T233" s="397"/>
      <c r="U233" s="393"/>
      <c r="V233" s="394"/>
    </row>
    <row r="234" spans="2:22" x14ac:dyDescent="0.2">
      <c r="B234" s="426">
        <v>46026</v>
      </c>
      <c r="C234" s="394">
        <v>165.47</v>
      </c>
      <c r="D234" s="420">
        <f t="shared" si="6"/>
        <v>-5.645207276044939E-2</v>
      </c>
      <c r="E234" s="394"/>
      <c r="F234" s="418">
        <v>25683.3</v>
      </c>
      <c r="G234" s="420">
        <f t="shared" si="7"/>
        <v>-2.4507616256877029E-2</v>
      </c>
      <c r="H234" s="397"/>
      <c r="I234" s="397"/>
      <c r="J234" s="397"/>
      <c r="K234" s="394"/>
      <c r="L234" s="396"/>
      <c r="S234" s="393"/>
      <c r="T234" s="397"/>
      <c r="U234" s="393"/>
      <c r="V234" s="394"/>
    </row>
    <row r="235" spans="2:22" x14ac:dyDescent="0.2">
      <c r="B235" s="426">
        <v>46033</v>
      </c>
      <c r="C235" s="394">
        <v>155.72999999999999</v>
      </c>
      <c r="D235" s="420">
        <f t="shared" si="6"/>
        <v>-5.8862633710038081E-2</v>
      </c>
      <c r="E235" s="394"/>
      <c r="F235" s="418">
        <v>25694.35</v>
      </c>
      <c r="G235" s="420">
        <f t="shared" si="7"/>
        <v>4.3024066222008273E-4</v>
      </c>
      <c r="H235" s="397"/>
      <c r="I235" s="397"/>
      <c r="J235" s="397"/>
      <c r="K235" s="394"/>
      <c r="L235" s="396"/>
      <c r="S235" s="393"/>
      <c r="T235" s="397"/>
      <c r="U235" s="393"/>
      <c r="V235" s="394"/>
    </row>
    <row r="236" spans="2:22" x14ac:dyDescent="0.2">
      <c r="B236" s="426">
        <v>46040</v>
      </c>
      <c r="C236" s="394">
        <v>140.43</v>
      </c>
      <c r="D236" s="420">
        <f t="shared" si="6"/>
        <v>-9.8246965902523464E-2</v>
      </c>
      <c r="E236" s="394"/>
      <c r="F236" s="418">
        <v>25048.65</v>
      </c>
      <c r="G236" s="420">
        <f t="shared" si="7"/>
        <v>-2.5130038315816394E-2</v>
      </c>
      <c r="H236" s="397"/>
      <c r="I236" s="397"/>
      <c r="J236" s="397"/>
      <c r="K236" s="394"/>
      <c r="L236" s="396"/>
      <c r="S236" s="393"/>
      <c r="T236" s="397"/>
      <c r="U236" s="393"/>
      <c r="V236" s="394"/>
    </row>
    <row r="237" spans="2:22" x14ac:dyDescent="0.2">
      <c r="B237" s="426">
        <v>46047</v>
      </c>
      <c r="C237" s="394">
        <v>150.16</v>
      </c>
      <c r="D237" s="420">
        <f t="shared" si="6"/>
        <v>6.9287189347005507E-2</v>
      </c>
      <c r="E237" s="394"/>
      <c r="F237" s="418">
        <v>25320.65</v>
      </c>
      <c r="G237" s="420">
        <f t="shared" si="7"/>
        <v>1.0858868641623332E-2</v>
      </c>
      <c r="H237" s="397"/>
      <c r="I237" s="397"/>
      <c r="J237" s="397"/>
      <c r="K237" s="394"/>
      <c r="L237" s="396"/>
      <c r="S237" s="393"/>
      <c r="T237" s="397"/>
      <c r="U237" s="393"/>
      <c r="V237" s="394"/>
    </row>
    <row r="238" spans="2:22" x14ac:dyDescent="0.2">
      <c r="B238" s="426">
        <v>46054</v>
      </c>
      <c r="C238" s="394">
        <v>153.91</v>
      </c>
      <c r="D238" s="420">
        <f t="shared" si="6"/>
        <v>2.4973361747469447E-2</v>
      </c>
      <c r="E238" s="394"/>
      <c r="F238" s="418">
        <v>25693.7</v>
      </c>
      <c r="G238" s="420">
        <f t="shared" si="7"/>
        <v>1.4733034104574605E-2</v>
      </c>
      <c r="H238" s="397"/>
      <c r="I238" s="397"/>
      <c r="J238" s="397"/>
      <c r="K238" s="394"/>
      <c r="L238" s="396"/>
      <c r="S238" s="393"/>
      <c r="T238" s="397"/>
      <c r="U238" s="393"/>
      <c r="V238" s="394"/>
    </row>
    <row r="239" spans="2:22" x14ac:dyDescent="0.2">
      <c r="B239" s="426">
        <v>46061</v>
      </c>
      <c r="C239" s="394">
        <v>150.33000000000001</v>
      </c>
      <c r="D239" s="420">
        <f t="shared" si="6"/>
        <v>-2.32603469560132E-2</v>
      </c>
      <c r="E239" s="394"/>
      <c r="F239" s="418">
        <v>25471.1</v>
      </c>
      <c r="G239" s="420">
        <f t="shared" si="7"/>
        <v>-8.6636023616685209E-3</v>
      </c>
      <c r="H239" s="397"/>
      <c r="I239" s="397"/>
      <c r="J239" s="397"/>
      <c r="K239" s="394"/>
      <c r="L239" s="396"/>
      <c r="S239" s="393"/>
      <c r="T239" s="397"/>
      <c r="U239" s="393"/>
      <c r="V239" s="394"/>
    </row>
    <row r="240" spans="2:22" x14ac:dyDescent="0.2">
      <c r="B240" s="426">
        <v>46068</v>
      </c>
      <c r="C240" s="394">
        <v>155.43</v>
      </c>
      <c r="D240" s="420">
        <f t="shared" si="6"/>
        <v>3.3925364198762686E-2</v>
      </c>
      <c r="E240" s="394"/>
      <c r="F240" s="418">
        <v>25571.25</v>
      </c>
      <c r="G240" s="420">
        <f t="shared" si="7"/>
        <v>3.9319071418195684E-3</v>
      </c>
      <c r="H240" s="397"/>
      <c r="I240" s="397"/>
      <c r="J240" s="397"/>
      <c r="K240" s="394"/>
      <c r="L240" s="396"/>
      <c r="S240" s="393"/>
      <c r="T240" s="397"/>
      <c r="U240" s="393"/>
      <c r="V240" s="394"/>
    </row>
    <row r="241" spans="2:22" x14ac:dyDescent="0.2">
      <c r="B241" s="426">
        <v>46075</v>
      </c>
      <c r="C241" s="394">
        <v>158.15</v>
      </c>
      <c r="D241" s="420">
        <f t="shared" si="6"/>
        <v>1.749983915589004E-2</v>
      </c>
      <c r="E241" s="394"/>
      <c r="F241" s="418">
        <v>25178.65</v>
      </c>
      <c r="G241" s="420">
        <f t="shared" si="7"/>
        <v>-1.5353179840641329E-2</v>
      </c>
      <c r="H241" s="397"/>
      <c r="I241" s="397"/>
      <c r="J241" s="397"/>
      <c r="K241" s="394"/>
      <c r="L241" s="396"/>
      <c r="S241" s="393"/>
      <c r="T241" s="397"/>
      <c r="U241" s="393"/>
      <c r="V241" s="394"/>
    </row>
    <row r="242" spans="2:22" x14ac:dyDescent="0.2">
      <c r="B242" s="426">
        <v>46082</v>
      </c>
      <c r="C242" s="394">
        <v>153.57</v>
      </c>
      <c r="D242" s="420">
        <f t="shared" si="6"/>
        <v>-2.8959848245336817E-2</v>
      </c>
      <c r="E242" s="394"/>
      <c r="F242" s="418">
        <v>24450.45</v>
      </c>
      <c r="G242" s="420">
        <f t="shared" si="7"/>
        <v>-2.892132818876314E-2</v>
      </c>
      <c r="H242" s="397"/>
      <c r="I242" s="397"/>
      <c r="J242" s="397"/>
      <c r="K242" s="394"/>
      <c r="L242" s="396"/>
      <c r="S242" s="393"/>
      <c r="T242" s="397"/>
      <c r="U242" s="393"/>
      <c r="V242" s="394"/>
    </row>
    <row r="243" spans="2:22" x14ac:dyDescent="0.2">
      <c r="B243" s="426">
        <v>46089</v>
      </c>
      <c r="C243" s="394">
        <v>159.72999999999999</v>
      </c>
      <c r="D243" s="420">
        <f t="shared" si="6"/>
        <v>4.0112001041870071E-2</v>
      </c>
      <c r="E243" s="394"/>
      <c r="F243" s="418">
        <v>23151.1</v>
      </c>
      <c r="G243" s="420">
        <f t="shared" si="7"/>
        <v>-5.3142171207482991E-2</v>
      </c>
      <c r="H243" s="397"/>
      <c r="I243" s="397"/>
      <c r="J243" s="397"/>
      <c r="K243" s="394"/>
      <c r="L243" s="396"/>
      <c r="S243" s="393"/>
      <c r="T243" s="397"/>
      <c r="U243" s="393"/>
      <c r="V243" s="394"/>
    </row>
    <row r="244" spans="2:22" x14ac:dyDescent="0.2">
      <c r="B244" s="426">
        <v>46096</v>
      </c>
      <c r="C244" s="394">
        <v>152.74</v>
      </c>
      <c r="D244" s="420">
        <f t="shared" si="6"/>
        <v>-4.3761347273523987E-2</v>
      </c>
      <c r="E244" s="394"/>
      <c r="F244" s="418">
        <v>23114.5</v>
      </c>
      <c r="G244" s="420">
        <f t="shared" si="7"/>
        <v>-1.5809184012853805E-3</v>
      </c>
      <c r="H244" s="397"/>
      <c r="I244" s="397"/>
      <c r="J244" s="397"/>
      <c r="K244" s="394"/>
      <c r="L244" s="396"/>
      <c r="S244" s="393"/>
      <c r="T244" s="397"/>
      <c r="U244" s="393"/>
      <c r="V244" s="394"/>
    </row>
    <row r="245" spans="2:22" x14ac:dyDescent="0.2">
      <c r="B245" s="426">
        <v>46103</v>
      </c>
      <c r="C245" s="394">
        <v>151.19</v>
      </c>
      <c r="D245" s="420">
        <f t="shared" si="6"/>
        <v>-1.0147963860154596E-2</v>
      </c>
      <c r="E245" s="394"/>
      <c r="F245" s="418">
        <v>22819.599999999999</v>
      </c>
      <c r="G245" s="420">
        <f t="shared" si="7"/>
        <v>-1.275822535637805E-2</v>
      </c>
      <c r="H245" s="397"/>
      <c r="I245" s="397"/>
      <c r="J245" s="397"/>
      <c r="K245" s="394"/>
      <c r="L245" s="396"/>
      <c r="S245" s="393"/>
      <c r="T245" s="397"/>
      <c r="U245" s="393"/>
      <c r="V245" s="394"/>
    </row>
    <row r="246" spans="2:22" x14ac:dyDescent="0.2">
      <c r="B246" s="426">
        <v>46110</v>
      </c>
      <c r="C246" s="394">
        <v>153.25</v>
      </c>
      <c r="D246" s="420">
        <f t="shared" si="6"/>
        <v>1.3625239764534669E-2</v>
      </c>
      <c r="E246" s="394"/>
      <c r="F246" s="418">
        <v>22713.1</v>
      </c>
      <c r="G246" s="420">
        <f t="shared" si="7"/>
        <v>-4.6670406142088616E-3</v>
      </c>
      <c r="H246" s="397"/>
      <c r="I246" s="397"/>
      <c r="J246" s="397"/>
      <c r="K246" s="394"/>
      <c r="L246" s="396"/>
      <c r="S246" s="393"/>
      <c r="T246" s="397"/>
      <c r="U246" s="393"/>
      <c r="V246" s="394"/>
    </row>
    <row r="247" spans="2:22" x14ac:dyDescent="0.2">
      <c r="B247" s="426">
        <v>46117</v>
      </c>
      <c r="C247" s="394">
        <v>157.52000000000001</v>
      </c>
      <c r="D247" s="420">
        <f t="shared" si="6"/>
        <v>2.7862969004893934E-2</v>
      </c>
      <c r="E247" s="394"/>
      <c r="F247" s="418">
        <v>24050.6</v>
      </c>
      <c r="G247" s="420">
        <f t="shared" si="7"/>
        <v>5.8886721759689342E-2</v>
      </c>
      <c r="H247" s="397"/>
      <c r="I247" s="397"/>
      <c r="J247" s="397"/>
      <c r="K247" s="394"/>
      <c r="L247" s="396"/>
      <c r="S247" s="393"/>
      <c r="T247" s="397"/>
      <c r="U247" s="393"/>
      <c r="V247" s="394"/>
    </row>
    <row r="248" spans="2:22" x14ac:dyDescent="0.2">
      <c r="B248" s="426">
        <v>46124</v>
      </c>
      <c r="C248" s="394">
        <v>171.49</v>
      </c>
      <c r="D248" s="420">
        <f t="shared" si="6"/>
        <v>8.8687150837988726E-2</v>
      </c>
      <c r="E248" s="394"/>
      <c r="F248" s="418">
        <v>24353.55</v>
      </c>
      <c r="G248" s="420">
        <f t="shared" si="7"/>
        <v>1.2596359342386565E-2</v>
      </c>
      <c r="H248" s="397"/>
      <c r="I248" s="397"/>
      <c r="J248" s="397"/>
      <c r="K248" s="394"/>
      <c r="L248" s="396"/>
      <c r="S248" s="393"/>
      <c r="T248" s="397"/>
      <c r="U248" s="393"/>
      <c r="V248" s="394"/>
    </row>
    <row r="249" spans="2:22" x14ac:dyDescent="0.2">
      <c r="B249" s="426">
        <v>46131</v>
      </c>
      <c r="C249" s="394">
        <v>180.58</v>
      </c>
      <c r="D249" s="420">
        <f t="shared" si="6"/>
        <v>5.3006006181118392E-2</v>
      </c>
      <c r="E249" s="394"/>
      <c r="F249" s="418">
        <v>23897.95</v>
      </c>
      <c r="G249" s="420">
        <f t="shared" si="7"/>
        <v>-1.8707744866764742E-2</v>
      </c>
      <c r="H249" s="397"/>
      <c r="I249" s="397"/>
      <c r="J249" s="397"/>
      <c r="K249" s="394"/>
      <c r="L249" s="396"/>
      <c r="S249" s="393"/>
      <c r="T249" s="397"/>
      <c r="U249" s="393"/>
      <c r="V249" s="394"/>
    </row>
    <row r="250" spans="2:22" x14ac:dyDescent="0.2">
      <c r="B250" s="426">
        <v>46138</v>
      </c>
      <c r="C250" s="394">
        <v>187.53</v>
      </c>
      <c r="D250" s="420">
        <f t="shared" si="6"/>
        <v>3.8487097131465253E-2</v>
      </c>
      <c r="E250" s="394"/>
      <c r="F250" s="418">
        <v>23997.55</v>
      </c>
      <c r="G250" s="420">
        <f t="shared" si="7"/>
        <v>4.167721499124255E-3</v>
      </c>
      <c r="H250" s="397"/>
      <c r="I250" s="397"/>
      <c r="J250" s="397"/>
      <c r="K250" s="394"/>
      <c r="L250" s="396"/>
      <c r="S250" s="393"/>
      <c r="T250" s="397"/>
      <c r="U250" s="393"/>
      <c r="V250" s="394"/>
    </row>
    <row r="251" spans="2:22" x14ac:dyDescent="0.2">
      <c r="B251" s="426">
        <v>46145</v>
      </c>
      <c r="C251" s="394">
        <v>184.41</v>
      </c>
      <c r="D251" s="420">
        <f t="shared" si="6"/>
        <v>-1.6637338025915827E-2</v>
      </c>
      <c r="E251" s="394"/>
      <c r="F251" s="418">
        <v>24176.15</v>
      </c>
      <c r="G251" s="420">
        <f t="shared" si="7"/>
        <v>7.4424264143633234E-3</v>
      </c>
      <c r="H251" s="397"/>
      <c r="I251" s="397"/>
      <c r="J251" s="397"/>
      <c r="K251" s="394"/>
      <c r="L251" s="396"/>
      <c r="S251" s="393"/>
      <c r="T251" s="397"/>
      <c r="U251" s="393"/>
      <c r="V251" s="394"/>
    </row>
    <row r="252" spans="2:22" x14ac:dyDescent="0.2">
      <c r="B252" s="426">
        <v>46152</v>
      </c>
      <c r="C252" s="394">
        <v>180.09</v>
      </c>
      <c r="D252" s="420">
        <f t="shared" si="6"/>
        <v>-2.3426061493411421E-2</v>
      </c>
      <c r="E252" s="394"/>
      <c r="F252" s="418">
        <v>23643.5</v>
      </c>
      <c r="G252" s="420">
        <f t="shared" si="7"/>
        <v>-2.2032043977225579E-2</v>
      </c>
      <c r="H252" s="397"/>
      <c r="I252" s="397"/>
      <c r="J252" s="397"/>
      <c r="K252" s="394"/>
      <c r="L252" s="396"/>
      <c r="S252" s="393"/>
      <c r="T252" s="397"/>
      <c r="U252" s="393"/>
      <c r="V252" s="394"/>
    </row>
    <row r="253" spans="2:22" x14ac:dyDescent="0.2">
      <c r="B253" s="426">
        <v>46159</v>
      </c>
      <c r="C253" s="394">
        <v>177.22</v>
      </c>
      <c r="D253" s="420">
        <f t="shared" si="6"/>
        <v>-1.593647620634131E-2</v>
      </c>
      <c r="E253" s="394"/>
      <c r="F253" s="418">
        <v>23719.3</v>
      </c>
      <c r="G253" s="420">
        <f t="shared" si="7"/>
        <v>3.2059551250871454E-3</v>
      </c>
      <c r="H253" s="397"/>
      <c r="I253" s="397"/>
      <c r="J253" s="397"/>
      <c r="K253" s="394"/>
      <c r="L253" s="396"/>
      <c r="S253" s="393"/>
      <c r="T253" s="397"/>
      <c r="U253" s="393"/>
      <c r="V253" s="394"/>
    </row>
    <row r="254" spans="2:22" x14ac:dyDescent="0.2">
      <c r="B254" s="426">
        <v>46166</v>
      </c>
      <c r="C254" s="394">
        <v>182.09</v>
      </c>
      <c r="D254" s="420">
        <f t="shared" si="6"/>
        <v>2.7479968400857757E-2</v>
      </c>
      <c r="E254" s="394"/>
      <c r="F254" s="418">
        <v>23547.75</v>
      </c>
      <c r="G254" s="420">
        <f t="shared" si="7"/>
        <v>-7.2325068615008981E-3</v>
      </c>
      <c r="H254" s="397"/>
      <c r="I254" s="397"/>
      <c r="J254" s="397"/>
      <c r="K254" s="394"/>
      <c r="L254" s="396"/>
      <c r="S254" s="393"/>
      <c r="T254" s="397"/>
      <c r="U254" s="393"/>
      <c r="V254" s="394"/>
    </row>
    <row r="255" spans="2:22" x14ac:dyDescent="0.2">
      <c r="B255" s="426">
        <v>46173</v>
      </c>
      <c r="C255" s="394">
        <v>178.61</v>
      </c>
      <c r="D255" s="420">
        <f t="shared" si="6"/>
        <v>-1.9111428414520182E-2</v>
      </c>
      <c r="E255" s="394"/>
      <c r="F255" s="418">
        <v>23366.7</v>
      </c>
      <c r="G255" s="420">
        <f t="shared" si="7"/>
        <v>-7.6886326719113329E-3</v>
      </c>
      <c r="H255" s="397"/>
      <c r="I255" s="397"/>
      <c r="J255" s="397"/>
      <c r="K255" s="394"/>
      <c r="L255" s="396"/>
      <c r="S255" s="393"/>
      <c r="T255" s="397"/>
      <c r="U255" s="393"/>
      <c r="V255" s="394"/>
    </row>
    <row r="256" spans="2:22" x14ac:dyDescent="0.2">
      <c r="B256" s="426">
        <v>46180</v>
      </c>
      <c r="C256" s="394">
        <v>168.15</v>
      </c>
      <c r="D256" s="420">
        <f t="shared" si="6"/>
        <v>-5.8563350316331753E-2</v>
      </c>
      <c r="E256" s="394"/>
      <c r="F256" s="418">
        <v>23622.9</v>
      </c>
      <c r="G256" s="420">
        <f t="shared" si="7"/>
        <v>1.0964321020940027E-2</v>
      </c>
      <c r="H256" s="397"/>
      <c r="I256" s="397"/>
      <c r="J256" s="397"/>
      <c r="K256" s="394"/>
      <c r="L256" s="396"/>
      <c r="S256" s="393"/>
      <c r="T256" s="397"/>
      <c r="U256" s="393"/>
      <c r="V256" s="394"/>
    </row>
    <row r="257" spans="2:22" x14ac:dyDescent="0.2">
      <c r="B257" s="426">
        <v>46187</v>
      </c>
      <c r="C257" s="394">
        <v>168.9</v>
      </c>
      <c r="D257" s="420">
        <f t="shared" si="6"/>
        <v>4.4603033006245241E-3</v>
      </c>
      <c r="E257" s="394"/>
      <c r="F257" s="418">
        <v>24013.1</v>
      </c>
      <c r="G257" s="420">
        <f t="shared" si="7"/>
        <v>1.6517870371546062E-2</v>
      </c>
      <c r="H257" s="397"/>
      <c r="I257" s="397"/>
      <c r="J257" s="397"/>
      <c r="K257" s="394"/>
      <c r="L257" s="396"/>
      <c r="S257" s="393"/>
      <c r="T257" s="397"/>
      <c r="U257" s="393"/>
      <c r="V257" s="394"/>
    </row>
    <row r="258" spans="2:22" x14ac:dyDescent="0.2">
      <c r="B258" s="426">
        <v>46194</v>
      </c>
      <c r="C258" s="394">
        <v>168.03</v>
      </c>
      <c r="D258" s="420">
        <f t="shared" si="6"/>
        <v>-5.1509769094139068E-3</v>
      </c>
      <c r="E258" s="394"/>
      <c r="F258" s="418">
        <v>24056</v>
      </c>
      <c r="G258" s="420">
        <f t="shared" si="7"/>
        <v>1.7865248551833801E-3</v>
      </c>
      <c r="H258" s="397"/>
      <c r="I258" s="397"/>
      <c r="J258" s="397"/>
      <c r="K258" s="394"/>
      <c r="L258" s="396"/>
      <c r="S258" s="393"/>
      <c r="T258" s="397"/>
      <c r="U258" s="393"/>
      <c r="V258" s="394"/>
    </row>
    <row r="259" spans="2:22" x14ac:dyDescent="0.2">
      <c r="B259" s="426">
        <v>46201</v>
      </c>
      <c r="C259" s="394">
        <v>169.7</v>
      </c>
      <c r="D259" s="420">
        <f t="shared" si="6"/>
        <v>9.9387014223650816E-3</v>
      </c>
      <c r="E259" s="394"/>
      <c r="F259" s="418">
        <v>24270.85</v>
      </c>
      <c r="G259" s="420">
        <f t="shared" si="7"/>
        <v>8.9312437645492349E-3</v>
      </c>
      <c r="H259" s="397"/>
      <c r="I259" s="397"/>
      <c r="J259" s="397"/>
      <c r="K259" s="394"/>
      <c r="L259" s="396"/>
      <c r="S259" s="393"/>
      <c r="T259" s="397"/>
      <c r="U259" s="393"/>
      <c r="V259" s="394"/>
    </row>
    <row r="260" spans="2:22" x14ac:dyDescent="0.2">
      <c r="B260" s="426">
        <v>46208</v>
      </c>
      <c r="C260" s="394">
        <v>163.93</v>
      </c>
      <c r="D260" s="420">
        <f t="shared" si="6"/>
        <v>-3.4001178550382871E-2</v>
      </c>
      <c r="E260" s="394"/>
      <c r="F260" s="418">
        <v>24206.9</v>
      </c>
      <c r="G260" s="420">
        <f t="shared" si="7"/>
        <v>-2.6348479760699428E-3</v>
      </c>
      <c r="H260" s="397"/>
      <c r="I260" s="397"/>
      <c r="J260" s="397"/>
      <c r="K260" s="394"/>
      <c r="L260" s="396"/>
      <c r="S260" s="393"/>
      <c r="T260" s="397"/>
      <c r="U260" s="393"/>
      <c r="V260" s="394"/>
    </row>
    <row r="261" spans="2:22" x14ac:dyDescent="0.2">
      <c r="B261" s="426">
        <v>46215</v>
      </c>
      <c r="C261" s="394">
        <v>165.1</v>
      </c>
      <c r="D261" s="420">
        <f t="shared" si="6"/>
        <v>7.1371927042029881E-3</v>
      </c>
      <c r="E261" s="394"/>
      <c r="F261" s="418">
        <v>24334.3</v>
      </c>
      <c r="G261" s="420">
        <f t="shared" si="7"/>
        <v>5.262962213253175E-3</v>
      </c>
      <c r="H261" s="397"/>
      <c r="I261" s="397"/>
      <c r="J261" s="397"/>
      <c r="K261" s="394"/>
      <c r="L261" s="396"/>
      <c r="S261" s="393"/>
      <c r="T261" s="397"/>
      <c r="U261" s="393"/>
      <c r="V261" s="394"/>
    </row>
    <row r="262" spans="2:22" x14ac:dyDescent="0.2">
      <c r="B262" s="426">
        <v>46222</v>
      </c>
      <c r="C262" s="394">
        <v>163.18</v>
      </c>
      <c r="D262" s="420">
        <f t="shared" si="6"/>
        <v>-1.1629315566323406E-2</v>
      </c>
      <c r="E262" s="394"/>
      <c r="F262" s="418">
        <v>23767.45</v>
      </c>
      <c r="G262" s="420">
        <f t="shared" si="7"/>
        <v>-2.3294280090242925E-2</v>
      </c>
      <c r="H262" s="397"/>
      <c r="I262" s="397"/>
      <c r="J262" s="397"/>
      <c r="K262" s="394"/>
      <c r="L262" s="396"/>
      <c r="S262" s="393"/>
      <c r="T262" s="397"/>
      <c r="U262" s="393"/>
      <c r="V262" s="394"/>
    </row>
    <row r="263" spans="2:22" x14ac:dyDescent="0.2">
      <c r="B263" s="426">
        <v>46229</v>
      </c>
      <c r="C263" s="394">
        <v>165.57</v>
      </c>
      <c r="D263" s="420">
        <f t="shared" si="6"/>
        <v>1.4646402745434495E-2</v>
      </c>
      <c r="E263" s="394"/>
      <c r="F263" s="418">
        <v>24383.599999999999</v>
      </c>
      <c r="G263" s="420">
        <f t="shared" si="7"/>
        <v>2.5924110495656683E-2</v>
      </c>
      <c r="H263" s="397"/>
      <c r="I263" s="397"/>
      <c r="J263" s="397"/>
      <c r="K263" s="394"/>
      <c r="L263" s="396"/>
      <c r="S263" s="393"/>
      <c r="T263" s="397"/>
      <c r="U263" s="393"/>
      <c r="V263" s="394"/>
    </row>
    <row r="264" spans="2:22" x14ac:dyDescent="0.2">
      <c r="B264" s="426">
        <v>46236</v>
      </c>
      <c r="C264" s="394">
        <v>163.94</v>
      </c>
      <c r="D264" s="420">
        <f t="shared" si="6"/>
        <v>-9.8447786434739948E-3</v>
      </c>
      <c r="E264" s="394"/>
      <c r="F264" s="418">
        <v>24570.65</v>
      </c>
      <c r="G264" s="420">
        <f t="shared" si="7"/>
        <v>7.6711396184321323E-3</v>
      </c>
      <c r="H264" s="397"/>
      <c r="I264" s="397"/>
      <c r="J264" s="397"/>
      <c r="K264" s="394"/>
      <c r="L264" s="396"/>
      <c r="S264" s="393"/>
      <c r="T264" s="397"/>
      <c r="U264" s="393"/>
      <c r="V264" s="394"/>
    </row>
    <row r="265" spans="2:22" x14ac:dyDescent="0.2">
      <c r="B265" s="426">
        <v>46243</v>
      </c>
      <c r="C265" s="394">
        <v>167.83</v>
      </c>
      <c r="D265" s="420">
        <f t="shared" si="6"/>
        <v>2.372819324142994E-2</v>
      </c>
      <c r="E265" s="394"/>
      <c r="F265" s="418">
        <v>24366</v>
      </c>
      <c r="G265" s="420">
        <f t="shared" si="7"/>
        <v>-8.3290429842108882E-3</v>
      </c>
      <c r="H265" s="397"/>
      <c r="I265" s="397"/>
      <c r="J265" s="397"/>
      <c r="K265" s="394"/>
      <c r="L265" s="396"/>
      <c r="S265" s="393"/>
      <c r="T265" s="397"/>
      <c r="U265" s="393"/>
      <c r="V265" s="394"/>
    </row>
    <row r="266" spans="2:22" x14ac:dyDescent="0.2">
      <c r="B266" s="426">
        <v>46250</v>
      </c>
      <c r="C266" s="394">
        <v>155.09</v>
      </c>
      <c r="D266" s="420">
        <f t="shared" si="6"/>
        <v>-7.5910147172734366E-2</v>
      </c>
      <c r="E266" s="394"/>
      <c r="F266" s="418">
        <v>24252</v>
      </c>
      <c r="G266" s="420">
        <f t="shared" si="7"/>
        <v>-4.6786505786752253E-3</v>
      </c>
      <c r="H266" s="397"/>
      <c r="I266" s="397"/>
      <c r="J266" s="397"/>
      <c r="K266" s="394"/>
      <c r="L266" s="396"/>
      <c r="S266" s="393"/>
      <c r="T266" s="397"/>
      <c r="U266" s="393"/>
      <c r="V266" s="394"/>
    </row>
    <row r="267" spans="2:22" x14ac:dyDescent="0.2">
      <c r="B267" s="426">
        <v>46257</v>
      </c>
      <c r="C267" s="394">
        <v>148.11000000000001</v>
      </c>
      <c r="D267" s="420">
        <f t="shared" ref="D267:D270" si="8">C267/C266-1</f>
        <v>-4.500612547553029E-2</v>
      </c>
      <c r="E267" s="394"/>
      <c r="F267" s="418">
        <v>24175.65</v>
      </c>
      <c r="G267" s="420">
        <f t="shared" si="7"/>
        <v>-3.1481939633843936E-3</v>
      </c>
      <c r="H267" s="397"/>
      <c r="I267" s="397"/>
      <c r="J267" s="397"/>
      <c r="K267" s="394"/>
      <c r="L267" s="396"/>
      <c r="S267" s="393"/>
      <c r="T267" s="397"/>
      <c r="U267" s="393"/>
      <c r="V267" s="394"/>
    </row>
    <row r="268" spans="2:22" x14ac:dyDescent="0.2">
      <c r="B268" s="426">
        <v>46264</v>
      </c>
      <c r="C268" s="394">
        <v>146.5</v>
      </c>
      <c r="D268" s="420">
        <f t="shared" si="8"/>
        <v>-1.0870299102018866E-2</v>
      </c>
      <c r="E268" s="394"/>
      <c r="F268" s="418">
        <v>23897.7</v>
      </c>
      <c r="G268" s="420">
        <f t="shared" ref="G268:G270" si="9">F268/F267-1</f>
        <v>-1.1497105558692322E-2</v>
      </c>
      <c r="H268" s="397"/>
      <c r="I268" s="397"/>
      <c r="J268" s="397"/>
      <c r="K268" s="394"/>
      <c r="L268" s="396"/>
      <c r="S268" s="393"/>
      <c r="T268" s="397"/>
      <c r="U268" s="393"/>
      <c r="V268" s="394"/>
    </row>
    <row r="269" spans="2:22" x14ac:dyDescent="0.2">
      <c r="B269" s="426">
        <v>46271</v>
      </c>
      <c r="C269" s="394">
        <v>145.37</v>
      </c>
      <c r="D269" s="420">
        <f t="shared" si="8"/>
        <v>-7.7133105802047464E-3</v>
      </c>
      <c r="E269" s="394"/>
      <c r="F269" s="418">
        <v>23398.1</v>
      </c>
      <c r="G269" s="420">
        <f t="shared" si="9"/>
        <v>-2.0905777543445692E-2</v>
      </c>
      <c r="H269" s="397"/>
      <c r="I269" s="397"/>
      <c r="J269" s="397"/>
      <c r="K269" s="394"/>
      <c r="L269" s="396"/>
      <c r="S269" s="393"/>
      <c r="T269" s="397"/>
      <c r="U269" s="393"/>
      <c r="V269" s="394"/>
    </row>
    <row r="270" spans="2:22" x14ac:dyDescent="0.2">
      <c r="B270" s="427">
        <v>46278</v>
      </c>
      <c r="C270" s="428">
        <v>141.69999999999999</v>
      </c>
      <c r="D270" s="422">
        <f t="shared" si="8"/>
        <v>-2.5245924193437519E-2</v>
      </c>
      <c r="E270" s="394"/>
      <c r="F270" s="421">
        <v>23118.6</v>
      </c>
      <c r="G270" s="422">
        <f t="shared" si="9"/>
        <v>-1.1945414371252405E-2</v>
      </c>
      <c r="H270" s="397"/>
      <c r="I270" s="397"/>
      <c r="J270" s="397"/>
      <c r="S270" s="393"/>
      <c r="T270" s="397"/>
      <c r="U270" s="393"/>
      <c r="V270" s="394"/>
    </row>
    <row r="273" customFormat="1" x14ac:dyDescent="0.2"/>
    <row r="274" customFormat="1" x14ac:dyDescent="0.2"/>
    <row r="275" customFormat="1" x14ac:dyDescent="0.2"/>
  </sheetData>
  <pageMargins left="0.7" right="0.7" top="0.75" bottom="0.75" header="0.3" footer="0.3"/>
  <pageSetup paperSize="9" scale="46" orientation="portrait" horizontalDpi="0" verticalDpi="0"/>
  <rowBreaks count="1" manualBreakCount="1">
    <brk id="39"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27</vt:i4>
      </vt:variant>
      <vt:variant>
        <vt:lpstr>Named Ranges</vt:lpstr>
      </vt:variant>
      <vt:variant>
        <vt:i4>7</vt:i4>
      </vt:variant>
    </vt:vector>
  </HeadingPairs>
  <TitlesOfParts>
    <vt:vector size="34" baseType="lpstr">
      <vt:lpstr>Cover</vt:lpstr>
      <vt:lpstr>Data &amp; Assumption &gt;&gt;</vt:lpstr>
      <vt:lpstr>Historical Data</vt:lpstr>
      <vt:lpstr>Assumptions</vt:lpstr>
      <vt:lpstr>Comp Data</vt:lpstr>
      <vt:lpstr>Model &gt;&gt;</vt:lpstr>
      <vt:lpstr>Scenarios</vt:lpstr>
      <vt:lpstr>Model</vt:lpstr>
      <vt:lpstr>DCF&gt;&gt;</vt:lpstr>
      <vt:lpstr>WACC</vt:lpstr>
      <vt:lpstr>Beta</vt:lpstr>
      <vt:lpstr>Rm</vt:lpstr>
      <vt:lpstr>Intrinsic Growth</vt:lpstr>
      <vt:lpstr>DCF</vt:lpstr>
      <vt:lpstr>Relative Valuation&gt;&gt;</vt:lpstr>
      <vt:lpstr>Comp Valuation</vt:lpstr>
      <vt:lpstr>Analysis&gt;&gt;</vt:lpstr>
      <vt:lpstr>Ratio Analysis</vt:lpstr>
      <vt:lpstr>Common Size Analysis</vt:lpstr>
      <vt:lpstr>Football Field</vt:lpstr>
      <vt:lpstr>VaR</vt:lpstr>
      <vt:lpstr>Comps Beta&gt;&gt;</vt:lpstr>
      <vt:lpstr>NTPC</vt:lpstr>
      <vt:lpstr>Tata Power</vt:lpstr>
      <vt:lpstr>JSW Energy</vt:lpstr>
      <vt:lpstr>Torrent Power</vt:lpstr>
      <vt:lpstr>CESE</vt:lpstr>
      <vt:lpstr>Assumptions!Print_Area</vt:lpstr>
      <vt:lpstr>'Common Size Analysis'!Print_Area</vt:lpstr>
      <vt:lpstr>'Comp Data'!Print_Area</vt:lpstr>
      <vt:lpstr>Cover!Print_Area</vt:lpstr>
      <vt:lpstr>'Historical Data'!Print_Area</vt:lpstr>
      <vt:lpstr>Model!Print_Area</vt:lpstr>
      <vt:lpstr>Rm!Print_Area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Aryan IPM 2024-29 Batch</dc:creator>
  <cp:lastModifiedBy>Harsh Aryan IPM 2024-29 Batch</cp:lastModifiedBy>
  <cp:lastPrinted>2026-09-26T19:11:48Z</cp:lastPrinted>
  <dcterms:created xsi:type="dcterms:W3CDTF">2026-07-14T06:16:51Z</dcterms:created>
  <dcterms:modified xsi:type="dcterms:W3CDTF">2026-09-28T06:55:47Z</dcterms:modified>
</cp:coreProperties>
</file>