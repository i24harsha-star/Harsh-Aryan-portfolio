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sharyan/Files/Work/Linkedin/CFA Learning/Income Quality of Large Cap Chemicals &amp; Petrochemicals Companies/"/>
    </mc:Choice>
  </mc:AlternateContent>
  <xr:revisionPtr revIDLastSave="0" documentId="13_ncr:1_{3BF27906-0C1B-0B47-930A-2580F7B5A6A0}" xr6:coauthVersionLast="47" xr6:coauthVersionMax="47" xr10:uidLastSave="{00000000-0000-0000-0000-000000000000}"/>
  <bookViews>
    <workbookView xWindow="0" yWindow="660" windowWidth="29400" windowHeight="18460" xr2:uid="{2CD87695-5F89-2B41-BEA5-81690EB5B19D}"/>
  </bookViews>
  <sheets>
    <sheet name="Top 5 Companies" sheetId="2" r:id="rId1"/>
    <sheet name="Bottom 5 Compani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  <c r="E36" i="1"/>
  <c r="F36" i="1"/>
  <c r="C36" i="1"/>
  <c r="N36" i="2"/>
  <c r="M36" i="2"/>
  <c r="L36" i="2"/>
  <c r="K36" i="2"/>
  <c r="J36" i="2"/>
  <c r="I36" i="2"/>
  <c r="H36" i="2"/>
  <c r="G36" i="2"/>
  <c r="N29" i="2"/>
  <c r="M29" i="2"/>
  <c r="L29" i="2"/>
  <c r="K29" i="2"/>
  <c r="J29" i="2"/>
  <c r="I29" i="2"/>
  <c r="H29" i="2"/>
  <c r="G29" i="2"/>
  <c r="F29" i="2"/>
  <c r="E29" i="2"/>
  <c r="D29" i="2"/>
  <c r="C29" i="2"/>
  <c r="Q27" i="2" s="1"/>
  <c r="N22" i="2"/>
  <c r="M22" i="2"/>
  <c r="L22" i="2"/>
  <c r="K22" i="2"/>
  <c r="J22" i="2"/>
  <c r="I22" i="2"/>
  <c r="H22" i="2"/>
  <c r="G22" i="2"/>
  <c r="Q20" i="2" s="1"/>
  <c r="F22" i="2"/>
  <c r="E22" i="2"/>
  <c r="D22" i="2"/>
  <c r="C22" i="2"/>
  <c r="N15" i="2"/>
  <c r="M15" i="2"/>
  <c r="L15" i="2"/>
  <c r="K15" i="2"/>
  <c r="J15" i="2"/>
  <c r="I15" i="2"/>
  <c r="H15" i="2"/>
  <c r="G15" i="2"/>
  <c r="F15" i="2"/>
  <c r="E15" i="2"/>
  <c r="D15" i="2"/>
  <c r="Q12" i="2" s="1"/>
  <c r="C15" i="2"/>
  <c r="N8" i="2"/>
  <c r="M8" i="2"/>
  <c r="L8" i="2"/>
  <c r="K8" i="2"/>
  <c r="J8" i="2"/>
  <c r="I8" i="2"/>
  <c r="H8" i="2"/>
  <c r="G8" i="2"/>
  <c r="F8" i="2"/>
  <c r="E8" i="2"/>
  <c r="D8" i="2"/>
  <c r="C8" i="2"/>
  <c r="N36" i="1"/>
  <c r="M36" i="1"/>
  <c r="L36" i="1"/>
  <c r="K36" i="1"/>
  <c r="J36" i="1"/>
  <c r="I36" i="1"/>
  <c r="H36" i="1"/>
  <c r="G36" i="1"/>
  <c r="N29" i="1"/>
  <c r="M29" i="1"/>
  <c r="L29" i="1"/>
  <c r="K29" i="1"/>
  <c r="J29" i="1"/>
  <c r="I29" i="1"/>
  <c r="H29" i="1"/>
  <c r="G29" i="1"/>
  <c r="F29" i="1"/>
  <c r="E29" i="1"/>
  <c r="D29" i="1"/>
  <c r="C29" i="1"/>
  <c r="N22" i="1"/>
  <c r="M22" i="1"/>
  <c r="L22" i="1"/>
  <c r="K22" i="1"/>
  <c r="J22" i="1"/>
  <c r="I22" i="1"/>
  <c r="H22" i="1"/>
  <c r="G22" i="1"/>
  <c r="F22" i="1"/>
  <c r="E22" i="1"/>
  <c r="D22" i="1"/>
  <c r="C22" i="1"/>
  <c r="N15" i="1"/>
  <c r="M15" i="1"/>
  <c r="L15" i="1"/>
  <c r="K15" i="1"/>
  <c r="J15" i="1"/>
  <c r="I15" i="1"/>
  <c r="H15" i="1"/>
  <c r="G15" i="1"/>
  <c r="F15" i="1"/>
  <c r="E15" i="1"/>
  <c r="D15" i="1"/>
  <c r="C15" i="1"/>
  <c r="D8" i="1"/>
  <c r="E8" i="1"/>
  <c r="F8" i="1"/>
  <c r="G8" i="1"/>
  <c r="H8" i="1"/>
  <c r="I8" i="1"/>
  <c r="J8" i="1"/>
  <c r="K8" i="1"/>
  <c r="L8" i="1"/>
  <c r="M8" i="1"/>
  <c r="N8" i="1"/>
  <c r="C8" i="1"/>
  <c r="Q19" i="2" l="1"/>
  <c r="Q21" i="2" s="1"/>
  <c r="Q34" i="2"/>
  <c r="Q12" i="1"/>
  <c r="Q13" i="2"/>
  <c r="Q5" i="2"/>
  <c r="Q26" i="1"/>
  <c r="Q20" i="1"/>
  <c r="Q14" i="2"/>
  <c r="Q33" i="2"/>
  <c r="Q6" i="2"/>
  <c r="Q26" i="2"/>
  <c r="Q28" i="2" s="1"/>
  <c r="Q34" i="1"/>
  <c r="Q33" i="1"/>
  <c r="Q27" i="1"/>
  <c r="Q28" i="1" s="1"/>
  <c r="Q19" i="1"/>
  <c r="Q13" i="1"/>
  <c r="Q14" i="1" s="1"/>
  <c r="Q6" i="1"/>
  <c r="Q5" i="1"/>
  <c r="Q7" i="2" l="1"/>
  <c r="Q35" i="2"/>
  <c r="Q21" i="1"/>
  <c r="Q35" i="1"/>
  <c r="Q7" i="1"/>
</calcChain>
</file>

<file path=xl/sharedStrings.xml><?xml version="1.0" encoding="utf-8"?>
<sst xmlns="http://schemas.openxmlformats.org/spreadsheetml/2006/main" count="82" uniqueCount="17">
  <si>
    <t>Pidilite Industries Ltd</t>
  </si>
  <si>
    <t>Net Profit</t>
  </si>
  <si>
    <t>CFO</t>
  </si>
  <si>
    <t>NP/CFO</t>
  </si>
  <si>
    <t>Average</t>
  </si>
  <si>
    <t>Median</t>
  </si>
  <si>
    <t>Difference</t>
  </si>
  <si>
    <t>Solar Industries India Ltd</t>
  </si>
  <si>
    <t>SRF Ltd</t>
  </si>
  <si>
    <t>Linde India Ltd</t>
  </si>
  <si>
    <t>Gujarat Fluorochemicals Ltd</t>
  </si>
  <si>
    <t>-</t>
  </si>
  <si>
    <t>Transpek Industry Ltd</t>
  </si>
  <si>
    <t>Bodal Chemicals Ltd</t>
  </si>
  <si>
    <t>POCL Enterprises Ltd</t>
  </si>
  <si>
    <t>DMCC Speciality Chemicals Ltd</t>
  </si>
  <si>
    <t>Tuticorin Alkali Chemicals &amp; Fertilizers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</si>
</sst>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22222F"/>
      <name val="Arial"/>
      <family val="2"/>
    </font>
    <font>
      <sz val="11"/>
      <color rgb="FF22222F"/>
      <name val="Arial"/>
      <family val="2"/>
    </font>
    <font>
      <b/>
      <sz val="14"/>
      <color theme="0"/>
      <name val="Calibri"/>
      <family val="2"/>
    </font>
    <font>
      <sz val="14"/>
      <color theme="0"/>
      <name val="Calibri"/>
      <family val="2"/>
    </font>
    <font>
      <i/>
      <sz val="16"/>
      <color rgb="FF22222F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3" fontId="3" fillId="0" borderId="0" xfId="0" applyNumberFormat="1" applyFont="1"/>
    <xf numFmtId="2" fontId="0" fillId="0" borderId="2" xfId="0" applyNumberFormat="1" applyBorder="1"/>
    <xf numFmtId="2" fontId="0" fillId="0" borderId="1" xfId="0" applyNumberFormat="1" applyBorder="1"/>
    <xf numFmtId="17" fontId="4" fillId="2" borderId="0" xfId="0" applyNumberFormat="1" applyFont="1" applyFill="1"/>
    <xf numFmtId="0" fontId="1" fillId="2" borderId="0" xfId="0" applyFont="1" applyFill="1"/>
    <xf numFmtId="0" fontId="5" fillId="2" borderId="0" xfId="0" applyFont="1" applyFill="1"/>
    <xf numFmtId="0" fontId="1" fillId="2" borderId="1" xfId="0" applyFont="1" applyFill="1" applyBorder="1"/>
    <xf numFmtId="0" fontId="6" fillId="0" borderId="1" xfId="0" applyFont="1" applyBorder="1"/>
    <xf numFmtId="2" fontId="0" fillId="3" borderId="1" xfId="0" applyNumberFormat="1" applyFill="1" applyBorder="1"/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80C55-2284-074A-B424-A9E551D5D6C7}">
  <dimension ref="B4:S37"/>
  <sheetViews>
    <sheetView showGridLines="0" tabSelected="1" zoomScaleNormal="100" workbookViewId="0">
      <selection activeCell="P3" sqref="P3"/>
    </sheetView>
  </sheetViews>
  <sheetFormatPr baseColWidth="10" defaultRowHeight="15" x14ac:dyDescent="0.2"/>
  <cols>
    <col min="2" max="2" width="15.6640625" customWidth="1"/>
    <col min="19" max="19" width="17.1640625" bestFit="1" customWidth="1"/>
  </cols>
  <sheetData>
    <row r="4" spans="2:17" ht="21" x14ac:dyDescent="0.25">
      <c r="B4" s="11" t="s">
        <v>0</v>
      </c>
    </row>
    <row r="5" spans="2:17" ht="19" x14ac:dyDescent="0.25">
      <c r="B5" s="8"/>
      <c r="C5" s="7">
        <v>41699</v>
      </c>
      <c r="D5" s="7">
        <v>42064</v>
      </c>
      <c r="E5" s="7">
        <v>42430</v>
      </c>
      <c r="F5" s="7">
        <v>42795</v>
      </c>
      <c r="G5" s="7">
        <v>43160</v>
      </c>
      <c r="H5" s="7">
        <v>43525</v>
      </c>
      <c r="I5" s="7">
        <v>43891</v>
      </c>
      <c r="J5" s="7">
        <v>44256</v>
      </c>
      <c r="K5" s="7">
        <v>44621</v>
      </c>
      <c r="L5" s="7">
        <v>44986</v>
      </c>
      <c r="M5" s="7">
        <v>45352</v>
      </c>
      <c r="N5" s="7">
        <v>45717</v>
      </c>
      <c r="P5" s="10" t="s">
        <v>4</v>
      </c>
      <c r="Q5" s="6">
        <f>AVERAGE(C8:N8)</f>
        <v>0.9746867214621453</v>
      </c>
    </row>
    <row r="6" spans="2:17" ht="19" x14ac:dyDescent="0.25">
      <c r="B6" s="9" t="s">
        <v>1</v>
      </c>
      <c r="C6" s="3">
        <v>450</v>
      </c>
      <c r="D6" s="3">
        <v>514</v>
      </c>
      <c r="E6" s="3">
        <v>807</v>
      </c>
      <c r="F6" s="3">
        <v>863</v>
      </c>
      <c r="G6" s="3">
        <v>966</v>
      </c>
      <c r="H6" s="3">
        <v>928</v>
      </c>
      <c r="I6" s="4">
        <v>1122</v>
      </c>
      <c r="J6" s="4">
        <v>1126</v>
      </c>
      <c r="K6" s="4">
        <v>1207</v>
      </c>
      <c r="L6" s="4">
        <v>1289</v>
      </c>
      <c r="M6" s="4">
        <v>1747</v>
      </c>
      <c r="N6" s="4">
        <v>2096</v>
      </c>
      <c r="O6" s="1"/>
      <c r="P6" s="10" t="s">
        <v>5</v>
      </c>
      <c r="Q6" s="6">
        <f>MEDIAN(C8:N8)</f>
        <v>0.92382194888563585</v>
      </c>
    </row>
    <row r="7" spans="2:17" ht="19" x14ac:dyDescent="0.25">
      <c r="B7" s="9" t="s">
        <v>2</v>
      </c>
      <c r="C7" s="3">
        <v>394</v>
      </c>
      <c r="D7" s="3">
        <v>552</v>
      </c>
      <c r="E7" s="3">
        <v>907</v>
      </c>
      <c r="F7" s="3">
        <v>794</v>
      </c>
      <c r="G7" s="3">
        <v>796</v>
      </c>
      <c r="H7" s="3">
        <v>845</v>
      </c>
      <c r="I7" s="4">
        <v>1280</v>
      </c>
      <c r="J7" s="4">
        <v>1392</v>
      </c>
      <c r="K7" s="3">
        <v>955</v>
      </c>
      <c r="L7" s="4">
        <v>1558</v>
      </c>
      <c r="M7" s="4">
        <v>2724</v>
      </c>
      <c r="N7" s="4">
        <v>2287</v>
      </c>
      <c r="P7" s="10" t="s">
        <v>6</v>
      </c>
      <c r="Q7" s="12">
        <f>Q5-Q6</f>
        <v>5.0864772576509454E-2</v>
      </c>
    </row>
    <row r="8" spans="2:17" ht="20" thickBot="1" x14ac:dyDescent="0.3">
      <c r="B8" s="9" t="s">
        <v>3</v>
      </c>
      <c r="C8" s="5">
        <f>C6/C7</f>
        <v>1.1421319796954315</v>
      </c>
      <c r="D8" s="5">
        <f t="shared" ref="D8:N8" si="0">D6/D7</f>
        <v>0.9311594202898551</v>
      </c>
      <c r="E8" s="5">
        <f t="shared" si="0"/>
        <v>0.8897464167585446</v>
      </c>
      <c r="F8" s="5">
        <f t="shared" si="0"/>
        <v>1.0869017632241813</v>
      </c>
      <c r="G8" s="5">
        <f t="shared" si="0"/>
        <v>1.2135678391959799</v>
      </c>
      <c r="H8" s="5">
        <f t="shared" si="0"/>
        <v>1.0982248520710058</v>
      </c>
      <c r="I8" s="5">
        <f t="shared" si="0"/>
        <v>0.87656250000000002</v>
      </c>
      <c r="J8" s="5">
        <f t="shared" si="0"/>
        <v>0.80890804597701149</v>
      </c>
      <c r="K8" s="5">
        <f t="shared" si="0"/>
        <v>1.2638743455497383</v>
      </c>
      <c r="L8" s="5">
        <f t="shared" si="0"/>
        <v>0.82734274711168165</v>
      </c>
      <c r="M8" s="5">
        <f t="shared" si="0"/>
        <v>0.64133627019089579</v>
      </c>
      <c r="N8" s="5">
        <f t="shared" si="0"/>
        <v>0.9164844774814167</v>
      </c>
    </row>
    <row r="9" spans="2:17" ht="16" thickTop="1" x14ac:dyDescent="0.2"/>
    <row r="11" spans="2:17" ht="21" x14ac:dyDescent="0.25">
      <c r="B11" s="11" t="s">
        <v>7</v>
      </c>
    </row>
    <row r="12" spans="2:17" ht="19" x14ac:dyDescent="0.25">
      <c r="B12" s="8"/>
      <c r="C12" s="7">
        <v>41699</v>
      </c>
      <c r="D12" s="7">
        <v>42064</v>
      </c>
      <c r="E12" s="7">
        <v>42430</v>
      </c>
      <c r="F12" s="7">
        <v>42795</v>
      </c>
      <c r="G12" s="7">
        <v>43160</v>
      </c>
      <c r="H12" s="7">
        <v>43525</v>
      </c>
      <c r="I12" s="7">
        <v>43891</v>
      </c>
      <c r="J12" s="7">
        <v>44256</v>
      </c>
      <c r="K12" s="7">
        <v>44621</v>
      </c>
      <c r="L12" s="7">
        <v>44986</v>
      </c>
      <c r="M12" s="7">
        <v>45352</v>
      </c>
      <c r="N12" s="7">
        <v>45717</v>
      </c>
      <c r="P12" s="10" t="s">
        <v>4</v>
      </c>
      <c r="Q12" s="6">
        <f>AVERAGE(C15:N15)</f>
        <v>0.93366401145094235</v>
      </c>
    </row>
    <row r="13" spans="2:17" ht="19" x14ac:dyDescent="0.25">
      <c r="B13" s="9" t="s">
        <v>1</v>
      </c>
      <c r="C13" s="3">
        <v>130</v>
      </c>
      <c r="D13" s="3">
        <v>156</v>
      </c>
      <c r="E13" s="3">
        <v>178</v>
      </c>
      <c r="F13" s="3">
        <v>195</v>
      </c>
      <c r="G13" s="3">
        <v>234</v>
      </c>
      <c r="H13" s="3">
        <v>277</v>
      </c>
      <c r="I13" s="3">
        <v>279</v>
      </c>
      <c r="J13" s="3">
        <v>288</v>
      </c>
      <c r="K13" s="3">
        <v>455</v>
      </c>
      <c r="L13" s="3">
        <v>811</v>
      </c>
      <c r="M13" s="3">
        <v>875</v>
      </c>
      <c r="N13" s="4">
        <v>1288</v>
      </c>
      <c r="O13" s="1"/>
      <c r="P13" s="10" t="s">
        <v>5</v>
      </c>
      <c r="Q13" s="6">
        <f>MEDIAN(C15:N15)</f>
        <v>0.83259211376858433</v>
      </c>
    </row>
    <row r="14" spans="2:17" ht="19" x14ac:dyDescent="0.25">
      <c r="B14" s="9" t="s">
        <v>2</v>
      </c>
      <c r="C14" s="3">
        <v>170</v>
      </c>
      <c r="D14" s="3">
        <v>230</v>
      </c>
      <c r="E14" s="3">
        <v>243</v>
      </c>
      <c r="F14" s="3">
        <v>118</v>
      </c>
      <c r="G14" s="3">
        <v>254</v>
      </c>
      <c r="H14" s="3">
        <v>314</v>
      </c>
      <c r="I14" s="3">
        <v>325</v>
      </c>
      <c r="J14" s="3">
        <v>357</v>
      </c>
      <c r="K14" s="3">
        <v>298</v>
      </c>
      <c r="L14" s="3">
        <v>656</v>
      </c>
      <c r="M14" s="4">
        <v>1406</v>
      </c>
      <c r="N14" s="4">
        <v>2468</v>
      </c>
      <c r="P14" s="10" t="s">
        <v>6</v>
      </c>
      <c r="Q14" s="12">
        <f>Q12-Q13</f>
        <v>0.10107189768235803</v>
      </c>
    </row>
    <row r="15" spans="2:17" ht="20" thickBot="1" x14ac:dyDescent="0.3">
      <c r="B15" s="9" t="s">
        <v>3</v>
      </c>
      <c r="C15" s="5">
        <f>C13/C14</f>
        <v>0.76470588235294112</v>
      </c>
      <c r="D15" s="5">
        <f t="shared" ref="D15:N15" si="1">D13/D14</f>
        <v>0.67826086956521736</v>
      </c>
      <c r="E15" s="5">
        <f t="shared" si="1"/>
        <v>0.73251028806584362</v>
      </c>
      <c r="F15" s="5">
        <f t="shared" si="1"/>
        <v>1.652542372881356</v>
      </c>
      <c r="G15" s="5">
        <f t="shared" si="1"/>
        <v>0.92125984251968507</v>
      </c>
      <c r="H15" s="5">
        <f t="shared" si="1"/>
        <v>0.88216560509554143</v>
      </c>
      <c r="I15" s="5">
        <f t="shared" si="1"/>
        <v>0.8584615384615385</v>
      </c>
      <c r="J15" s="5">
        <f t="shared" si="1"/>
        <v>0.80672268907563027</v>
      </c>
      <c r="K15" s="5">
        <f t="shared" si="1"/>
        <v>1.5268456375838926</v>
      </c>
      <c r="L15" s="5">
        <f t="shared" si="1"/>
        <v>1.2362804878048781</v>
      </c>
      <c r="M15" s="5">
        <f t="shared" si="1"/>
        <v>0.62233285917496439</v>
      </c>
      <c r="N15" s="5">
        <f t="shared" si="1"/>
        <v>0.52188006482982174</v>
      </c>
    </row>
    <row r="16" spans="2:17" ht="16" thickTop="1" x14ac:dyDescent="0.2"/>
    <row r="18" spans="2:19" ht="21" x14ac:dyDescent="0.25">
      <c r="B18" s="11" t="s">
        <v>8</v>
      </c>
    </row>
    <row r="19" spans="2:19" ht="19" x14ac:dyDescent="0.25">
      <c r="B19" s="8"/>
      <c r="C19" s="7">
        <v>41699</v>
      </c>
      <c r="D19" s="7">
        <v>42064</v>
      </c>
      <c r="E19" s="7">
        <v>42430</v>
      </c>
      <c r="F19" s="7">
        <v>42795</v>
      </c>
      <c r="G19" s="7">
        <v>43160</v>
      </c>
      <c r="H19" s="7">
        <v>43525</v>
      </c>
      <c r="I19" s="7">
        <v>43891</v>
      </c>
      <c r="J19" s="7">
        <v>44256</v>
      </c>
      <c r="K19" s="7">
        <v>44621</v>
      </c>
      <c r="L19" s="7">
        <v>44986</v>
      </c>
      <c r="M19" s="7">
        <v>45352</v>
      </c>
      <c r="N19" s="7">
        <v>45717</v>
      </c>
      <c r="P19" s="10" t="s">
        <v>4</v>
      </c>
      <c r="Q19" s="6">
        <f>AVERAGE(C22:N22)</f>
        <v>0.65477380889900461</v>
      </c>
      <c r="S19" s="15"/>
    </row>
    <row r="20" spans="2:19" ht="19" x14ac:dyDescent="0.25">
      <c r="B20" s="9" t="s">
        <v>1</v>
      </c>
      <c r="C20" s="1">
        <v>162</v>
      </c>
      <c r="D20" s="1">
        <v>303</v>
      </c>
      <c r="E20" s="1">
        <v>430</v>
      </c>
      <c r="F20" s="1">
        <v>515</v>
      </c>
      <c r="G20" s="1">
        <v>462</v>
      </c>
      <c r="H20" s="1">
        <v>642</v>
      </c>
      <c r="I20" s="2">
        <v>1019</v>
      </c>
      <c r="J20" s="2">
        <v>1198</v>
      </c>
      <c r="K20" s="2">
        <v>1889</v>
      </c>
      <c r="L20" s="2">
        <v>2162</v>
      </c>
      <c r="M20" s="2">
        <v>1336</v>
      </c>
      <c r="N20" s="2">
        <v>1251</v>
      </c>
      <c r="O20" s="1"/>
      <c r="P20" s="10" t="s">
        <v>5</v>
      </c>
      <c r="Q20" s="6">
        <f>MEDIAN(C22:N22)</f>
        <v>0.67874408198325975</v>
      </c>
      <c r="S20" s="16"/>
    </row>
    <row r="21" spans="2:19" ht="19" x14ac:dyDescent="0.25">
      <c r="B21" s="9" t="s">
        <v>2</v>
      </c>
      <c r="C21" s="3">
        <v>347</v>
      </c>
      <c r="D21" s="3">
        <v>542</v>
      </c>
      <c r="E21" s="4">
        <v>1090</v>
      </c>
      <c r="F21" s="3">
        <v>645</v>
      </c>
      <c r="G21" s="3">
        <v>678</v>
      </c>
      <c r="H21" s="3">
        <v>896</v>
      </c>
      <c r="I21" s="4">
        <v>1304</v>
      </c>
      <c r="J21" s="4">
        <v>1772</v>
      </c>
      <c r="K21" s="4">
        <v>2106</v>
      </c>
      <c r="L21" s="4">
        <v>2902</v>
      </c>
      <c r="M21" s="4">
        <v>2094</v>
      </c>
      <c r="N21" s="4">
        <v>2487</v>
      </c>
      <c r="P21" s="10" t="s">
        <v>6</v>
      </c>
      <c r="Q21" s="12">
        <f>Q19-Q20</f>
        <v>-2.3970273084255145E-2</v>
      </c>
    </row>
    <row r="22" spans="2:19" ht="20" thickBot="1" x14ac:dyDescent="0.3">
      <c r="B22" s="9" t="s">
        <v>3</v>
      </c>
      <c r="C22" s="5">
        <f>C20/C21</f>
        <v>0.4668587896253602</v>
      </c>
      <c r="D22" s="5">
        <f t="shared" ref="D22:N22" si="2">D20/D21</f>
        <v>0.55904059040590404</v>
      </c>
      <c r="E22" s="5">
        <f t="shared" si="2"/>
        <v>0.39449541284403672</v>
      </c>
      <c r="F22" s="5">
        <f t="shared" si="2"/>
        <v>0.79844961240310075</v>
      </c>
      <c r="G22" s="5">
        <f t="shared" si="2"/>
        <v>0.68141592920353977</v>
      </c>
      <c r="H22" s="5">
        <f t="shared" si="2"/>
        <v>0.7165178571428571</v>
      </c>
      <c r="I22" s="5">
        <f t="shared" si="2"/>
        <v>0.78144171779141103</v>
      </c>
      <c r="J22" s="5">
        <f t="shared" si="2"/>
        <v>0.67607223476297973</v>
      </c>
      <c r="K22" s="5">
        <f t="shared" si="2"/>
        <v>0.89696106362773032</v>
      </c>
      <c r="L22" s="5">
        <f t="shared" si="2"/>
        <v>0.74500344589937972</v>
      </c>
      <c r="M22" s="5">
        <f t="shared" si="2"/>
        <v>0.63801337153772686</v>
      </c>
      <c r="N22" s="5">
        <f t="shared" si="2"/>
        <v>0.50301568154402898</v>
      </c>
    </row>
    <row r="23" spans="2:19" ht="16" thickTop="1" x14ac:dyDescent="0.2"/>
    <row r="25" spans="2:19" ht="21" x14ac:dyDescent="0.25">
      <c r="B25" s="11" t="s">
        <v>9</v>
      </c>
    </row>
    <row r="26" spans="2:19" ht="19" x14ac:dyDescent="0.25">
      <c r="B26" s="8"/>
      <c r="C26" s="7">
        <v>41699</v>
      </c>
      <c r="D26" s="7">
        <v>42064</v>
      </c>
      <c r="E26" s="7">
        <v>42430</v>
      </c>
      <c r="F26" s="7">
        <v>42795</v>
      </c>
      <c r="G26" s="7">
        <v>43160</v>
      </c>
      <c r="H26" s="7">
        <v>43525</v>
      </c>
      <c r="I26" s="7">
        <v>43891</v>
      </c>
      <c r="J26" s="7">
        <v>44256</v>
      </c>
      <c r="K26" s="7">
        <v>44621</v>
      </c>
      <c r="L26" s="7">
        <v>44986</v>
      </c>
      <c r="M26" s="7">
        <v>45352</v>
      </c>
      <c r="N26" s="7">
        <v>45717</v>
      </c>
      <c r="P26" s="10" t="s">
        <v>4</v>
      </c>
      <c r="Q26" s="6">
        <f>AVERAGE(C29:N29)</f>
        <v>0.31247863239570189</v>
      </c>
    </row>
    <row r="27" spans="2:19" ht="19" x14ac:dyDescent="0.25">
      <c r="B27" s="9" t="s">
        <v>1</v>
      </c>
      <c r="C27" s="1">
        <v>91</v>
      </c>
      <c r="D27" s="1">
        <v>113</v>
      </c>
      <c r="E27" s="1">
        <v>99</v>
      </c>
      <c r="F27" s="1">
        <v>98</v>
      </c>
      <c r="G27" s="1">
        <v>107</v>
      </c>
      <c r="H27" s="1">
        <v>117</v>
      </c>
      <c r="I27" s="1">
        <v>104</v>
      </c>
      <c r="J27" s="1">
        <v>112</v>
      </c>
      <c r="K27" s="1">
        <v>104</v>
      </c>
      <c r="L27" s="1">
        <v>114</v>
      </c>
      <c r="M27" s="1">
        <v>118</v>
      </c>
      <c r="N27" s="1">
        <v>105</v>
      </c>
      <c r="O27" s="1"/>
      <c r="P27" s="10" t="s">
        <v>5</v>
      </c>
      <c r="Q27" s="6">
        <f>MEDIAN(C29:N29)</f>
        <v>0.32421314714080807</v>
      </c>
    </row>
    <row r="28" spans="2:19" ht="19" x14ac:dyDescent="0.25">
      <c r="B28" s="9" t="s">
        <v>2</v>
      </c>
      <c r="C28" s="3">
        <v>229</v>
      </c>
      <c r="D28" s="3">
        <v>271</v>
      </c>
      <c r="E28" s="3">
        <v>242</v>
      </c>
      <c r="F28" s="3">
        <v>293</v>
      </c>
      <c r="G28" s="3">
        <v>252</v>
      </c>
      <c r="H28" s="3">
        <v>376</v>
      </c>
      <c r="I28" s="3">
        <v>327</v>
      </c>
      <c r="J28" s="3">
        <v>339</v>
      </c>
      <c r="K28" s="3">
        <v>589</v>
      </c>
      <c r="L28" s="3">
        <v>629</v>
      </c>
      <c r="M28" s="3">
        <v>437</v>
      </c>
      <c r="N28" s="3">
        <v>584</v>
      </c>
      <c r="P28" s="10" t="s">
        <v>6</v>
      </c>
      <c r="Q28" s="12">
        <f>Q26-Q27</f>
        <v>-1.1734514745106173E-2</v>
      </c>
    </row>
    <row r="29" spans="2:19" ht="20" thickBot="1" x14ac:dyDescent="0.3">
      <c r="B29" s="9" t="s">
        <v>3</v>
      </c>
      <c r="C29" s="5">
        <f>C27/C28</f>
        <v>0.39737991266375544</v>
      </c>
      <c r="D29" s="5">
        <f t="shared" ref="D29:N29" si="3">D27/D28</f>
        <v>0.41697416974169743</v>
      </c>
      <c r="E29" s="5">
        <f t="shared" si="3"/>
        <v>0.40909090909090912</v>
      </c>
      <c r="F29" s="5">
        <f t="shared" si="3"/>
        <v>0.33447098976109213</v>
      </c>
      <c r="G29" s="5">
        <f t="shared" si="3"/>
        <v>0.42460317460317459</v>
      </c>
      <c r="H29" s="5">
        <f t="shared" si="3"/>
        <v>0.31117021276595747</v>
      </c>
      <c r="I29" s="5">
        <f t="shared" si="3"/>
        <v>0.31804281345565749</v>
      </c>
      <c r="J29" s="5">
        <f t="shared" si="3"/>
        <v>0.3303834808259587</v>
      </c>
      <c r="K29" s="5">
        <f t="shared" si="3"/>
        <v>0.1765704584040747</v>
      </c>
      <c r="L29" s="5">
        <f t="shared" si="3"/>
        <v>0.18124006359300476</v>
      </c>
      <c r="M29" s="5">
        <f t="shared" si="3"/>
        <v>0.27002288329519453</v>
      </c>
      <c r="N29" s="5">
        <f t="shared" si="3"/>
        <v>0.1797945205479452</v>
      </c>
    </row>
    <row r="30" spans="2:19" ht="16" thickTop="1" x14ac:dyDescent="0.2"/>
    <row r="32" spans="2:19" ht="21" x14ac:dyDescent="0.25">
      <c r="B32" s="11" t="s">
        <v>10</v>
      </c>
    </row>
    <row r="33" spans="2:17" ht="19" x14ac:dyDescent="0.25">
      <c r="B33" s="8"/>
      <c r="C33" s="7"/>
      <c r="D33" s="7"/>
      <c r="E33" s="7"/>
      <c r="F33" s="7"/>
      <c r="G33" s="7">
        <v>43160</v>
      </c>
      <c r="H33" s="7">
        <v>43525</v>
      </c>
      <c r="I33" s="7">
        <v>43891</v>
      </c>
      <c r="J33" s="7">
        <v>44256</v>
      </c>
      <c r="K33" s="7">
        <v>44621</v>
      </c>
      <c r="L33" s="7">
        <v>44986</v>
      </c>
      <c r="M33" s="7">
        <v>45352</v>
      </c>
      <c r="N33" s="7">
        <v>45717</v>
      </c>
      <c r="P33" s="10" t="s">
        <v>4</v>
      </c>
      <c r="Q33" s="6">
        <f>AVERAGE(C36:N36)</f>
        <v>0.79567863418901252</v>
      </c>
    </row>
    <row r="34" spans="2:17" ht="19" x14ac:dyDescent="0.25">
      <c r="B34" s="9" t="s">
        <v>1</v>
      </c>
      <c r="C34" s="13" t="s">
        <v>11</v>
      </c>
      <c r="D34" s="13" t="s">
        <v>11</v>
      </c>
      <c r="E34" s="13" t="s">
        <v>11</v>
      </c>
      <c r="F34" s="13" t="s">
        <v>11</v>
      </c>
      <c r="G34" s="1">
        <v>240</v>
      </c>
      <c r="H34" s="2">
        <v>1246</v>
      </c>
      <c r="I34" s="1">
        <v>189</v>
      </c>
      <c r="J34" s="1">
        <v>-222</v>
      </c>
      <c r="K34" s="1">
        <v>776</v>
      </c>
      <c r="L34" s="2">
        <v>1323</v>
      </c>
      <c r="M34" s="1">
        <v>435</v>
      </c>
      <c r="N34" s="1">
        <v>546</v>
      </c>
      <c r="O34" s="1"/>
      <c r="P34" s="10" t="s">
        <v>5</v>
      </c>
      <c r="Q34" s="6">
        <f>MEDIAN(C36:N36)</f>
        <v>0.84836152064952952</v>
      </c>
    </row>
    <row r="35" spans="2:17" ht="19" x14ac:dyDescent="0.25">
      <c r="B35" s="9" t="s">
        <v>2</v>
      </c>
      <c r="C35" s="13" t="s">
        <v>11</v>
      </c>
      <c r="D35" s="13" t="s">
        <v>11</v>
      </c>
      <c r="E35" s="13" t="s">
        <v>11</v>
      </c>
      <c r="F35" s="13" t="s">
        <v>11</v>
      </c>
      <c r="G35" s="3">
        <v>952</v>
      </c>
      <c r="H35" s="3">
        <v>782</v>
      </c>
      <c r="I35" s="3">
        <v>546</v>
      </c>
      <c r="J35" s="3">
        <v>616</v>
      </c>
      <c r="K35" s="3">
        <v>741</v>
      </c>
      <c r="L35" s="3">
        <v>739</v>
      </c>
      <c r="M35" s="3">
        <v>626</v>
      </c>
      <c r="N35" s="3">
        <v>545</v>
      </c>
      <c r="P35" s="10" t="s">
        <v>6</v>
      </c>
      <c r="Q35" s="12">
        <f>Q33-Q34</f>
        <v>-5.2682886460516998E-2</v>
      </c>
    </row>
    <row r="36" spans="2:17" ht="20" thickBot="1" x14ac:dyDescent="0.3">
      <c r="B36" s="9" t="s">
        <v>3</v>
      </c>
      <c r="C36" s="14" t="s">
        <v>11</v>
      </c>
      <c r="D36" s="14" t="s">
        <v>11</v>
      </c>
      <c r="E36" s="14" t="s">
        <v>11</v>
      </c>
      <c r="F36" s="14" t="s">
        <v>11</v>
      </c>
      <c r="G36" s="5">
        <f t="shared" ref="G36:N36" si="4">G34/G35</f>
        <v>0.25210084033613445</v>
      </c>
      <c r="H36" s="5">
        <f t="shared" si="4"/>
        <v>1.5933503836317136</v>
      </c>
      <c r="I36" s="5">
        <f t="shared" si="4"/>
        <v>0.34615384615384615</v>
      </c>
      <c r="J36" s="5">
        <f t="shared" si="4"/>
        <v>-0.36038961038961037</v>
      </c>
      <c r="K36" s="5">
        <f t="shared" si="4"/>
        <v>1.0472334682860998</v>
      </c>
      <c r="L36" s="5">
        <f t="shared" si="4"/>
        <v>1.7902571041948578</v>
      </c>
      <c r="M36" s="5">
        <f t="shared" si="4"/>
        <v>0.694888178913738</v>
      </c>
      <c r="N36" s="5">
        <f t="shared" si="4"/>
        <v>1.001834862385321</v>
      </c>
    </row>
    <row r="37" spans="2:17" ht="16" thickTop="1" x14ac:dyDescent="0.2"/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C033C-D6DA-E246-8D5E-BF3CFDB31C63}">
  <dimension ref="B4:S37"/>
  <sheetViews>
    <sheetView showGridLines="0" zoomScale="86" zoomScaleNormal="86" workbookViewId="0">
      <selection activeCell="H2" sqref="H2"/>
    </sheetView>
  </sheetViews>
  <sheetFormatPr baseColWidth="10" defaultRowHeight="15" x14ac:dyDescent="0.2"/>
  <cols>
    <col min="1" max="1" width="5.83203125" customWidth="1"/>
    <col min="2" max="2" width="17.33203125" customWidth="1"/>
    <col min="3" max="3" width="12.6640625" bestFit="1" customWidth="1"/>
    <col min="6" max="7" width="10.83203125" customWidth="1"/>
    <col min="16" max="16" width="11.1640625" customWidth="1"/>
    <col min="19" max="19" width="17.1640625" bestFit="1" customWidth="1"/>
    <col min="20" max="20" width="13" customWidth="1"/>
  </cols>
  <sheetData>
    <row r="4" spans="2:19" ht="21" x14ac:dyDescent="0.25">
      <c r="B4" s="11" t="s">
        <v>12</v>
      </c>
    </row>
    <row r="5" spans="2:19" ht="19" x14ac:dyDescent="0.25">
      <c r="B5" s="8"/>
      <c r="C5" s="7">
        <v>41699</v>
      </c>
      <c r="D5" s="7">
        <v>42064</v>
      </c>
      <c r="E5" s="7">
        <v>42430</v>
      </c>
      <c r="F5" s="7">
        <v>42795</v>
      </c>
      <c r="G5" s="7">
        <v>43160</v>
      </c>
      <c r="H5" s="7">
        <v>43525</v>
      </c>
      <c r="I5" s="7">
        <v>43891</v>
      </c>
      <c r="J5" s="7">
        <v>44256</v>
      </c>
      <c r="K5" s="7">
        <v>44621</v>
      </c>
      <c r="L5" s="7">
        <v>44986</v>
      </c>
      <c r="M5" s="7">
        <v>45352</v>
      </c>
      <c r="N5" s="7">
        <v>45717</v>
      </c>
      <c r="P5" s="10" t="s">
        <v>4</v>
      </c>
      <c r="Q5" s="6">
        <f>AVERAGE(C8:N8)</f>
        <v>0.91812645758518585</v>
      </c>
    </row>
    <row r="6" spans="2:19" ht="19" x14ac:dyDescent="0.25">
      <c r="B6" s="9" t="s">
        <v>1</v>
      </c>
      <c r="C6" s="1">
        <v>8</v>
      </c>
      <c r="D6" s="1">
        <v>22</v>
      </c>
      <c r="E6" s="1">
        <v>21</v>
      </c>
      <c r="F6" s="1">
        <v>30</v>
      </c>
      <c r="G6" s="1">
        <v>26</v>
      </c>
      <c r="H6" s="1">
        <v>66</v>
      </c>
      <c r="I6" s="1">
        <v>73</v>
      </c>
      <c r="J6" s="1">
        <v>23</v>
      </c>
      <c r="K6" s="1">
        <v>65</v>
      </c>
      <c r="L6" s="1">
        <v>83</v>
      </c>
      <c r="M6" s="1">
        <v>39</v>
      </c>
      <c r="N6" s="1">
        <v>49</v>
      </c>
      <c r="O6" s="1"/>
      <c r="P6" s="10" t="s">
        <v>5</v>
      </c>
      <c r="Q6" s="6">
        <f>MEDIAN(C8:N8)</f>
        <v>0.64772036474164141</v>
      </c>
    </row>
    <row r="7" spans="2:19" ht="19" x14ac:dyDescent="0.25">
      <c r="B7" s="9" t="s">
        <v>2</v>
      </c>
      <c r="C7" s="3">
        <v>26</v>
      </c>
      <c r="D7" s="3">
        <v>19</v>
      </c>
      <c r="E7" s="3">
        <v>44</v>
      </c>
      <c r="F7" s="3">
        <v>47</v>
      </c>
      <c r="G7" s="3">
        <v>7</v>
      </c>
      <c r="H7" s="3">
        <v>128</v>
      </c>
      <c r="I7" s="3">
        <v>111</v>
      </c>
      <c r="J7" s="3">
        <v>35</v>
      </c>
      <c r="K7" s="3">
        <v>47</v>
      </c>
      <c r="L7" s="3">
        <v>111</v>
      </c>
      <c r="M7" s="3">
        <v>98</v>
      </c>
      <c r="N7" s="3">
        <v>135</v>
      </c>
      <c r="P7" s="10" t="s">
        <v>6</v>
      </c>
      <c r="Q7" s="12">
        <f>Q5-Q6</f>
        <v>0.27040609284354444</v>
      </c>
      <c r="S7" s="17"/>
    </row>
    <row r="8" spans="2:19" ht="20" thickBot="1" x14ac:dyDescent="0.3">
      <c r="B8" s="9" t="s">
        <v>3</v>
      </c>
      <c r="C8" s="5">
        <f>C6/C7</f>
        <v>0.30769230769230771</v>
      </c>
      <c r="D8" s="5">
        <f t="shared" ref="D8:N8" si="0">D6/D7</f>
        <v>1.1578947368421053</v>
      </c>
      <c r="E8" s="5">
        <f t="shared" si="0"/>
        <v>0.47727272727272729</v>
      </c>
      <c r="F8" s="5">
        <f t="shared" si="0"/>
        <v>0.63829787234042556</v>
      </c>
      <c r="G8" s="5">
        <f t="shared" si="0"/>
        <v>3.7142857142857144</v>
      </c>
      <c r="H8" s="5">
        <f t="shared" si="0"/>
        <v>0.515625</v>
      </c>
      <c r="I8" s="5">
        <f t="shared" si="0"/>
        <v>0.65765765765765771</v>
      </c>
      <c r="J8" s="5">
        <f t="shared" si="0"/>
        <v>0.65714285714285714</v>
      </c>
      <c r="K8" s="5">
        <f t="shared" si="0"/>
        <v>1.3829787234042554</v>
      </c>
      <c r="L8" s="5">
        <f t="shared" si="0"/>
        <v>0.74774774774774777</v>
      </c>
      <c r="M8" s="5">
        <f t="shared" si="0"/>
        <v>0.39795918367346939</v>
      </c>
      <c r="N8" s="5">
        <f t="shared" si="0"/>
        <v>0.36296296296296299</v>
      </c>
    </row>
    <row r="9" spans="2:19" ht="16" thickTop="1" x14ac:dyDescent="0.2"/>
    <row r="11" spans="2:19" ht="21" x14ac:dyDescent="0.25">
      <c r="B11" s="11" t="s">
        <v>13</v>
      </c>
    </row>
    <row r="12" spans="2:19" ht="19" x14ac:dyDescent="0.25">
      <c r="B12" s="8"/>
      <c r="C12" s="7">
        <v>41699</v>
      </c>
      <c r="D12" s="7">
        <v>42064</v>
      </c>
      <c r="E12" s="7">
        <v>42430</v>
      </c>
      <c r="F12" s="7">
        <v>42795</v>
      </c>
      <c r="G12" s="7">
        <v>43160</v>
      </c>
      <c r="H12" s="7">
        <v>43525</v>
      </c>
      <c r="I12" s="7">
        <v>43891</v>
      </c>
      <c r="J12" s="7">
        <v>44256</v>
      </c>
      <c r="K12" s="7">
        <v>44621</v>
      </c>
      <c r="L12" s="7">
        <v>44986</v>
      </c>
      <c r="M12" s="7">
        <v>45352</v>
      </c>
      <c r="N12" s="7">
        <v>45717</v>
      </c>
      <c r="P12" s="10" t="s">
        <v>4</v>
      </c>
      <c r="Q12" s="6">
        <f>AVERAGE(C15:N15)</f>
        <v>1.6640709455604623</v>
      </c>
    </row>
    <row r="13" spans="2:19" ht="19" x14ac:dyDescent="0.25">
      <c r="B13" s="9" t="s">
        <v>1</v>
      </c>
      <c r="C13" s="1">
        <v>30</v>
      </c>
      <c r="D13" s="1">
        <v>92</v>
      </c>
      <c r="E13" s="1">
        <v>86</v>
      </c>
      <c r="F13" s="1">
        <v>133</v>
      </c>
      <c r="G13" s="1">
        <v>122</v>
      </c>
      <c r="H13" s="1">
        <v>141</v>
      </c>
      <c r="I13" s="1">
        <v>86</v>
      </c>
      <c r="J13" s="1">
        <v>40</v>
      </c>
      <c r="K13" s="1">
        <v>99</v>
      </c>
      <c r="L13" s="1">
        <v>38</v>
      </c>
      <c r="M13" s="1">
        <v>6</v>
      </c>
      <c r="N13" s="1">
        <v>18</v>
      </c>
      <c r="O13" s="1"/>
      <c r="P13" s="10" t="s">
        <v>5</v>
      </c>
      <c r="Q13" s="6">
        <f>MEDIAN(C15:N15)</f>
        <v>0.53844568130282422</v>
      </c>
    </row>
    <row r="14" spans="2:19" ht="19" x14ac:dyDescent="0.25">
      <c r="B14" s="9" t="s">
        <v>2</v>
      </c>
      <c r="C14" s="3">
        <v>49</v>
      </c>
      <c r="D14" s="3">
        <v>198</v>
      </c>
      <c r="E14" s="3">
        <v>131</v>
      </c>
      <c r="F14" s="3">
        <v>104</v>
      </c>
      <c r="G14" s="3">
        <v>7</v>
      </c>
      <c r="H14" s="3">
        <v>186</v>
      </c>
      <c r="I14" s="3">
        <v>10</v>
      </c>
      <c r="J14" s="3">
        <v>-13</v>
      </c>
      <c r="K14" s="3">
        <v>-14</v>
      </c>
      <c r="L14" s="3">
        <v>290</v>
      </c>
      <c r="M14" s="3">
        <v>204</v>
      </c>
      <c r="N14" s="3">
        <v>114</v>
      </c>
      <c r="P14" s="10" t="s">
        <v>6</v>
      </c>
      <c r="Q14" s="12">
        <f>Q12-Q13</f>
        <v>1.1256252642576381</v>
      </c>
    </row>
    <row r="15" spans="2:19" ht="20" thickBot="1" x14ac:dyDescent="0.3">
      <c r="B15" s="9" t="s">
        <v>3</v>
      </c>
      <c r="C15" s="5">
        <f>C13/C14</f>
        <v>0.61224489795918369</v>
      </c>
      <c r="D15" s="5">
        <f t="shared" ref="D15" si="1">D13/D14</f>
        <v>0.46464646464646464</v>
      </c>
      <c r="E15" s="5">
        <f t="shared" ref="E15" si="2">E13/E14</f>
        <v>0.65648854961832059</v>
      </c>
      <c r="F15" s="5">
        <f t="shared" ref="F15" si="3">F13/F14</f>
        <v>1.2788461538461537</v>
      </c>
      <c r="G15" s="5">
        <f t="shared" ref="G15" si="4">G13/G14</f>
        <v>17.428571428571427</v>
      </c>
      <c r="H15" s="5">
        <f t="shared" ref="H15" si="5">H13/H14</f>
        <v>0.75806451612903225</v>
      </c>
      <c r="I15" s="5">
        <f t="shared" ref="I15" si="6">I13/I14</f>
        <v>8.6</v>
      </c>
      <c r="J15" s="5">
        <f t="shared" ref="J15" si="7">J13/J14</f>
        <v>-3.0769230769230771</v>
      </c>
      <c r="K15" s="5">
        <f t="shared" ref="K15" si="8">K13/K14</f>
        <v>-7.0714285714285712</v>
      </c>
      <c r="L15" s="5">
        <f t="shared" ref="L15" si="9">L13/L14</f>
        <v>0.1310344827586207</v>
      </c>
      <c r="M15" s="5">
        <f t="shared" ref="M15" si="10">M13/M14</f>
        <v>2.9411764705882353E-2</v>
      </c>
      <c r="N15" s="5">
        <f t="shared" ref="N15" si="11">N13/N14</f>
        <v>0.15789473684210525</v>
      </c>
    </row>
    <row r="16" spans="2:19" ht="16" thickTop="1" x14ac:dyDescent="0.2"/>
    <row r="18" spans="2:19" ht="21" x14ac:dyDescent="0.25">
      <c r="B18" s="11" t="s">
        <v>14</v>
      </c>
    </row>
    <row r="19" spans="2:19" ht="19" x14ac:dyDescent="0.25">
      <c r="B19" s="8"/>
      <c r="C19" s="7">
        <v>41699</v>
      </c>
      <c r="D19" s="7">
        <v>42064</v>
      </c>
      <c r="E19" s="7">
        <v>42430</v>
      </c>
      <c r="F19" s="7">
        <v>42795</v>
      </c>
      <c r="G19" s="7">
        <v>43160</v>
      </c>
      <c r="H19" s="7">
        <v>43525</v>
      </c>
      <c r="I19" s="7">
        <v>43891</v>
      </c>
      <c r="J19" s="7">
        <v>44256</v>
      </c>
      <c r="K19" s="7">
        <v>44621</v>
      </c>
      <c r="L19" s="7">
        <v>44986</v>
      </c>
      <c r="M19" s="7">
        <v>45352</v>
      </c>
      <c r="N19" s="7">
        <v>45717</v>
      </c>
      <c r="P19" s="10" t="s">
        <v>4</v>
      </c>
      <c r="Q19" s="6">
        <f>AVERAGE(C22:N22)</f>
        <v>0.81107505282814885</v>
      </c>
      <c r="S19" s="15"/>
    </row>
    <row r="20" spans="2:19" ht="19" x14ac:dyDescent="0.25">
      <c r="B20" s="9" t="s">
        <v>1</v>
      </c>
      <c r="C20" s="1">
        <v>0</v>
      </c>
      <c r="D20" s="1">
        <v>1</v>
      </c>
      <c r="E20" s="1">
        <v>2</v>
      </c>
      <c r="F20" s="1">
        <v>1</v>
      </c>
      <c r="G20" s="1">
        <v>3</v>
      </c>
      <c r="H20" s="1">
        <v>-6</v>
      </c>
      <c r="I20" s="1">
        <v>-1</v>
      </c>
      <c r="J20" s="1">
        <v>1</v>
      </c>
      <c r="K20" s="1">
        <v>3</v>
      </c>
      <c r="L20" s="1">
        <v>13</v>
      </c>
      <c r="M20" s="1">
        <v>18</v>
      </c>
      <c r="N20" s="1">
        <v>31</v>
      </c>
      <c r="O20" s="1"/>
      <c r="P20" s="10" t="s">
        <v>5</v>
      </c>
      <c r="Q20" s="6">
        <f>MEDIAN(C22:N22)</f>
        <v>-1.4705882352941176E-2</v>
      </c>
      <c r="S20" s="16"/>
    </row>
    <row r="21" spans="2:19" ht="19" x14ac:dyDescent="0.25">
      <c r="B21" s="9" t="s">
        <v>2</v>
      </c>
      <c r="C21" s="3">
        <v>2</v>
      </c>
      <c r="D21" s="3">
        <v>-34</v>
      </c>
      <c r="E21" s="3">
        <v>2</v>
      </c>
      <c r="F21" s="3">
        <v>-19</v>
      </c>
      <c r="G21" s="3">
        <v>-25</v>
      </c>
      <c r="H21" s="3">
        <v>34</v>
      </c>
      <c r="I21" s="3">
        <v>17</v>
      </c>
      <c r="J21" s="3">
        <v>-5</v>
      </c>
      <c r="K21" s="3">
        <v>7</v>
      </c>
      <c r="L21" s="3">
        <v>6</v>
      </c>
      <c r="M21" s="3">
        <v>3</v>
      </c>
      <c r="N21" s="3">
        <v>40</v>
      </c>
      <c r="P21" s="10" t="s">
        <v>6</v>
      </c>
      <c r="Q21" s="12">
        <f>Q19-Q20</f>
        <v>0.82578093518108997</v>
      </c>
    </row>
    <row r="22" spans="2:19" ht="20" thickBot="1" x14ac:dyDescent="0.3">
      <c r="B22" s="9" t="s">
        <v>3</v>
      </c>
      <c r="C22" s="5">
        <f>C20/C21</f>
        <v>0</v>
      </c>
      <c r="D22" s="5">
        <f t="shared" ref="D22" si="12">D20/D21</f>
        <v>-2.9411764705882353E-2</v>
      </c>
      <c r="E22" s="5">
        <f t="shared" ref="E22" si="13">E20/E21</f>
        <v>1</v>
      </c>
      <c r="F22" s="5">
        <f t="shared" ref="F22" si="14">F20/F21</f>
        <v>-5.2631578947368418E-2</v>
      </c>
      <c r="G22" s="5">
        <f t="shared" ref="G22" si="15">G20/G21</f>
        <v>-0.12</v>
      </c>
      <c r="H22" s="5">
        <f t="shared" ref="H22" si="16">H20/H21</f>
        <v>-0.17647058823529413</v>
      </c>
      <c r="I22" s="5">
        <f t="shared" ref="I22" si="17">I20/I21</f>
        <v>-5.8823529411764705E-2</v>
      </c>
      <c r="J22" s="5">
        <f t="shared" ref="J22" si="18">J20/J21</f>
        <v>-0.2</v>
      </c>
      <c r="K22" s="5">
        <f t="shared" ref="K22" si="19">K20/K21</f>
        <v>0.42857142857142855</v>
      </c>
      <c r="L22" s="5">
        <f t="shared" ref="L22" si="20">L20/L21</f>
        <v>2.1666666666666665</v>
      </c>
      <c r="M22" s="5">
        <f t="shared" ref="M22" si="21">M20/M21</f>
        <v>6</v>
      </c>
      <c r="N22" s="5">
        <f t="shared" ref="N22" si="22">N20/N21</f>
        <v>0.77500000000000002</v>
      </c>
    </row>
    <row r="23" spans="2:19" ht="16" thickTop="1" x14ac:dyDescent="0.2"/>
    <row r="25" spans="2:19" ht="21" x14ac:dyDescent="0.25">
      <c r="B25" s="11" t="s">
        <v>15</v>
      </c>
    </row>
    <row r="26" spans="2:19" ht="19" x14ac:dyDescent="0.25">
      <c r="B26" s="8"/>
      <c r="C26" s="7">
        <v>41699</v>
      </c>
      <c r="D26" s="7">
        <v>42064</v>
      </c>
      <c r="E26" s="7">
        <v>42430</v>
      </c>
      <c r="F26" s="7">
        <v>42795</v>
      </c>
      <c r="G26" s="7">
        <v>43160</v>
      </c>
      <c r="H26" s="7">
        <v>43525</v>
      </c>
      <c r="I26" s="7">
        <v>43891</v>
      </c>
      <c r="J26" s="7">
        <v>44256</v>
      </c>
      <c r="K26" s="7">
        <v>44621</v>
      </c>
      <c r="L26" s="7">
        <v>44986</v>
      </c>
      <c r="M26" s="7">
        <v>45352</v>
      </c>
      <c r="N26" s="7">
        <v>45717</v>
      </c>
      <c r="P26" s="10" t="s">
        <v>4</v>
      </c>
      <c r="Q26" s="6">
        <f>AVERAGE(C29:N29)</f>
        <v>0.81129983360314351</v>
      </c>
    </row>
    <row r="27" spans="2:19" ht="19" x14ac:dyDescent="0.25">
      <c r="B27" s="9" t="s">
        <v>1</v>
      </c>
      <c r="C27" s="1">
        <v>16</v>
      </c>
      <c r="D27" s="1">
        <v>14</v>
      </c>
      <c r="E27" s="1">
        <v>12</v>
      </c>
      <c r="F27" s="1">
        <v>17</v>
      </c>
      <c r="G27" s="1">
        <v>12</v>
      </c>
      <c r="H27" s="1">
        <v>46</v>
      </c>
      <c r="I27" s="1">
        <v>31</v>
      </c>
      <c r="J27" s="1">
        <v>33</v>
      </c>
      <c r="K27" s="1">
        <v>21</v>
      </c>
      <c r="L27" s="1">
        <v>7</v>
      </c>
      <c r="M27" s="1">
        <v>12</v>
      </c>
      <c r="N27" s="1">
        <v>22</v>
      </c>
      <c r="O27" s="1"/>
      <c r="P27" s="10" t="s">
        <v>5</v>
      </c>
      <c r="Q27" s="6">
        <f>MEDIAN(C29:N29)</f>
        <v>0.65151515151515149</v>
      </c>
    </row>
    <row r="28" spans="2:19" ht="19" x14ac:dyDescent="0.25">
      <c r="B28" s="9" t="s">
        <v>2</v>
      </c>
      <c r="C28" s="3">
        <v>13</v>
      </c>
      <c r="D28" s="3">
        <v>22</v>
      </c>
      <c r="E28" s="3">
        <v>17</v>
      </c>
      <c r="F28" s="3">
        <v>29</v>
      </c>
      <c r="G28" s="3">
        <v>18</v>
      </c>
      <c r="H28" s="3">
        <v>21</v>
      </c>
      <c r="I28" s="3">
        <v>27</v>
      </c>
      <c r="J28" s="3">
        <v>32</v>
      </c>
      <c r="K28" s="3">
        <v>51</v>
      </c>
      <c r="L28" s="3">
        <v>30</v>
      </c>
      <c r="M28" s="3">
        <v>38</v>
      </c>
      <c r="N28" s="3">
        <v>38</v>
      </c>
      <c r="P28" s="10" t="s">
        <v>6</v>
      </c>
      <c r="Q28" s="12">
        <f>Q26-Q27</f>
        <v>0.15978468208799201</v>
      </c>
    </row>
    <row r="29" spans="2:19" ht="20" thickBot="1" x14ac:dyDescent="0.3">
      <c r="B29" s="9" t="s">
        <v>3</v>
      </c>
      <c r="C29" s="5">
        <f>C27/C28</f>
        <v>1.2307692307692308</v>
      </c>
      <c r="D29" s="5">
        <f t="shared" ref="D29" si="23">D27/D28</f>
        <v>0.63636363636363635</v>
      </c>
      <c r="E29" s="5">
        <f t="shared" ref="E29" si="24">E27/E28</f>
        <v>0.70588235294117652</v>
      </c>
      <c r="F29" s="5">
        <f t="shared" ref="F29" si="25">F27/F28</f>
        <v>0.58620689655172409</v>
      </c>
      <c r="G29" s="5">
        <f t="shared" ref="G29" si="26">G27/G28</f>
        <v>0.66666666666666663</v>
      </c>
      <c r="H29" s="5">
        <f t="shared" ref="H29" si="27">H27/H28</f>
        <v>2.1904761904761907</v>
      </c>
      <c r="I29" s="5">
        <f t="shared" ref="I29" si="28">I27/I28</f>
        <v>1.1481481481481481</v>
      </c>
      <c r="J29" s="5">
        <f t="shared" ref="J29" si="29">J27/J28</f>
        <v>1.03125</v>
      </c>
      <c r="K29" s="5">
        <f t="shared" ref="K29" si="30">K27/K28</f>
        <v>0.41176470588235292</v>
      </c>
      <c r="L29" s="5">
        <f t="shared" ref="L29" si="31">L27/L28</f>
        <v>0.23333333333333334</v>
      </c>
      <c r="M29" s="5">
        <f t="shared" ref="M29" si="32">M27/M28</f>
        <v>0.31578947368421051</v>
      </c>
      <c r="N29" s="5">
        <f t="shared" ref="N29" si="33">N27/N28</f>
        <v>0.57894736842105265</v>
      </c>
    </row>
    <row r="30" spans="2:19" ht="16" thickTop="1" x14ac:dyDescent="0.2"/>
    <row r="32" spans="2:19" ht="21" x14ac:dyDescent="0.25">
      <c r="B32" s="11" t="s">
        <v>16</v>
      </c>
    </row>
    <row r="33" spans="2:17" ht="19" x14ac:dyDescent="0.25">
      <c r="B33" s="8"/>
      <c r="C33" s="7">
        <v>41699</v>
      </c>
      <c r="D33" s="7">
        <v>42064</v>
      </c>
      <c r="E33" s="7">
        <v>42430</v>
      </c>
      <c r="F33" s="7">
        <v>42795</v>
      </c>
      <c r="G33" s="7">
        <v>43160</v>
      </c>
      <c r="H33" s="7">
        <v>43525</v>
      </c>
      <c r="I33" s="7">
        <v>43891</v>
      </c>
      <c r="J33" s="7">
        <v>44256</v>
      </c>
      <c r="K33" s="7">
        <v>44621</v>
      </c>
      <c r="L33" s="7">
        <v>44986</v>
      </c>
      <c r="M33" s="7">
        <v>45352</v>
      </c>
      <c r="N33" s="7">
        <v>45717</v>
      </c>
      <c r="P33" s="10" t="s">
        <v>4</v>
      </c>
      <c r="Q33" s="6">
        <f>AVERAGE(C36:N36)</f>
        <v>-1.4820248188191734</v>
      </c>
    </row>
    <row r="34" spans="2:17" ht="19" x14ac:dyDescent="0.25">
      <c r="B34" s="9" t="s">
        <v>1</v>
      </c>
      <c r="C34" s="1">
        <v>-30</v>
      </c>
      <c r="D34" s="1">
        <v>-17</v>
      </c>
      <c r="E34" s="1">
        <v>34</v>
      </c>
      <c r="F34" s="1">
        <v>-35</v>
      </c>
      <c r="G34" s="1">
        <v>-45</v>
      </c>
      <c r="H34" s="1">
        <v>-38</v>
      </c>
      <c r="I34" s="1">
        <v>-24</v>
      </c>
      <c r="J34" s="1">
        <v>-58</v>
      </c>
      <c r="K34" s="1">
        <v>-34</v>
      </c>
      <c r="L34" s="1">
        <v>101</v>
      </c>
      <c r="M34" s="1">
        <v>70</v>
      </c>
      <c r="N34" s="1">
        <v>62</v>
      </c>
      <c r="O34" s="1"/>
      <c r="P34" s="10" t="s">
        <v>5</v>
      </c>
      <c r="Q34" s="6">
        <f>MEDIAN(C36:N36)</f>
        <v>-2.4534050179211468</v>
      </c>
    </row>
    <row r="35" spans="2:17" ht="19" x14ac:dyDescent="0.25">
      <c r="B35" s="9" t="s">
        <v>2</v>
      </c>
      <c r="C35" s="3">
        <v>-3</v>
      </c>
      <c r="D35" s="3">
        <v>16</v>
      </c>
      <c r="E35" s="3">
        <v>40</v>
      </c>
      <c r="F35" s="3">
        <v>31</v>
      </c>
      <c r="G35" s="3">
        <v>8</v>
      </c>
      <c r="H35" s="3">
        <v>9</v>
      </c>
      <c r="I35" s="3">
        <v>3</v>
      </c>
      <c r="J35" s="3">
        <v>6</v>
      </c>
      <c r="K35" s="3">
        <v>9</v>
      </c>
      <c r="L35" s="3">
        <v>14</v>
      </c>
      <c r="M35" s="3">
        <v>13</v>
      </c>
      <c r="N35" s="3">
        <v>-8</v>
      </c>
      <c r="P35" s="10" t="s">
        <v>6</v>
      </c>
      <c r="Q35" s="12">
        <f>Q33-Q34</f>
        <v>0.97138019910197348</v>
      </c>
    </row>
    <row r="36" spans="2:17" ht="20" thickBot="1" x14ac:dyDescent="0.3">
      <c r="B36" s="9" t="s">
        <v>3</v>
      </c>
      <c r="C36" s="14">
        <f t="shared" ref="C36" si="34">C34/C35</f>
        <v>10</v>
      </c>
      <c r="D36" s="14">
        <f t="shared" ref="D36" si="35">D34/D35</f>
        <v>-1.0625</v>
      </c>
      <c r="E36" s="14">
        <f t="shared" ref="E36" si="36">E34/E35</f>
        <v>0.85</v>
      </c>
      <c r="F36" s="14">
        <f t="shared" ref="F36" si="37">F34/F35</f>
        <v>-1.1290322580645162</v>
      </c>
      <c r="G36" s="5">
        <f t="shared" ref="G36" si="38">G34/G35</f>
        <v>-5.625</v>
      </c>
      <c r="H36" s="5">
        <f t="shared" ref="H36" si="39">H34/H35</f>
        <v>-4.2222222222222223</v>
      </c>
      <c r="I36" s="5">
        <f t="shared" ref="I36" si="40">I34/I35</f>
        <v>-8</v>
      </c>
      <c r="J36" s="5">
        <f t="shared" ref="J36" si="41">J34/J35</f>
        <v>-9.6666666666666661</v>
      </c>
      <c r="K36" s="5">
        <f t="shared" ref="K36" si="42">K34/K35</f>
        <v>-3.7777777777777777</v>
      </c>
      <c r="L36" s="5">
        <f t="shared" ref="L36" si="43">L34/L35</f>
        <v>7.2142857142857144</v>
      </c>
      <c r="M36" s="5">
        <f t="shared" ref="M36" si="44">M34/M35</f>
        <v>5.384615384615385</v>
      </c>
      <c r="N36" s="5">
        <f t="shared" ref="N36" si="45">N34/N35</f>
        <v>-7.75</v>
      </c>
    </row>
    <row r="37" spans="2:17" ht="16" thickTop="1" x14ac:dyDescent="0.2"/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5 Companies</vt:lpstr>
      <vt:lpstr>Bottom 5 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Aryan IPM 2024-29 Batch</dc:creator>
  <cp:lastModifiedBy>Harsh Aryan IPM 2024-29 Batch</cp:lastModifiedBy>
  <cp:lastPrinted>2026-01-06T17:42:26Z</cp:lastPrinted>
  <dcterms:created xsi:type="dcterms:W3CDTF">2026-01-06T17:13:50Z</dcterms:created>
  <dcterms:modified xsi:type="dcterms:W3CDTF">2026-01-06T17:53:24Z</dcterms:modified>
</cp:coreProperties>
</file>