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harsharyan/Files/IPM/Case Com : Event/Equity Research | IITG/Company Data/Financial Modelling/"/>
    </mc:Choice>
  </mc:AlternateContent>
  <xr:revisionPtr revIDLastSave="0" documentId="13_ncr:1_{C55930BA-A990-0444-B669-53F0B53832A2}" xr6:coauthVersionLast="47" xr6:coauthVersionMax="47" xr10:uidLastSave="{00000000-0000-0000-0000-000000000000}"/>
  <bookViews>
    <workbookView xWindow="0" yWindow="660" windowWidth="29400" windowHeight="18460" activeTab="1" xr2:uid="{D4886810-D9CC-4231-AA87-2302A306BB27}"/>
  </bookViews>
  <sheets>
    <sheet name="Financials&gt;" sheetId="1" r:id="rId1"/>
    <sheet name="Historical FS" sheetId="3" r:id="rId2"/>
    <sheet name="Forecasting" sheetId="8" r:id="rId3"/>
    <sheet name="Data&gt;" sheetId="4" r:id="rId4"/>
    <sheet name="Data Sheet" sheetId="6" r:id="rId5"/>
  </sheets>
  <definedNames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"01/26/2023 09:21:20"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  <definedName name="UPDATE" localSheetId="4">'Data Sheet'!$E$1</definedName>
    <definedName name="UPDATE">#REF!</definedName>
  </definedNames>
  <calcPr calcId="191029" iterate="1" iterateDelta="9.999999999999445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5" i="8" l="1"/>
  <c r="J16" i="8"/>
  <c r="J17" i="8"/>
  <c r="J18" i="8"/>
  <c r="J19" i="8"/>
  <c r="I16" i="8"/>
  <c r="I17" i="8"/>
  <c r="I18" i="8"/>
  <c r="I19" i="8"/>
  <c r="I15" i="8"/>
  <c r="D17" i="8"/>
  <c r="E18" i="8" s="1"/>
  <c r="D16" i="8"/>
  <c r="E15" i="8"/>
  <c r="E19" i="8"/>
  <c r="D18" i="8"/>
  <c r="D19" i="8"/>
  <c r="D15" i="8"/>
  <c r="J7" i="8"/>
  <c r="J8" i="8"/>
  <c r="J9" i="8"/>
  <c r="J10" i="8"/>
  <c r="J11" i="8"/>
  <c r="J12" i="8"/>
  <c r="J13" i="8"/>
  <c r="J14" i="8"/>
  <c r="J6" i="8"/>
  <c r="I5" i="8" a="1"/>
  <c r="I5" i="8" s="1"/>
  <c r="H7" i="8"/>
  <c r="H8" i="8" s="1"/>
  <c r="H9" i="8" s="1"/>
  <c r="H10" i="8" s="1"/>
  <c r="H11" i="8" s="1"/>
  <c r="H12" i="8" s="1"/>
  <c r="H13" i="8" s="1"/>
  <c r="H14" i="8" s="1"/>
  <c r="H15" i="8" s="1"/>
  <c r="H16" i="8" s="1"/>
  <c r="H17" i="8" s="1"/>
  <c r="H18" i="8" s="1"/>
  <c r="H19" i="8" s="1"/>
  <c r="H6" i="8"/>
  <c r="H5" i="8"/>
  <c r="G6" i="8"/>
  <c r="G7" i="8" s="1"/>
  <c r="G8" i="8" s="1"/>
  <c r="G9" i="8" s="1"/>
  <c r="G10" i="8" s="1"/>
  <c r="G11" i="8" s="1"/>
  <c r="G12" i="8" s="1"/>
  <c r="G13" i="8" s="1"/>
  <c r="G14" i="8" s="1"/>
  <c r="G15" i="8" s="1"/>
  <c r="G16" i="8" s="1"/>
  <c r="G17" i="8" s="1"/>
  <c r="G18" i="8" s="1"/>
  <c r="G19" i="8" s="1"/>
  <c r="E7" i="8"/>
  <c r="E8" i="8"/>
  <c r="E9" i="8"/>
  <c r="E10" i="8"/>
  <c r="E11" i="8"/>
  <c r="E12" i="8"/>
  <c r="E13" i="8"/>
  <c r="E14" i="8"/>
  <c r="E6" i="8"/>
  <c r="D5" i="8" a="1"/>
  <c r="D5" i="8" s="1"/>
  <c r="B7" i="8"/>
  <c r="B8" i="8" s="1"/>
  <c r="B9" i="8" s="1"/>
  <c r="B10" i="8" s="1"/>
  <c r="B11" i="8" s="1"/>
  <c r="B12" i="8" s="1"/>
  <c r="B13" i="8" s="1"/>
  <c r="B14" i="8" s="1"/>
  <c r="B15" i="8" s="1"/>
  <c r="B16" i="8" s="1"/>
  <c r="B17" i="8" s="1"/>
  <c r="B18" i="8" s="1"/>
  <c r="B19" i="8" s="1"/>
  <c r="C5" i="8"/>
  <c r="C6" i="8" s="1"/>
  <c r="C7" i="8" s="1"/>
  <c r="C8" i="8" s="1"/>
  <c r="C9" i="8" s="1"/>
  <c r="C10" i="8" s="1"/>
  <c r="C11" i="8" s="1"/>
  <c r="C12" i="8" s="1"/>
  <c r="C13" i="8" s="1"/>
  <c r="C14" i="8" s="1"/>
  <c r="C15" i="8" s="1"/>
  <c r="C16" i="8" s="1"/>
  <c r="C17" i="8" s="1"/>
  <c r="C18" i="8" s="1"/>
  <c r="C19" i="8" s="1"/>
  <c r="B6" i="8"/>
  <c r="G3" i="8"/>
  <c r="B3" i="8"/>
  <c r="I72" i="6"/>
  <c r="J72" i="6"/>
  <c r="K72" i="6"/>
  <c r="H72" i="6"/>
  <c r="C50" i="6"/>
  <c r="D50" i="6"/>
  <c r="E50" i="6"/>
  <c r="F50" i="6"/>
  <c r="G50" i="6"/>
  <c r="H50" i="6"/>
  <c r="I50" i="6"/>
  <c r="J50" i="6"/>
  <c r="K50" i="6"/>
  <c r="B50" i="6"/>
  <c r="C32" i="6"/>
  <c r="D32" i="6"/>
  <c r="E32" i="6"/>
  <c r="F32" i="6"/>
  <c r="G32" i="6"/>
  <c r="H32" i="6"/>
  <c r="I32" i="6"/>
  <c r="J32" i="6"/>
  <c r="K32" i="6"/>
  <c r="B32" i="6"/>
  <c r="E17" i="8" l="1"/>
  <c r="E16" i="8"/>
  <c r="D73" i="3"/>
  <c r="E73" i="3"/>
  <c r="F73" i="3"/>
  <c r="G73" i="3"/>
  <c r="H73" i="3"/>
  <c r="I73" i="3"/>
  <c r="J73" i="3"/>
  <c r="K73" i="3"/>
  <c r="L73" i="3"/>
  <c r="C73" i="3"/>
  <c r="D69" i="3"/>
  <c r="E69" i="3"/>
  <c r="F69" i="3"/>
  <c r="G69" i="3"/>
  <c r="H69" i="3"/>
  <c r="I69" i="3"/>
  <c r="J69" i="3"/>
  <c r="K69" i="3"/>
  <c r="L69" i="3"/>
  <c r="D70" i="3"/>
  <c r="E70" i="3"/>
  <c r="F70" i="3"/>
  <c r="G70" i="3"/>
  <c r="H70" i="3"/>
  <c r="I70" i="3"/>
  <c r="J70" i="3"/>
  <c r="K70" i="3"/>
  <c r="L70" i="3"/>
  <c r="D71" i="3"/>
  <c r="E71" i="3"/>
  <c r="F71" i="3"/>
  <c r="G71" i="3"/>
  <c r="H71" i="3"/>
  <c r="I71" i="3"/>
  <c r="J71" i="3"/>
  <c r="K71" i="3"/>
  <c r="L71" i="3"/>
  <c r="C70" i="3"/>
  <c r="C71" i="3"/>
  <c r="C69" i="3"/>
  <c r="B2" i="3"/>
  <c r="D59" i="3"/>
  <c r="E59" i="3"/>
  <c r="F59" i="3"/>
  <c r="G59" i="3"/>
  <c r="H59" i="3"/>
  <c r="I59" i="3"/>
  <c r="J59" i="3"/>
  <c r="K59" i="3"/>
  <c r="L59" i="3"/>
  <c r="D60" i="3"/>
  <c r="E60" i="3"/>
  <c r="F60" i="3"/>
  <c r="G60" i="3"/>
  <c r="H60" i="3"/>
  <c r="I60" i="3"/>
  <c r="J60" i="3"/>
  <c r="K60" i="3"/>
  <c r="L60" i="3"/>
  <c r="D61" i="3"/>
  <c r="E61" i="3"/>
  <c r="F61" i="3"/>
  <c r="G61" i="3"/>
  <c r="H61" i="3"/>
  <c r="I61" i="3"/>
  <c r="J61" i="3"/>
  <c r="K61" i="3"/>
  <c r="L61" i="3"/>
  <c r="C60" i="3"/>
  <c r="C61" i="3"/>
  <c r="C59" i="3"/>
  <c r="D56" i="3"/>
  <c r="E56" i="3"/>
  <c r="F56" i="3"/>
  <c r="G56" i="3"/>
  <c r="H56" i="3"/>
  <c r="I56" i="3"/>
  <c r="J56" i="3"/>
  <c r="K56" i="3"/>
  <c r="L56" i="3"/>
  <c r="C56" i="3"/>
  <c r="D53" i="3"/>
  <c r="E53" i="3"/>
  <c r="F53" i="3"/>
  <c r="G53" i="3"/>
  <c r="H53" i="3"/>
  <c r="I53" i="3"/>
  <c r="J53" i="3"/>
  <c r="K53" i="3"/>
  <c r="L53" i="3"/>
  <c r="D54" i="3"/>
  <c r="E54" i="3"/>
  <c r="F54" i="3"/>
  <c r="G54" i="3"/>
  <c r="H54" i="3"/>
  <c r="I54" i="3"/>
  <c r="J54" i="3"/>
  <c r="K54" i="3"/>
  <c r="L54" i="3"/>
  <c r="D55" i="3"/>
  <c r="E55" i="3"/>
  <c r="F55" i="3"/>
  <c r="G55" i="3"/>
  <c r="H55" i="3"/>
  <c r="I55" i="3"/>
  <c r="J55" i="3"/>
  <c r="K55" i="3"/>
  <c r="L55" i="3"/>
  <c r="C54" i="3"/>
  <c r="C55" i="3"/>
  <c r="C53" i="3"/>
  <c r="D51" i="3"/>
  <c r="E51" i="3"/>
  <c r="F51" i="3"/>
  <c r="G51" i="3"/>
  <c r="H51" i="3"/>
  <c r="I51" i="3"/>
  <c r="J51" i="3"/>
  <c r="K51" i="3"/>
  <c r="L51" i="3"/>
  <c r="C51" i="3"/>
  <c r="C48" i="3"/>
  <c r="C49" i="3"/>
  <c r="C50" i="3"/>
  <c r="D47" i="3"/>
  <c r="E47" i="3"/>
  <c r="F47" i="3"/>
  <c r="G47" i="3"/>
  <c r="H47" i="3"/>
  <c r="I47" i="3"/>
  <c r="J47" i="3"/>
  <c r="K47" i="3"/>
  <c r="L47" i="3"/>
  <c r="C47" i="3"/>
  <c r="C15" i="3"/>
  <c r="D36" i="3"/>
  <c r="E36" i="3"/>
  <c r="F36" i="3"/>
  <c r="G36" i="3"/>
  <c r="H36" i="3"/>
  <c r="I36" i="3"/>
  <c r="J36" i="3"/>
  <c r="K36" i="3"/>
  <c r="L36" i="3"/>
  <c r="C36" i="3"/>
  <c r="D30" i="3"/>
  <c r="E30" i="3"/>
  <c r="F30" i="3"/>
  <c r="G30" i="3"/>
  <c r="H30" i="3"/>
  <c r="I30" i="3"/>
  <c r="J30" i="3"/>
  <c r="K30" i="3"/>
  <c r="L30" i="3"/>
  <c r="C30" i="3"/>
  <c r="D24" i="3"/>
  <c r="E24" i="3"/>
  <c r="F24" i="3"/>
  <c r="G24" i="3"/>
  <c r="H24" i="3"/>
  <c r="I24" i="3"/>
  <c r="J24" i="3"/>
  <c r="K24" i="3"/>
  <c r="L24" i="3"/>
  <c r="C24" i="3"/>
  <c r="D21" i="3"/>
  <c r="E21" i="3"/>
  <c r="F21" i="3"/>
  <c r="G21" i="3"/>
  <c r="H21" i="3"/>
  <c r="I21" i="3"/>
  <c r="J21" i="3"/>
  <c r="K21" i="3"/>
  <c r="L21" i="3"/>
  <c r="C21" i="3"/>
  <c r="D15" i="3"/>
  <c r="E15" i="3"/>
  <c r="F15" i="3"/>
  <c r="G15" i="3"/>
  <c r="H15" i="3"/>
  <c r="I15" i="3"/>
  <c r="J15" i="3"/>
  <c r="K15" i="3"/>
  <c r="L15" i="3"/>
  <c r="D9" i="3"/>
  <c r="E9" i="3"/>
  <c r="F9" i="3"/>
  <c r="G9" i="3"/>
  <c r="H9" i="3"/>
  <c r="I9" i="3"/>
  <c r="J9" i="3"/>
  <c r="K9" i="3"/>
  <c r="L9" i="3"/>
  <c r="C9" i="3"/>
  <c r="D6" i="3"/>
  <c r="E6" i="3"/>
  <c r="F6" i="3"/>
  <c r="G6" i="3"/>
  <c r="H6" i="3"/>
  <c r="I6" i="3"/>
  <c r="J6" i="3"/>
  <c r="K6" i="3"/>
  <c r="L6" i="3"/>
  <c r="C6" i="3"/>
  <c r="B6" i="6"/>
  <c r="E1" i="6"/>
  <c r="L50" i="3" l="1"/>
  <c r="K50" i="3"/>
  <c r="J50" i="3"/>
  <c r="I50" i="3"/>
  <c r="H50" i="3"/>
  <c r="G50" i="3"/>
  <c r="F50" i="3"/>
  <c r="E50" i="3"/>
  <c r="D50" i="3"/>
  <c r="L49" i="3"/>
  <c r="K49" i="3"/>
  <c r="J49" i="3"/>
  <c r="I49" i="3"/>
  <c r="H49" i="3"/>
  <c r="G49" i="3"/>
  <c r="F49" i="3"/>
  <c r="E49" i="3"/>
  <c r="D49" i="3"/>
  <c r="L48" i="3"/>
  <c r="K48" i="3"/>
  <c r="J48" i="3"/>
  <c r="I48" i="3"/>
  <c r="H48" i="3"/>
  <c r="G48" i="3"/>
  <c r="F48" i="3"/>
  <c r="E48" i="3"/>
  <c r="D48" i="3"/>
  <c r="K41" i="3"/>
  <c r="J41" i="3"/>
  <c r="I41" i="3"/>
  <c r="H41" i="3"/>
  <c r="G41" i="3"/>
  <c r="F41" i="3"/>
  <c r="E41" i="3"/>
  <c r="D41" i="3"/>
  <c r="C41" i="3"/>
  <c r="J62" i="3" l="1"/>
  <c r="I62" i="3"/>
  <c r="C62" i="3"/>
  <c r="F62" i="3"/>
  <c r="D57" i="3"/>
  <c r="L57" i="3"/>
  <c r="I57" i="3"/>
  <c r="C57" i="3"/>
  <c r="K57" i="3"/>
  <c r="E57" i="3"/>
  <c r="E62" i="3"/>
  <c r="D62" i="3"/>
  <c r="L62" i="3"/>
  <c r="K62" i="3"/>
  <c r="F57" i="3"/>
  <c r="J57" i="3"/>
  <c r="G57" i="3"/>
  <c r="G62" i="3"/>
  <c r="H57" i="3"/>
  <c r="H62" i="3"/>
  <c r="H64" i="3" s="1"/>
  <c r="H66" i="3" s="1"/>
  <c r="L41" i="3"/>
  <c r="F10" i="3"/>
  <c r="K12" i="3"/>
  <c r="K13" i="3" s="1"/>
  <c r="D10" i="3"/>
  <c r="C12" i="3"/>
  <c r="J12" i="3"/>
  <c r="J13" i="3" s="1"/>
  <c r="C16" i="3"/>
  <c r="C22" i="3"/>
  <c r="K22" i="3"/>
  <c r="K7" i="3"/>
  <c r="G16" i="3"/>
  <c r="E22" i="3"/>
  <c r="F25" i="3"/>
  <c r="G7" i="3"/>
  <c r="L10" i="3"/>
  <c r="H16" i="3"/>
  <c r="G25" i="3"/>
  <c r="I7" i="3"/>
  <c r="G12" i="3"/>
  <c r="G22" i="3"/>
  <c r="H22" i="3"/>
  <c r="E16" i="3"/>
  <c r="F22" i="3"/>
  <c r="F16" i="3"/>
  <c r="L25" i="3"/>
  <c r="I10" i="3"/>
  <c r="J16" i="3"/>
  <c r="E10" i="3"/>
  <c r="I16" i="3"/>
  <c r="I22" i="3"/>
  <c r="F12" i="3"/>
  <c r="H10" i="3"/>
  <c r="J10" i="3"/>
  <c r="K16" i="3"/>
  <c r="J22" i="3"/>
  <c r="J7" i="3"/>
  <c r="J25" i="3"/>
  <c r="D25" i="3"/>
  <c r="H25" i="3"/>
  <c r="D16" i="3"/>
  <c r="L16" i="3"/>
  <c r="C25" i="3"/>
  <c r="K25" i="3"/>
  <c r="L12" i="3"/>
  <c r="E12" i="3"/>
  <c r="D22" i="3"/>
  <c r="L22" i="3"/>
  <c r="D12" i="3"/>
  <c r="E25" i="3"/>
  <c r="D7" i="3"/>
  <c r="L7" i="3"/>
  <c r="G10" i="3"/>
  <c r="E7" i="3"/>
  <c r="F7" i="3"/>
  <c r="H12" i="3"/>
  <c r="I25" i="3"/>
  <c r="H7" i="3"/>
  <c r="C10" i="3"/>
  <c r="K10" i="3"/>
  <c r="I12" i="3"/>
  <c r="I64" i="3" l="1"/>
  <c r="I66" i="3" s="1"/>
  <c r="J64" i="3"/>
  <c r="J66" i="3" s="1"/>
  <c r="D64" i="3"/>
  <c r="D66" i="3" s="1"/>
  <c r="C18" i="3"/>
  <c r="C19" i="3" s="1"/>
  <c r="F64" i="3"/>
  <c r="F66" i="3" s="1"/>
  <c r="C64" i="3"/>
  <c r="C66" i="3" s="1"/>
  <c r="E64" i="3"/>
  <c r="E66" i="3" s="1"/>
  <c r="L64" i="3"/>
  <c r="L66" i="3" s="1"/>
  <c r="K64" i="3"/>
  <c r="K66" i="3" s="1"/>
  <c r="G64" i="3"/>
  <c r="G66" i="3" s="1"/>
  <c r="J18" i="3"/>
  <c r="J19" i="3" s="1"/>
  <c r="C13" i="3"/>
  <c r="C27" i="3"/>
  <c r="C28" i="3" s="1"/>
  <c r="K18" i="3"/>
  <c r="K19" i="3" s="1"/>
  <c r="E18" i="3"/>
  <c r="E13" i="3"/>
  <c r="G18" i="3"/>
  <c r="G13" i="3"/>
  <c r="F18" i="3"/>
  <c r="F13" i="3"/>
  <c r="L18" i="3"/>
  <c r="L13" i="3"/>
  <c r="H18" i="3"/>
  <c r="H13" i="3"/>
  <c r="I18" i="3"/>
  <c r="I13" i="3"/>
  <c r="D18" i="3"/>
  <c r="D13" i="3"/>
  <c r="J27" i="3" l="1"/>
  <c r="J28" i="3" s="1"/>
  <c r="C33" i="3"/>
  <c r="C38" i="3" s="1"/>
  <c r="C42" i="3" s="1"/>
  <c r="C31" i="3"/>
  <c r="K27" i="3"/>
  <c r="K28" i="3" s="1"/>
  <c r="G19" i="3"/>
  <c r="G27" i="3"/>
  <c r="F19" i="3"/>
  <c r="F27" i="3"/>
  <c r="I19" i="3"/>
  <c r="I27" i="3"/>
  <c r="D19" i="3"/>
  <c r="D27" i="3"/>
  <c r="H19" i="3"/>
  <c r="H27" i="3"/>
  <c r="E19" i="3"/>
  <c r="E27" i="3"/>
  <c r="L19" i="3"/>
  <c r="L27" i="3"/>
  <c r="J33" i="3" l="1"/>
  <c r="J34" i="3" s="1"/>
  <c r="K33" i="3"/>
  <c r="J31" i="3"/>
  <c r="C34" i="3"/>
  <c r="K31" i="3"/>
  <c r="C44" i="3"/>
  <c r="L31" i="3"/>
  <c r="L33" i="3"/>
  <c r="L28" i="3"/>
  <c r="K34" i="3"/>
  <c r="K38" i="3"/>
  <c r="E31" i="3"/>
  <c r="E33" i="3"/>
  <c r="E28" i="3"/>
  <c r="J38" i="3"/>
  <c r="D31" i="3"/>
  <c r="D33" i="3"/>
  <c r="D28" i="3"/>
  <c r="F28" i="3"/>
  <c r="F33" i="3"/>
  <c r="F31" i="3"/>
  <c r="H28" i="3"/>
  <c r="H31" i="3"/>
  <c r="H33" i="3"/>
  <c r="G33" i="3"/>
  <c r="G28" i="3"/>
  <c r="G31" i="3"/>
  <c r="I33" i="3"/>
  <c r="I28" i="3"/>
  <c r="I31" i="3"/>
  <c r="J42" i="3" l="1"/>
  <c r="J44" i="3" s="1"/>
  <c r="K39" i="3"/>
  <c r="K42" i="3"/>
  <c r="K44" i="3" s="1"/>
  <c r="F34" i="3"/>
  <c r="F38" i="3"/>
  <c r="I38" i="3"/>
  <c r="J39" i="3" s="1"/>
  <c r="I34" i="3"/>
  <c r="D38" i="3"/>
  <c r="D34" i="3"/>
  <c r="H34" i="3"/>
  <c r="H38" i="3"/>
  <c r="E34" i="3"/>
  <c r="E38" i="3"/>
  <c r="G34" i="3"/>
  <c r="G38" i="3"/>
  <c r="L38" i="3"/>
  <c r="L34" i="3"/>
  <c r="E39" i="3" l="1"/>
  <c r="E42" i="3"/>
  <c r="E44" i="3" s="1"/>
  <c r="H39" i="3"/>
  <c r="H42" i="3"/>
  <c r="H44" i="3" s="1"/>
  <c r="G39" i="3"/>
  <c r="G42" i="3"/>
  <c r="G44" i="3" s="1"/>
  <c r="I44" i="3"/>
  <c r="I39" i="3"/>
  <c r="I42" i="3"/>
  <c r="F39" i="3"/>
  <c r="F42" i="3"/>
  <c r="F44" i="3"/>
  <c r="L39" i="3"/>
  <c r="L42" i="3"/>
  <c r="L44" i="3" s="1"/>
  <c r="D39" i="3"/>
  <c r="D42" i="3"/>
  <c r="D44" i="3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<sst xmlns="http://schemas.openxmlformats.org/spreadsheetml/2006/main" count="129" uniqueCount="91">
  <si>
    <t>COMPANY NAME</t>
  </si>
  <si>
    <t>LATEST VERSION</t>
  </si>
  <si>
    <t>PLEASE DO NOT MAKE ANY CHANGES TO THIS SHEET</t>
  </si>
  <si>
    <t>CURRENT VERSION</t>
  </si>
  <si>
    <t>META</t>
  </si>
  <si>
    <t>Number of shares</t>
  </si>
  <si>
    <t>Face Value</t>
  </si>
  <si>
    <t>Current Price</t>
  </si>
  <si>
    <t>Market Capitalization</t>
  </si>
  <si>
    <t>PROFIT &amp; LOSS</t>
  </si>
  <si>
    <t>Report Date</t>
  </si>
  <si>
    <t>Sales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</si>
  <si>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</si>
  <si>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</si>
  <si>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</si>
  <si>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</si>
  <si>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</si>
  <si>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</si>
  <si>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</si>
  <si>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Other Income</t>
  </si>
  <si>
    <t>Depreciation</t>
  </si>
  <si>
    <t>Interest</t>
  </si>
  <si>
    <t>Profit before tax</t>
  </si>
  <si>
    <t>Tax</t>
  </si>
  <si>
    <t>Net profit</t>
  </si>
  <si>
    <t>Dividend Amount</t>
  </si>
  <si>
    <t>Effective Tax Rate</t>
  </si>
  <si>
    <t>EBITDA</t>
  </si>
  <si>
    <t>Quarters</t>
  </si>
  <si>
    <t>Expenses</t>
  </si>
  <si>
    <t>Operating Profit</t>
  </si>
  <si>
    <t>BALANCE SHEET</t>
  </si>
  <si>
    <t>Equity Share Capital</t>
  </si>
  <si>
    <t>Reserves</t>
  </si>
  <si>
    <t>Borrowings</t>
  </si>
  <si>
    <t>Other Liabilities</t>
  </si>
  <si>
    <t>Total</t>
  </si>
  <si>
    <t>Net Block</t>
  </si>
  <si>
    <t>Capital Work in Progress</t>
  </si>
  <si>
    <t>Investments</t>
  </si>
  <si>
    <t>Other Assets</t>
  </si>
  <si>
    <t>Receivables</t>
  </si>
  <si>
    <t>Inventory</t>
  </si>
  <si>
    <t>Cash &amp; Bank</t>
  </si>
  <si>
    <t>No. of Equity Shares</t>
  </si>
  <si>
    <t>New Bonus Shares</t>
  </si>
  <si>
    <t>Face value</t>
  </si>
  <si>
    <t>CASH FLOW:</t>
  </si>
  <si>
    <t>Cash from Operating Activity</t>
  </si>
  <si>
    <t>Cash from Investing Activity</t>
  </si>
  <si>
    <t>Cash from Financing Activity</t>
  </si>
  <si>
    <t>Net Cash Flow</t>
  </si>
  <si>
    <t>PRICE:</t>
  </si>
  <si>
    <t>DERIVED:</t>
  </si>
  <si>
    <t>Adjusted Equity Shares in Cr</t>
  </si>
  <si>
    <t>Years</t>
  </si>
  <si>
    <t>Income Statement</t>
  </si>
  <si>
    <t>#</t>
  </si>
  <si>
    <t>Sales Growth</t>
  </si>
  <si>
    <t>-</t>
  </si>
  <si>
    <t>COGS</t>
  </si>
  <si>
    <t>COGS % Sales</t>
  </si>
  <si>
    <t>Gross Profit</t>
  </si>
  <si>
    <t>Selling &amp; General Expenses</t>
  </si>
  <si>
    <t>S&amp;G Exp % Sales</t>
  </si>
  <si>
    <t>EBITDA Margins</t>
  </si>
  <si>
    <t>Interest % Sales</t>
  </si>
  <si>
    <t>Depreciation%Sales</t>
  </si>
  <si>
    <t>Gross Margins</t>
  </si>
  <si>
    <t>Earnings Before Tax</t>
  </si>
  <si>
    <t>EBT % Sales</t>
  </si>
  <si>
    <t>Net Profit</t>
  </si>
  <si>
    <t>Net Margins</t>
  </si>
  <si>
    <t>No of Equity Shares</t>
  </si>
  <si>
    <t>Dividend per Share</t>
  </si>
  <si>
    <t>Earnings per Share</t>
  </si>
  <si>
    <t>EPS Growth %</t>
  </si>
  <si>
    <t>Dividend payout ratio</t>
  </si>
  <si>
    <t>Retained Earnings</t>
  </si>
  <si>
    <t>Balance Sheet</t>
  </si>
  <si>
    <t>Total Liabilities</t>
  </si>
  <si>
    <t>Fixed Assets Net Block</t>
  </si>
  <si>
    <t>Total Non Current Assets</t>
  </si>
  <si>
    <t>Total Current Assets</t>
  </si>
  <si>
    <t>Total Assets</t>
  </si>
  <si>
    <t>Check</t>
  </si>
  <si>
    <t>Cash Flow Statements</t>
  </si>
  <si>
    <t>DYNACONS SYSTEMS &amp; SOLUTIONS LTD</t>
  </si>
  <si>
    <t>Year Weight</t>
  </si>
  <si>
    <t>Year</t>
  </si>
  <si>
    <t>EBITDA Growth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</si>
</sst>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(* #,##0.00_);_(* \(#,##0.00\);_(* &quot;-&quot;??_);_(@_)"/>
    <numFmt numFmtId="164" formatCode="_ * #,##0.00_ ;_ * \-#,##0.00_ ;_ * &quot;-&quot;??_ ;_ @_ "/>
    <numFmt numFmtId="165" formatCode="[$-409]mmm\-yy;@"/>
    <numFmt numFmtId="166" formatCode="&quot;₹&quot;\ #,##0.0;\(&quot;₹&quot;\ #,##0.0\);\-"/>
    <numFmt numFmtId="167" formatCode="&quot;₹&quot;\ #,##0.00"/>
    <numFmt numFmtId="168" formatCode="&quot;₹&quot;\ #,##0.00;\(&quot;₹&quot;\ #,##0.00\);\-"/>
    <numFmt numFmtId="169" formatCode="yyyy&quot;A&quot;"/>
    <numFmt numFmtId="171" formatCode="yyyy&quot;E&quot;"/>
  </numFmts>
  <fonts count="15" x14ac:knownFonts="1">
    <font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theme="0"/>
      <name val="calibri"/>
      <family val="2"/>
    </font>
    <font>
      <b/>
      <sz val="11"/>
      <color theme="1"/>
      <name val="calibri"/>
      <family val="2"/>
    </font>
    <font>
      <u/>
      <sz val="11"/>
      <color theme="10"/>
      <name val="calibri"/>
      <family val="2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0"/>
      <name val="Calibri"/>
      <family val="2"/>
      <scheme val="minor"/>
    </font>
    <font>
      <sz val="11"/>
      <color theme="1"/>
      <name val="Arial Narrow"/>
      <family val="2"/>
    </font>
    <font>
      <i/>
      <sz val="11"/>
      <color theme="1"/>
      <name val="calibri"/>
      <family val="2"/>
    </font>
    <font>
      <i/>
      <sz val="11"/>
      <color theme="0" tint="-0.499984740745262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11"/>
      <color rgb="FF0070C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theme="9"/>
      </patternFill>
    </fill>
    <fill>
      <patternFill patternType="solid">
        <fgColor rgb="FF0275D8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8">
    <xf numFmtId="0" fontId="0" fillId="0" borderId="0"/>
    <xf numFmtId="9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7" fillId="2" borderId="0" applyNumberFormat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8" fillId="0" borderId="0"/>
  </cellStyleXfs>
  <cellXfs count="61">
    <xf numFmtId="0" fontId="0" fillId="0" borderId="0" xfId="0"/>
    <xf numFmtId="164" fontId="6" fillId="0" borderId="0" xfId="2" applyFont="1" applyBorder="1"/>
    <xf numFmtId="0" fontId="6" fillId="0" borderId="0" xfId="5" applyFont="1"/>
    <xf numFmtId="0" fontId="5" fillId="0" borderId="0" xfId="5"/>
    <xf numFmtId="0" fontId="2" fillId="4" borderId="0" xfId="0" applyFont="1" applyFill="1"/>
    <xf numFmtId="17" fontId="2" fillId="4" borderId="0" xfId="0" applyNumberFormat="1" applyFont="1" applyFill="1"/>
    <xf numFmtId="0" fontId="3" fillId="0" borderId="0" xfId="0" applyFont="1"/>
    <xf numFmtId="166" fontId="0" fillId="0" borderId="0" xfId="0" applyNumberFormat="1"/>
    <xf numFmtId="10" fontId="0" fillId="0" borderId="0" xfId="1" applyNumberFormat="1" applyFont="1"/>
    <xf numFmtId="0" fontId="9" fillId="0" borderId="0" xfId="0" applyFont="1"/>
    <xf numFmtId="0" fontId="10" fillId="0" borderId="0" xfId="0" applyFont="1"/>
    <xf numFmtId="0" fontId="10" fillId="0" borderId="0" xfId="0" applyFont="1" applyAlignment="1">
      <alignment horizontal="right"/>
    </xf>
    <xf numFmtId="10" fontId="10" fillId="0" borderId="0" xfId="1" applyNumberFormat="1" applyFont="1"/>
    <xf numFmtId="167" fontId="0" fillId="0" borderId="0" xfId="0" applyNumberFormat="1"/>
    <xf numFmtId="0" fontId="2" fillId="0" borderId="0" xfId="0" applyFont="1"/>
    <xf numFmtId="17" fontId="2" fillId="0" borderId="0" xfId="0" applyNumberFormat="1" applyFont="1"/>
    <xf numFmtId="0" fontId="3" fillId="5" borderId="0" xfId="0" applyFont="1" applyFill="1"/>
    <xf numFmtId="0" fontId="0" fillId="5" borderId="0" xfId="0" applyFill="1"/>
    <xf numFmtId="166" fontId="3" fillId="0" borderId="0" xfId="0" applyNumberFormat="1" applyFont="1"/>
    <xf numFmtId="164" fontId="11" fillId="0" borderId="0" xfId="2" applyFont="1" applyBorder="1"/>
    <xf numFmtId="164" fontId="0" fillId="0" borderId="0" xfId="2" applyFont="1" applyBorder="1"/>
    <xf numFmtId="165" fontId="12" fillId="3" borderId="0" xfId="2" applyNumberFormat="1" applyFont="1" applyFill="1" applyBorder="1"/>
    <xf numFmtId="165" fontId="12" fillId="3" borderId="0" xfId="5" applyNumberFormat="1" applyFont="1" applyFill="1" applyAlignment="1">
      <alignment horizontal="center"/>
    </xf>
    <xf numFmtId="165" fontId="13" fillId="0" borderId="0" xfId="2" applyNumberFormat="1" applyFont="1" applyFill="1" applyBorder="1"/>
    <xf numFmtId="164" fontId="5" fillId="0" borderId="0" xfId="2" applyFont="1" applyBorder="1"/>
    <xf numFmtId="43" fontId="0" fillId="0" borderId="0" xfId="2" applyNumberFormat="1" applyFont="1" applyBorder="1"/>
    <xf numFmtId="168" fontId="0" fillId="0" borderId="0" xfId="0" applyNumberFormat="1"/>
    <xf numFmtId="168" fontId="3" fillId="0" borderId="0" xfId="0" applyNumberFormat="1" applyFont="1"/>
    <xf numFmtId="168" fontId="9" fillId="0" borderId="0" xfId="0" applyNumberFormat="1" applyFont="1"/>
    <xf numFmtId="0" fontId="6" fillId="0" borderId="1" xfId="5" applyFont="1" applyBorder="1"/>
    <xf numFmtId="0" fontId="2" fillId="4" borderId="0" xfId="0" applyFont="1" applyFill="1" applyAlignment="1">
      <alignment horizontal="center"/>
    </xf>
    <xf numFmtId="164" fontId="4" fillId="0" borderId="0" xfId="3" applyNumberFormat="1" applyBorder="1" applyAlignment="1" applyProtection="1">
      <alignment horizontal="center"/>
    </xf>
    <xf numFmtId="164" fontId="12" fillId="2" borderId="0" xfId="4" applyNumberFormat="1" applyFont="1" applyBorder="1" applyAlignment="1">
      <alignment horizontal="center"/>
    </xf>
    <xf numFmtId="164" fontId="14" fillId="0" borderId="0" xfId="2" applyFont="1" applyBorder="1"/>
    <xf numFmtId="0" fontId="0" fillId="8" borderId="0" xfId="0" applyFill="1"/>
    <xf numFmtId="0" fontId="3" fillId="8" borderId="0" xfId="0" applyFont="1" applyFill="1" applyAlignment="1">
      <alignment horizontal="center"/>
    </xf>
    <xf numFmtId="0" fontId="2" fillId="8" borderId="0" xfId="0" applyFont="1" applyFill="1"/>
    <xf numFmtId="0" fontId="2" fillId="8" borderId="0" xfId="0" applyFont="1" applyFill="1" applyAlignment="1">
      <alignment horizontal="right"/>
    </xf>
    <xf numFmtId="0" fontId="0" fillId="8" borderId="0" xfId="0" applyFill="1" applyAlignment="1">
      <alignment horizontal="left"/>
    </xf>
    <xf numFmtId="169" fontId="0" fillId="8" borderId="0" xfId="0" applyNumberFormat="1" applyFill="1"/>
    <xf numFmtId="10" fontId="0" fillId="8" borderId="0" xfId="1" applyNumberFormat="1" applyFont="1" applyFill="1"/>
    <xf numFmtId="171" fontId="0" fillId="8" borderId="0" xfId="0" applyNumberFormat="1" applyFill="1"/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2" fillId="6" borderId="5" xfId="0" applyFont="1" applyFill="1" applyBorder="1"/>
    <xf numFmtId="0" fontId="2" fillId="6" borderId="0" xfId="0" applyFont="1" applyFill="1" applyBorder="1" applyAlignment="1">
      <alignment horizontal="right"/>
    </xf>
    <xf numFmtId="0" fontId="2" fillId="6" borderId="6" xfId="0" applyFont="1" applyFill="1" applyBorder="1" applyAlignment="1">
      <alignment horizontal="right"/>
    </xf>
    <xf numFmtId="0" fontId="0" fillId="0" borderId="5" xfId="0" applyBorder="1" applyAlignment="1">
      <alignment horizontal="left"/>
    </xf>
    <xf numFmtId="169" fontId="0" fillId="0" borderId="0" xfId="0" applyNumberFormat="1" applyBorder="1"/>
    <xf numFmtId="0" fontId="0" fillId="0" borderId="0" xfId="0" applyBorder="1"/>
    <xf numFmtId="0" fontId="0" fillId="0" borderId="6" xfId="0" applyBorder="1"/>
    <xf numFmtId="10" fontId="0" fillId="0" borderId="6" xfId="1" applyNumberFormat="1" applyFont="1" applyBorder="1"/>
    <xf numFmtId="0" fontId="0" fillId="7" borderId="5" xfId="0" applyFill="1" applyBorder="1" applyAlignment="1">
      <alignment horizontal="left"/>
    </xf>
    <xf numFmtId="171" fontId="0" fillId="7" borderId="0" xfId="0" applyNumberFormat="1" applyFill="1" applyBorder="1"/>
    <xf numFmtId="2" fontId="0" fillId="7" borderId="0" xfId="0" applyNumberFormat="1" applyFill="1" applyBorder="1"/>
    <xf numFmtId="10" fontId="0" fillId="7" borderId="6" xfId="1" applyNumberFormat="1" applyFont="1" applyFill="1" applyBorder="1"/>
    <xf numFmtId="0" fontId="0" fillId="7" borderId="7" xfId="0" applyFill="1" applyBorder="1" applyAlignment="1">
      <alignment horizontal="left"/>
    </xf>
    <xf numFmtId="171" fontId="0" fillId="7" borderId="8" xfId="0" applyNumberFormat="1" applyFill="1" applyBorder="1"/>
    <xf numFmtId="2" fontId="0" fillId="7" borderId="8" xfId="0" applyNumberFormat="1" applyFill="1" applyBorder="1"/>
    <xf numFmtId="10" fontId="0" fillId="7" borderId="9" xfId="1" applyNumberFormat="1" applyFont="1" applyFill="1" applyBorder="1"/>
  </cellXfs>
  <cellStyles count="8">
    <cellStyle name="Accent6 2" xfId="4" xr:uid="{BBDB2BF0-232B-4C01-AC19-E13AE7790424}"/>
    <cellStyle name="Comma 2" xfId="2" xr:uid="{177753BF-8FC0-47C2-A09D-659D00B32ED6}"/>
    <cellStyle name="Hyperlink 2" xfId="3" xr:uid="{7C8B96FE-EF46-46CA-837F-CBE11AA9368D}"/>
    <cellStyle name="Normal" xfId="0" builtinId="0"/>
    <cellStyle name="Normal 2" xfId="7" xr:uid="{2080FAEF-89A5-4CB3-B948-0E63B4C07C78}"/>
    <cellStyle name="Normal 3" xfId="5" xr:uid="{D9D406C4-520E-4DB0-A06B-D346019C8727}"/>
    <cellStyle name="Per cent" xfId="1" builtinId="5"/>
    <cellStyle name="Percent 3" xfId="6" xr:uid="{7B1B12B2-B1C6-4898-946F-9C0F047CCCB8}"/>
  </cellStyles>
  <dxfs count="1">
    <dxf>
      <font>
        <b/>
        <i val="0"/>
        <color theme="0"/>
      </font>
      <fill>
        <patternFill>
          <bgColor theme="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665A6F-FAE9-493F-95C8-EA88CC872622}">
  <sheetPr>
    <tabColor theme="8" tint="-0.499984740745262"/>
  </sheetPr>
  <dimension ref="A1"/>
  <sheetViews>
    <sheetView workbookViewId="0">
      <selection activeCell="F22" sqref="F22"/>
    </sheetView>
  </sheetViews>
  <sheetFormatPr baseColWidth="10" defaultColWidth="8.83203125" defaultRowHeight="15" x14ac:dyDescent="0.2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265E12-E142-48AD-908C-A9ADB1403414}">
  <dimension ref="A2:L107"/>
  <sheetViews>
    <sheetView showGridLines="0" tabSelected="1" zoomScale="118" workbookViewId="0">
      <pane ySplit="3" topLeftCell="A4" activePane="bottomLeft" state="frozen"/>
      <selection pane="bottomLeft" activeCell="N15" sqref="N15"/>
    </sheetView>
  </sheetViews>
  <sheetFormatPr baseColWidth="10" defaultColWidth="8.83203125" defaultRowHeight="15" x14ac:dyDescent="0.2"/>
  <cols>
    <col min="1" max="1" width="1.83203125" customWidth="1"/>
    <col min="2" max="2" width="28.5" bestFit="1" customWidth="1"/>
    <col min="3" max="12" width="13" customWidth="1"/>
  </cols>
  <sheetData>
    <row r="2" spans="1:12" x14ac:dyDescent="0.2">
      <c r="B2" s="30" t="str">
        <f>"Historical Financial Statement - "&amp;'Data Sheet'!B1</f>
        <v>Historical Financial Statement - DYNACONS SYSTEMS &amp; SOLUTIONS LTD</v>
      </c>
      <c r="C2" s="30"/>
      <c r="D2" s="30"/>
      <c r="E2" s="30"/>
      <c r="F2" s="30"/>
      <c r="G2" s="30"/>
      <c r="H2" s="30"/>
      <c r="I2" s="30"/>
      <c r="J2" s="30"/>
      <c r="K2" s="30"/>
      <c r="L2" s="30"/>
    </row>
    <row r="3" spans="1:12" x14ac:dyDescent="0.2">
      <c r="B3" s="4" t="s">
        <v>55</v>
      </c>
      <c r="C3" s="5">
        <v>42460</v>
      </c>
      <c r="D3" s="5">
        <v>42825</v>
      </c>
      <c r="E3" s="5">
        <v>43190</v>
      </c>
      <c r="F3" s="5">
        <v>43555</v>
      </c>
      <c r="G3" s="5">
        <v>43921</v>
      </c>
      <c r="H3" s="5">
        <v>44286</v>
      </c>
      <c r="I3" s="5">
        <v>44651</v>
      </c>
      <c r="J3" s="5">
        <v>45016</v>
      </c>
      <c r="K3" s="5">
        <v>45382</v>
      </c>
      <c r="L3" s="5">
        <v>45747</v>
      </c>
    </row>
    <row r="4" spans="1:12" x14ac:dyDescent="0.2">
      <c r="B4" s="14"/>
      <c r="C4" s="15"/>
      <c r="D4" s="15"/>
      <c r="E4" s="15"/>
      <c r="F4" s="15"/>
      <c r="G4" s="15"/>
      <c r="H4" s="15"/>
      <c r="I4" s="15"/>
      <c r="J4" s="15"/>
      <c r="K4" s="15"/>
      <c r="L4" s="15"/>
    </row>
    <row r="5" spans="1:12" x14ac:dyDescent="0.2">
      <c r="A5" t="s">
        <v>57</v>
      </c>
      <c r="B5" s="16" t="s">
        <v>56</v>
      </c>
      <c r="C5" s="17"/>
      <c r="D5" s="17"/>
      <c r="E5" s="17"/>
      <c r="F5" s="17"/>
      <c r="G5" s="17"/>
      <c r="H5" s="17"/>
      <c r="I5" s="17"/>
      <c r="J5" s="17"/>
      <c r="K5" s="17"/>
      <c r="L5" s="17"/>
    </row>
    <row r="6" spans="1:12" x14ac:dyDescent="0.2">
      <c r="B6" t="s">
        <v>11</v>
      </c>
      <c r="C6" s="7">
        <f>IFERROR('Data Sheet'!B17,0)</f>
        <v>124.18</v>
      </c>
      <c r="D6" s="7">
        <f>IFERROR('Data Sheet'!C17,0)</f>
        <v>158.29</v>
      </c>
      <c r="E6" s="7">
        <f>IFERROR('Data Sheet'!D17,0)</f>
        <v>210.7</v>
      </c>
      <c r="F6" s="7">
        <f>IFERROR('Data Sheet'!E17,0)</f>
        <v>303.72000000000003</v>
      </c>
      <c r="G6" s="7">
        <f>IFERROR('Data Sheet'!F17,0)</f>
        <v>327.95</v>
      </c>
      <c r="H6" s="7">
        <f>IFERROR('Data Sheet'!G17,0)</f>
        <v>435.94</v>
      </c>
      <c r="I6" s="7">
        <f>IFERROR('Data Sheet'!H17,0)</f>
        <v>653.98</v>
      </c>
      <c r="J6" s="7">
        <f>IFERROR('Data Sheet'!I17,0)</f>
        <v>804.15</v>
      </c>
      <c r="K6" s="7">
        <f>IFERROR('Data Sheet'!J17,0)</f>
        <v>1024.43</v>
      </c>
      <c r="L6" s="7">
        <f>IFERROR('Data Sheet'!K17,0)</f>
        <v>1266.83</v>
      </c>
    </row>
    <row r="7" spans="1:12" x14ac:dyDescent="0.2">
      <c r="B7" s="10" t="s">
        <v>58</v>
      </c>
      <c r="C7" s="11" t="s">
        <v>59</v>
      </c>
      <c r="D7" s="12">
        <f>D6/C6-1</f>
        <v>0.27468191335158632</v>
      </c>
      <c r="E7" s="12">
        <f t="shared" ref="E7:L7" si="0">E6/D6-1</f>
        <v>0.33110114347084463</v>
      </c>
      <c r="F7" s="12">
        <f t="shared" si="0"/>
        <v>0.44148077835785493</v>
      </c>
      <c r="G7" s="12">
        <f t="shared" si="0"/>
        <v>7.9777426577110289E-2</v>
      </c>
      <c r="H7" s="12">
        <f t="shared" si="0"/>
        <v>0.32928800121969815</v>
      </c>
      <c r="I7" s="12">
        <f t="shared" si="0"/>
        <v>0.50016057255585644</v>
      </c>
      <c r="J7" s="12">
        <f t="shared" si="0"/>
        <v>0.22962475916694691</v>
      </c>
      <c r="K7" s="12">
        <f t="shared" si="0"/>
        <v>0.27392899334701259</v>
      </c>
      <c r="L7" s="12">
        <f t="shared" si="0"/>
        <v>0.23661938834278562</v>
      </c>
    </row>
    <row r="9" spans="1:12" x14ac:dyDescent="0.2">
      <c r="B9" t="s">
        <v>60</v>
      </c>
      <c r="C9" s="7">
        <f>IFERROR(SUM('Data Sheet'!B18,'Data Sheet'!B20:B22)-1*'Data Sheet'!B19,0)</f>
        <v>117.65999999999998</v>
      </c>
      <c r="D9" s="7">
        <f>IFERROR(SUM('Data Sheet'!C18,'Data Sheet'!C20:C22)-1*'Data Sheet'!C19,0)</f>
        <v>150.15000000000003</v>
      </c>
      <c r="E9" s="7">
        <f>IFERROR(SUM('Data Sheet'!D18,'Data Sheet'!D20:D22)-1*'Data Sheet'!D19,0)</f>
        <v>198.95000000000002</v>
      </c>
      <c r="F9" s="7">
        <f>IFERROR(SUM('Data Sheet'!E18,'Data Sheet'!E20:E22)-1*'Data Sheet'!E19,0)</f>
        <v>285.81</v>
      </c>
      <c r="G9" s="7">
        <f>IFERROR(SUM('Data Sheet'!F18,'Data Sheet'!F20:F22)-1*'Data Sheet'!F19,0)</f>
        <v>306.22999999999996</v>
      </c>
      <c r="H9" s="7">
        <f>IFERROR(SUM('Data Sheet'!G18,'Data Sheet'!G20:G22)-1*'Data Sheet'!G19,0)</f>
        <v>412.32000000000005</v>
      </c>
      <c r="I9" s="7">
        <f>IFERROR(SUM('Data Sheet'!H18,'Data Sheet'!H20:H22)-1*'Data Sheet'!H19,0)</f>
        <v>616.10000000000014</v>
      </c>
      <c r="J9" s="7">
        <f>IFERROR(SUM('Data Sheet'!I18,'Data Sheet'!I20:I22)-1*'Data Sheet'!I19,0)</f>
        <v>737.93</v>
      </c>
      <c r="K9" s="7">
        <f>IFERROR(SUM('Data Sheet'!J18,'Data Sheet'!J20:J22)-1*'Data Sheet'!J19,0)</f>
        <v>934.54</v>
      </c>
      <c r="L9" s="7">
        <f>IFERROR(SUM('Data Sheet'!K18,'Data Sheet'!K20:K22)-1*'Data Sheet'!K19,0)</f>
        <v>1149.21</v>
      </c>
    </row>
    <row r="10" spans="1:12" x14ac:dyDescent="0.2">
      <c r="B10" s="10" t="s">
        <v>61</v>
      </c>
      <c r="C10" s="12">
        <f>C9/C6</f>
        <v>0.9474955709454016</v>
      </c>
      <c r="D10" s="12">
        <f t="shared" ref="D10:L10" si="1">D9/D6</f>
        <v>0.94857539958304404</v>
      </c>
      <c r="E10" s="12">
        <f t="shared" si="1"/>
        <v>0.94423350735643108</v>
      </c>
      <c r="F10" s="12">
        <f t="shared" si="1"/>
        <v>0.94103121295930459</v>
      </c>
      <c r="G10" s="12">
        <f t="shared" si="1"/>
        <v>0.93377039182802246</v>
      </c>
      <c r="H10" s="12">
        <f t="shared" si="1"/>
        <v>0.94581823186677083</v>
      </c>
      <c r="I10" s="12">
        <f t="shared" si="1"/>
        <v>0.9420777393804094</v>
      </c>
      <c r="J10" s="12">
        <f t="shared" si="1"/>
        <v>0.9176521793197786</v>
      </c>
      <c r="K10" s="12">
        <f t="shared" si="1"/>
        <v>0.91225364348955018</v>
      </c>
      <c r="L10" s="12">
        <f t="shared" si="1"/>
        <v>0.9071540775005329</v>
      </c>
    </row>
    <row r="12" spans="1:12" x14ac:dyDescent="0.2">
      <c r="B12" t="s">
        <v>62</v>
      </c>
      <c r="C12" s="13">
        <f>C6-C9</f>
        <v>6.5200000000000244</v>
      </c>
      <c r="D12" s="13">
        <f t="shared" ref="D12:L12" si="2">D6-D9</f>
        <v>8.1399999999999579</v>
      </c>
      <c r="E12" s="13">
        <f t="shared" si="2"/>
        <v>11.749999999999972</v>
      </c>
      <c r="F12" s="13">
        <f t="shared" si="2"/>
        <v>17.910000000000025</v>
      </c>
      <c r="G12" s="13">
        <f t="shared" si="2"/>
        <v>21.720000000000027</v>
      </c>
      <c r="H12" s="13">
        <f t="shared" si="2"/>
        <v>23.619999999999948</v>
      </c>
      <c r="I12" s="13">
        <f t="shared" si="2"/>
        <v>37.879999999999882</v>
      </c>
      <c r="J12" s="13">
        <f t="shared" si="2"/>
        <v>66.220000000000027</v>
      </c>
      <c r="K12" s="13">
        <f t="shared" si="2"/>
        <v>89.8900000000001</v>
      </c>
      <c r="L12" s="13">
        <f t="shared" si="2"/>
        <v>117.61999999999989</v>
      </c>
    </row>
    <row r="13" spans="1:12" x14ac:dyDescent="0.2">
      <c r="B13" s="10" t="s">
        <v>68</v>
      </c>
      <c r="C13" s="12">
        <f>C12/C6</f>
        <v>5.2504429054598359E-2</v>
      </c>
      <c r="D13" s="12">
        <f t="shared" ref="D13:L13" si="3">D12/D6</f>
        <v>5.1424600416955957E-2</v>
      </c>
      <c r="E13" s="12">
        <f t="shared" si="3"/>
        <v>5.5766492643568921E-2</v>
      </c>
      <c r="F13" s="12">
        <f t="shared" si="3"/>
        <v>5.8968787040695456E-2</v>
      </c>
      <c r="G13" s="12">
        <f t="shared" si="3"/>
        <v>6.6229608171977525E-2</v>
      </c>
      <c r="H13" s="12">
        <f t="shared" si="3"/>
        <v>5.4181768133229224E-2</v>
      </c>
      <c r="I13" s="12">
        <f t="shared" si="3"/>
        <v>5.7922260619590632E-2</v>
      </c>
      <c r="J13" s="12">
        <f t="shared" si="3"/>
        <v>8.2347820680221381E-2</v>
      </c>
      <c r="K13" s="12">
        <f t="shared" si="3"/>
        <v>8.7746356510449805E-2</v>
      </c>
      <c r="L13" s="12">
        <f t="shared" si="3"/>
        <v>9.284592249946709E-2</v>
      </c>
    </row>
    <row r="15" spans="1:12" x14ac:dyDescent="0.2">
      <c r="B15" t="s">
        <v>63</v>
      </c>
      <c r="C15" s="13">
        <f>IFERROR(SUM('Data Sheet'!B23:B24),0)</f>
        <v>2.35</v>
      </c>
      <c r="D15" s="13">
        <f>IFERROR(SUM('Data Sheet'!C23:C24),0)</f>
        <v>3.4</v>
      </c>
      <c r="E15" s="13">
        <f>IFERROR(SUM('Data Sheet'!D23:D24),0)</f>
        <v>5.08</v>
      </c>
      <c r="F15" s="13">
        <f>IFERROR(SUM('Data Sheet'!E23:E24),0)</f>
        <v>6.0299999999999994</v>
      </c>
      <c r="G15" s="13">
        <f>IFERROR(SUM('Data Sheet'!F23:F24),0)</f>
        <v>7.1099999999999994</v>
      </c>
      <c r="H15" s="13">
        <f>IFERROR(SUM('Data Sheet'!G23:G24),0)</f>
        <v>4.95</v>
      </c>
      <c r="I15" s="13">
        <f>IFERROR(SUM('Data Sheet'!H23:H24),0)</f>
        <v>7.23</v>
      </c>
      <c r="J15" s="13">
        <f>IFERROR(SUM('Data Sheet'!I23:I24),0)</f>
        <v>11.63</v>
      </c>
      <c r="K15" s="13">
        <f>IFERROR(SUM('Data Sheet'!J23:J24),0)</f>
        <v>11.67</v>
      </c>
      <c r="L15" s="13">
        <f>IFERROR(SUM('Data Sheet'!K23:K24),0)</f>
        <v>12.399999999999999</v>
      </c>
    </row>
    <row r="16" spans="1:12" x14ac:dyDescent="0.2">
      <c r="B16" s="10" t="s">
        <v>64</v>
      </c>
      <c r="C16" s="12">
        <f>C15/C6</f>
        <v>1.8924142373973264E-2</v>
      </c>
      <c r="D16" s="12">
        <f t="shared" ref="D16:L16" si="4">D15/D6</f>
        <v>2.1479562827721271E-2</v>
      </c>
      <c r="E16" s="12">
        <f t="shared" si="4"/>
        <v>2.4110109159943049E-2</v>
      </c>
      <c r="F16" s="12">
        <f t="shared" si="4"/>
        <v>1.9853812722244169E-2</v>
      </c>
      <c r="G16" s="12">
        <f t="shared" si="4"/>
        <v>2.1680134166793718E-2</v>
      </c>
      <c r="H16" s="12">
        <f t="shared" si="4"/>
        <v>1.1354773592696243E-2</v>
      </c>
      <c r="I16" s="12">
        <f t="shared" si="4"/>
        <v>1.1055383956695924E-2</v>
      </c>
      <c r="J16" s="12">
        <f t="shared" si="4"/>
        <v>1.4462475906236401E-2</v>
      </c>
      <c r="K16" s="12">
        <f t="shared" si="4"/>
        <v>1.1391700750661343E-2</v>
      </c>
      <c r="L16" s="12">
        <f t="shared" si="4"/>
        <v>9.7882115200934611E-3</v>
      </c>
    </row>
    <row r="18" spans="2:12" x14ac:dyDescent="0.2">
      <c r="B18" t="s">
        <v>27</v>
      </c>
      <c r="C18" s="13">
        <f>C12-C15</f>
        <v>4.1700000000000248</v>
      </c>
      <c r="D18" s="13">
        <f t="shared" ref="D18:L18" si="5">D12-D15</f>
        <v>4.7399999999999576</v>
      </c>
      <c r="E18" s="13">
        <f t="shared" si="5"/>
        <v>6.6699999999999715</v>
      </c>
      <c r="F18" s="13">
        <f t="shared" si="5"/>
        <v>11.880000000000026</v>
      </c>
      <c r="G18" s="13">
        <f t="shared" si="5"/>
        <v>14.610000000000028</v>
      </c>
      <c r="H18" s="13">
        <f t="shared" si="5"/>
        <v>18.669999999999948</v>
      </c>
      <c r="I18" s="13">
        <f t="shared" si="5"/>
        <v>30.649999999999881</v>
      </c>
      <c r="J18" s="13">
        <f t="shared" si="5"/>
        <v>54.590000000000025</v>
      </c>
      <c r="K18" s="13">
        <f t="shared" si="5"/>
        <v>78.220000000000098</v>
      </c>
      <c r="L18" s="13">
        <f t="shared" si="5"/>
        <v>105.21999999999989</v>
      </c>
    </row>
    <row r="19" spans="2:12" x14ac:dyDescent="0.2">
      <c r="B19" s="10" t="s">
        <v>65</v>
      </c>
      <c r="C19" s="12">
        <f>C18/C6</f>
        <v>3.3580286680625099E-2</v>
      </c>
      <c r="D19" s="12">
        <f t="shared" ref="D19:L19" si="6">D18/D6</f>
        <v>2.9945037589234683E-2</v>
      </c>
      <c r="E19" s="12">
        <f t="shared" si="6"/>
        <v>3.1656383483625872E-2</v>
      </c>
      <c r="F19" s="12">
        <f t="shared" si="6"/>
        <v>3.9114974318451283E-2</v>
      </c>
      <c r="G19" s="12">
        <f t="shared" si="6"/>
        <v>4.4549474005183803E-2</v>
      </c>
      <c r="H19" s="12">
        <f t="shared" si="6"/>
        <v>4.282699454053298E-2</v>
      </c>
      <c r="I19" s="12">
        <f t="shared" si="6"/>
        <v>4.6866876662894706E-2</v>
      </c>
      <c r="J19" s="12">
        <f t="shared" si="6"/>
        <v>6.7885344773984987E-2</v>
      </c>
      <c r="K19" s="12">
        <f t="shared" si="6"/>
        <v>7.6354655759788462E-2</v>
      </c>
      <c r="L19" s="12">
        <f t="shared" si="6"/>
        <v>8.3057710979373631E-2</v>
      </c>
    </row>
    <row r="21" spans="2:12" x14ac:dyDescent="0.2">
      <c r="B21" t="s">
        <v>21</v>
      </c>
      <c r="C21" s="13">
        <f>IFERROR('Data Sheet'!B27,0)</f>
        <v>2.75</v>
      </c>
      <c r="D21" s="13">
        <f>IFERROR('Data Sheet'!C27,0)</f>
        <v>2.91</v>
      </c>
      <c r="E21" s="13">
        <f>IFERROR('Data Sheet'!D27,0)</f>
        <v>3.9</v>
      </c>
      <c r="F21" s="13">
        <f>IFERROR('Data Sheet'!E27,0)</f>
        <v>6.03</v>
      </c>
      <c r="G21" s="13">
        <f>IFERROR('Data Sheet'!F27,0)</f>
        <v>7.76</v>
      </c>
      <c r="H21" s="13">
        <f>IFERROR('Data Sheet'!G27,0)</f>
        <v>7.17</v>
      </c>
      <c r="I21" s="13">
        <f>IFERROR('Data Sheet'!H27,0)</f>
        <v>9.02</v>
      </c>
      <c r="J21" s="13">
        <f>IFERROR('Data Sheet'!I27,0)</f>
        <v>10.91</v>
      </c>
      <c r="K21" s="13">
        <f>IFERROR('Data Sheet'!J27,0)</f>
        <v>8.8699999999999992</v>
      </c>
      <c r="L21" s="13">
        <f>IFERROR('Data Sheet'!K27,0)</f>
        <v>13.27</v>
      </c>
    </row>
    <row r="22" spans="2:12" x14ac:dyDescent="0.2">
      <c r="B22" s="10" t="s">
        <v>66</v>
      </c>
      <c r="C22" s="12">
        <f>C21/C6</f>
        <v>2.2145272990819777E-2</v>
      </c>
      <c r="D22" s="12">
        <f t="shared" ref="D22:L22" si="7">D21/D6</f>
        <v>1.8383978773137914E-2</v>
      </c>
      <c r="E22" s="12">
        <f t="shared" si="7"/>
        <v>1.8509729473184623E-2</v>
      </c>
      <c r="F22" s="12">
        <f t="shared" si="7"/>
        <v>1.9853812722244173E-2</v>
      </c>
      <c r="G22" s="12">
        <f t="shared" si="7"/>
        <v>2.3662143619454186E-2</v>
      </c>
      <c r="H22" s="12">
        <f t="shared" si="7"/>
        <v>1.6447217506996376E-2</v>
      </c>
      <c r="I22" s="12">
        <f t="shared" si="7"/>
        <v>1.3792470717758952E-2</v>
      </c>
      <c r="J22" s="12">
        <f t="shared" si="7"/>
        <v>1.3567120562084188E-2</v>
      </c>
      <c r="K22" s="12">
        <f t="shared" si="7"/>
        <v>8.658473492576358E-3</v>
      </c>
      <c r="L22" s="12">
        <f t="shared" si="7"/>
        <v>1.0474965070293567E-2</v>
      </c>
    </row>
    <row r="24" spans="2:12" x14ac:dyDescent="0.2">
      <c r="B24" t="s">
        <v>20</v>
      </c>
      <c r="C24" s="13">
        <f>IFERROR('Data Sheet'!B26,0)</f>
        <v>0.62</v>
      </c>
      <c r="D24" s="13">
        <f>IFERROR('Data Sheet'!C26,0)</f>
        <v>0.61</v>
      </c>
      <c r="E24" s="13">
        <f>IFERROR('Data Sheet'!D26,0)</f>
        <v>0.76</v>
      </c>
      <c r="F24" s="13">
        <f>IFERROR('Data Sheet'!E26,0)</f>
        <v>0.72</v>
      </c>
      <c r="G24" s="13">
        <f>IFERROR('Data Sheet'!F26,0)</f>
        <v>1.03</v>
      </c>
      <c r="H24" s="13">
        <f>IFERROR('Data Sheet'!G26,0)</f>
        <v>1.26</v>
      </c>
      <c r="I24" s="13">
        <f>IFERROR('Data Sheet'!H26,0)</f>
        <v>1.36</v>
      </c>
      <c r="J24" s="13">
        <f>IFERROR('Data Sheet'!I26,0)</f>
        <v>1.36</v>
      </c>
      <c r="K24" s="13">
        <f>IFERROR('Data Sheet'!J26,0)</f>
        <v>1.52</v>
      </c>
      <c r="L24" s="13">
        <f>IFERROR('Data Sheet'!K26,0)</f>
        <v>1.65</v>
      </c>
    </row>
    <row r="25" spans="2:12" x14ac:dyDescent="0.2">
      <c r="B25" s="10" t="s">
        <v>67</v>
      </c>
      <c r="C25" s="12">
        <f>C24/C6</f>
        <v>4.9927524561120947E-3</v>
      </c>
      <c r="D25" s="12">
        <f t="shared" ref="D25:L25" si="8">D24/D6</f>
        <v>3.8536862720323457E-3</v>
      </c>
      <c r="E25" s="12">
        <f t="shared" si="8"/>
        <v>3.6070242050308498E-3</v>
      </c>
      <c r="F25" s="12">
        <f t="shared" si="8"/>
        <v>2.3706045041485577E-3</v>
      </c>
      <c r="G25" s="12">
        <f t="shared" si="8"/>
        <v>3.1407226711388935E-3</v>
      </c>
      <c r="H25" s="12">
        <f t="shared" si="8"/>
        <v>2.8903060054135889E-3</v>
      </c>
      <c r="I25" s="12">
        <f t="shared" si="8"/>
        <v>2.0795742989082235E-3</v>
      </c>
      <c r="J25" s="12">
        <f t="shared" si="8"/>
        <v>1.6912267611763976E-3</v>
      </c>
      <c r="K25" s="12">
        <f t="shared" si="8"/>
        <v>1.4837519401032769E-3</v>
      </c>
      <c r="L25" s="12">
        <f t="shared" si="8"/>
        <v>1.3024636296898558E-3</v>
      </c>
    </row>
    <row r="27" spans="2:12" x14ac:dyDescent="0.2">
      <c r="B27" t="s">
        <v>69</v>
      </c>
      <c r="C27" s="13">
        <f>IFERROR(C18-SUM(C24,C21),0)</f>
        <v>0.80000000000002469</v>
      </c>
      <c r="D27" s="13">
        <f t="shared" ref="D27:L27" si="9">IFERROR(D18-SUM(D24,D21),0)</f>
        <v>1.2199999999999576</v>
      </c>
      <c r="E27" s="13">
        <f t="shared" si="9"/>
        <v>2.0099999999999714</v>
      </c>
      <c r="F27" s="13">
        <f t="shared" si="9"/>
        <v>5.1300000000000257</v>
      </c>
      <c r="G27" s="13">
        <f t="shared" si="9"/>
        <v>5.8200000000000287</v>
      </c>
      <c r="H27" s="13">
        <f t="shared" si="9"/>
        <v>10.239999999999949</v>
      </c>
      <c r="I27" s="7">
        <f t="shared" si="9"/>
        <v>20.269999999999882</v>
      </c>
      <c r="J27" s="7">
        <f t="shared" si="9"/>
        <v>42.320000000000022</v>
      </c>
      <c r="K27" s="7">
        <f t="shared" si="9"/>
        <v>67.830000000000098</v>
      </c>
      <c r="L27" s="7">
        <f t="shared" si="9"/>
        <v>90.299999999999883</v>
      </c>
    </row>
    <row r="28" spans="2:12" x14ac:dyDescent="0.2">
      <c r="B28" s="10" t="s">
        <v>70</v>
      </c>
      <c r="C28" s="12">
        <f>C27/C6</f>
        <v>6.4422612336932248E-3</v>
      </c>
      <c r="D28" s="12">
        <f t="shared" ref="D28:L28" si="10">D27/D6</f>
        <v>7.7073725440644234E-3</v>
      </c>
      <c r="E28" s="12">
        <f t="shared" si="10"/>
        <v>9.5396298054104007E-3</v>
      </c>
      <c r="F28" s="12">
        <f t="shared" si="10"/>
        <v>1.6890557092058559E-2</v>
      </c>
      <c r="G28" s="12">
        <f t="shared" si="10"/>
        <v>1.7746607714590728E-2</v>
      </c>
      <c r="H28" s="12">
        <f t="shared" si="10"/>
        <v>2.3489471028123019E-2</v>
      </c>
      <c r="I28" s="12">
        <f t="shared" si="10"/>
        <v>3.0994831646227534E-2</v>
      </c>
      <c r="J28" s="12">
        <f t="shared" si="10"/>
        <v>5.2626997450724397E-2</v>
      </c>
      <c r="K28" s="12">
        <f t="shared" si="10"/>
        <v>6.6212430327108829E-2</v>
      </c>
      <c r="L28" s="12">
        <f t="shared" si="10"/>
        <v>7.1280282279390206E-2</v>
      </c>
    </row>
    <row r="30" spans="2:12" x14ac:dyDescent="0.2">
      <c r="B30" t="s">
        <v>23</v>
      </c>
      <c r="C30" s="7">
        <f>IFERROR('Data Sheet'!B29,0)</f>
        <v>0.4</v>
      </c>
      <c r="D30" s="7">
        <f>IFERROR('Data Sheet'!C29,0)</f>
        <v>0.41</v>
      </c>
      <c r="E30" s="7">
        <f>IFERROR('Data Sheet'!D29,0)</f>
        <v>0.94</v>
      </c>
      <c r="F30" s="7">
        <f>IFERROR('Data Sheet'!E29,0)</f>
        <v>2.13</v>
      </c>
      <c r="G30" s="7">
        <f>IFERROR('Data Sheet'!F29,0)</f>
        <v>1.94</v>
      </c>
      <c r="H30" s="7">
        <f>IFERROR('Data Sheet'!G29,0)</f>
        <v>2.88</v>
      </c>
      <c r="I30" s="7">
        <f>IFERROR('Data Sheet'!H29,0)</f>
        <v>5.6</v>
      </c>
      <c r="J30" s="7">
        <f>IFERROR('Data Sheet'!I29,0)</f>
        <v>11.23</v>
      </c>
      <c r="K30" s="7">
        <f>IFERROR('Data Sheet'!J29,0)</f>
        <v>18.25</v>
      </c>
      <c r="L30" s="7">
        <f>IFERROR('Data Sheet'!K29,0)</f>
        <v>24.6</v>
      </c>
    </row>
    <row r="31" spans="2:12" x14ac:dyDescent="0.2">
      <c r="B31" s="10" t="s">
        <v>26</v>
      </c>
      <c r="C31" s="12">
        <f>C30/C27</f>
        <v>0.49999999999998462</v>
      </c>
      <c r="D31" s="12">
        <f t="shared" ref="D31:L31" si="11">D30/D27</f>
        <v>0.3360655737705035</v>
      </c>
      <c r="E31" s="12">
        <f t="shared" si="11"/>
        <v>0.4676616915422952</v>
      </c>
      <c r="F31" s="12">
        <f t="shared" si="11"/>
        <v>0.41520467836257102</v>
      </c>
      <c r="G31" s="12">
        <f t="shared" si="11"/>
        <v>0.33333333333333171</v>
      </c>
      <c r="H31" s="12">
        <f t="shared" si="11"/>
        <v>0.28125000000000139</v>
      </c>
      <c r="I31" s="12">
        <f t="shared" si="11"/>
        <v>0.27627035027133856</v>
      </c>
      <c r="J31" s="12">
        <f t="shared" si="11"/>
        <v>0.26535916824196587</v>
      </c>
      <c r="K31" s="12">
        <f t="shared" si="11"/>
        <v>0.26905499041721914</v>
      </c>
      <c r="L31" s="12">
        <f t="shared" si="11"/>
        <v>0.27242524916943556</v>
      </c>
    </row>
    <row r="33" spans="1:12" x14ac:dyDescent="0.2">
      <c r="B33" t="s">
        <v>71</v>
      </c>
      <c r="C33" s="7">
        <f>IFERROR(C27-C30,0)</f>
        <v>0.40000000000002467</v>
      </c>
      <c r="D33" s="7">
        <f t="shared" ref="D33:L33" si="12">IFERROR(D27-D30,0)</f>
        <v>0.80999999999995764</v>
      </c>
      <c r="E33" s="7">
        <f t="shared" si="12"/>
        <v>1.0699999999999714</v>
      </c>
      <c r="F33" s="7">
        <f t="shared" si="12"/>
        <v>3.0000000000000258</v>
      </c>
      <c r="G33" s="7">
        <f t="shared" si="12"/>
        <v>3.8800000000000288</v>
      </c>
      <c r="H33" s="7">
        <f t="shared" si="12"/>
        <v>7.3599999999999488</v>
      </c>
      <c r="I33" s="7">
        <f t="shared" si="12"/>
        <v>14.669999999999883</v>
      </c>
      <c r="J33" s="7">
        <f t="shared" si="12"/>
        <v>31.090000000000021</v>
      </c>
      <c r="K33" s="7">
        <f t="shared" si="12"/>
        <v>49.580000000000098</v>
      </c>
      <c r="L33" s="7">
        <f t="shared" si="12"/>
        <v>65.699999999999875</v>
      </c>
    </row>
    <row r="34" spans="1:12" x14ac:dyDescent="0.2">
      <c r="B34" s="10" t="s">
        <v>72</v>
      </c>
      <c r="C34" s="12">
        <f>C33/C6</f>
        <v>3.2211306168467117E-3</v>
      </c>
      <c r="D34" s="12">
        <f t="shared" ref="D34:L34" si="13">D33/D6</f>
        <v>5.1171899677803882E-3</v>
      </c>
      <c r="E34" s="12">
        <f t="shared" si="13"/>
        <v>5.0783103939248762E-3</v>
      </c>
      <c r="F34" s="12">
        <f t="shared" si="13"/>
        <v>9.8775187672857419E-3</v>
      </c>
      <c r="G34" s="12">
        <f t="shared" si="13"/>
        <v>1.1831071809727181E-2</v>
      </c>
      <c r="H34" s="12">
        <f t="shared" si="13"/>
        <v>1.6883057301463385E-2</v>
      </c>
      <c r="I34" s="12">
        <f t="shared" si="13"/>
        <v>2.2431878650723085E-2</v>
      </c>
      <c r="J34" s="12">
        <f t="shared" si="13"/>
        <v>3.8661941180128112E-2</v>
      </c>
      <c r="K34" s="12">
        <f t="shared" si="13"/>
        <v>4.8397645519947768E-2</v>
      </c>
      <c r="L34" s="12">
        <f t="shared" si="13"/>
        <v>5.1861733618559613E-2</v>
      </c>
    </row>
    <row r="36" spans="1:12" x14ac:dyDescent="0.2">
      <c r="B36" t="s">
        <v>73</v>
      </c>
      <c r="C36">
        <f>IFERROR('Data Sheet'!B69,0)</f>
        <v>5923080</v>
      </c>
      <c r="D36">
        <f>IFERROR('Data Sheet'!C69,0)</f>
        <v>6378080</v>
      </c>
      <c r="E36">
        <f>IFERROR('Data Sheet'!D69,0)</f>
        <v>6908080</v>
      </c>
      <c r="F36">
        <f>IFERROR('Data Sheet'!E69,0)</f>
        <v>9173080</v>
      </c>
      <c r="G36">
        <f>IFERROR('Data Sheet'!F69,0)</f>
        <v>9173080</v>
      </c>
      <c r="H36">
        <f>IFERROR('Data Sheet'!G69,0)</f>
        <v>10133080</v>
      </c>
      <c r="I36">
        <f>IFERROR('Data Sheet'!H69,0)</f>
        <v>11278080</v>
      </c>
      <c r="J36">
        <f>IFERROR('Data Sheet'!I69,0)</f>
        <v>12693080</v>
      </c>
      <c r="K36">
        <f>IFERROR('Data Sheet'!J69,0)</f>
        <v>12713130</v>
      </c>
      <c r="L36">
        <f>IFERROR('Data Sheet'!K69,0)</f>
        <v>12725330</v>
      </c>
    </row>
    <row r="37" spans="1:12" x14ac:dyDescent="0.2">
      <c r="C37" s="13"/>
      <c r="D37" s="13"/>
      <c r="E37" s="13"/>
      <c r="F37" s="13"/>
      <c r="G37" s="13"/>
      <c r="H37" s="13"/>
      <c r="I37" s="13"/>
      <c r="J37" s="13"/>
      <c r="K37" s="13"/>
      <c r="L37" s="13"/>
    </row>
    <row r="38" spans="1:12" x14ac:dyDescent="0.2">
      <c r="B38" t="s">
        <v>75</v>
      </c>
      <c r="C38" s="13">
        <f>IFERROR(C33/C36,0)</f>
        <v>6.7532432450688607E-8</v>
      </c>
      <c r="D38" s="13">
        <f t="shared" ref="D38:L38" si="14">IFERROR(D33/D36,0)</f>
        <v>1.2699746632214673E-7</v>
      </c>
      <c r="E38" s="13">
        <f t="shared" si="14"/>
        <v>1.548910840638747E-7</v>
      </c>
      <c r="F38" s="13">
        <f t="shared" si="14"/>
        <v>3.2704391545697037E-7</v>
      </c>
      <c r="G38" s="13">
        <f t="shared" si="14"/>
        <v>4.2297679732434784E-7</v>
      </c>
      <c r="H38" s="13">
        <f t="shared" si="14"/>
        <v>7.263339478223747E-7</v>
      </c>
      <c r="I38" s="13">
        <f t="shared" si="14"/>
        <v>1.3007533197139834E-6</v>
      </c>
      <c r="J38" s="13">
        <f t="shared" si="14"/>
        <v>2.4493661112984413E-6</v>
      </c>
      <c r="K38" s="13">
        <f t="shared" si="14"/>
        <v>3.8999050587856883E-6</v>
      </c>
      <c r="L38" s="13">
        <f t="shared" si="14"/>
        <v>5.1629309416730156E-6</v>
      </c>
    </row>
    <row r="39" spans="1:12" x14ac:dyDescent="0.2">
      <c r="B39" s="10" t="s">
        <v>76</v>
      </c>
      <c r="C39" s="12"/>
      <c r="D39" s="12">
        <f>IFERROR(D38/C38-1,0)</f>
        <v>0.88054038205833618</v>
      </c>
      <c r="E39" s="12">
        <f t="shared" ref="E39:L39" si="15">IFERROR(E38/D38-1,0)</f>
        <v>0.21963916721749333</v>
      </c>
      <c r="F39" s="12">
        <f t="shared" si="15"/>
        <v>1.1114444219533159</v>
      </c>
      <c r="G39" s="12">
        <f t="shared" si="15"/>
        <v>0.29333333333333189</v>
      </c>
      <c r="H39" s="12">
        <f t="shared" si="15"/>
        <v>0.71719572425010814</v>
      </c>
      <c r="I39" s="12">
        <f t="shared" si="15"/>
        <v>0.79084747947384004</v>
      </c>
      <c r="J39" s="12">
        <f t="shared" si="15"/>
        <v>0.88303660207995538</v>
      </c>
      <c r="K39" s="12">
        <f t="shared" si="15"/>
        <v>0.59220993578550707</v>
      </c>
      <c r="L39" s="12">
        <f t="shared" si="15"/>
        <v>0.32386067451616252</v>
      </c>
    </row>
    <row r="41" spans="1:12" x14ac:dyDescent="0.2">
      <c r="B41" t="s">
        <v>74</v>
      </c>
      <c r="C41" s="7">
        <f>IFERROR(#REF!/'Historical FS'!C36,0)</f>
        <v>0</v>
      </c>
      <c r="D41" s="7">
        <f>IFERROR(#REF!/'Historical FS'!D36,0)</f>
        <v>0</v>
      </c>
      <c r="E41" s="7">
        <f>IFERROR(#REF!/'Historical FS'!E36,0)</f>
        <v>0</v>
      </c>
      <c r="F41" s="7">
        <f>IFERROR(#REF!/'Historical FS'!F36,0)</f>
        <v>0</v>
      </c>
      <c r="G41" s="7">
        <f>IFERROR(#REF!/'Historical FS'!G36,0)</f>
        <v>0</v>
      </c>
      <c r="H41" s="7">
        <f>IFERROR(#REF!/'Historical FS'!H36,0)</f>
        <v>0</v>
      </c>
      <c r="I41" s="7">
        <f>IFERROR(#REF!/'Historical FS'!I36,0)</f>
        <v>0</v>
      </c>
      <c r="J41" s="7">
        <f>IFERROR(#REF!/'Historical FS'!J36,0)</f>
        <v>0</v>
      </c>
      <c r="K41" s="7">
        <f>IFERROR(#REF!/'Historical FS'!K36,0)</f>
        <v>0</v>
      </c>
      <c r="L41" s="7">
        <f>IFERROR(#REF!/'Historical FS'!L36,0)</f>
        <v>0</v>
      </c>
    </row>
    <row r="42" spans="1:12" x14ac:dyDescent="0.2">
      <c r="B42" s="10" t="s">
        <v>77</v>
      </c>
      <c r="C42" s="12">
        <f>IFERROR(C41/C38,0)</f>
        <v>0</v>
      </c>
      <c r="D42" s="12">
        <f t="shared" ref="D42:L42" si="16">IFERROR(D41/D38,0)</f>
        <v>0</v>
      </c>
      <c r="E42" s="12">
        <f t="shared" si="16"/>
        <v>0</v>
      </c>
      <c r="F42" s="12">
        <f t="shared" si="16"/>
        <v>0</v>
      </c>
      <c r="G42" s="12">
        <f t="shared" si="16"/>
        <v>0</v>
      </c>
      <c r="H42" s="12">
        <f t="shared" si="16"/>
        <v>0</v>
      </c>
      <c r="I42" s="12">
        <f t="shared" si="16"/>
        <v>0</v>
      </c>
      <c r="J42" s="12">
        <f t="shared" si="16"/>
        <v>0</v>
      </c>
      <c r="K42" s="12">
        <f t="shared" si="16"/>
        <v>0</v>
      </c>
      <c r="L42" s="12">
        <f t="shared" si="16"/>
        <v>0</v>
      </c>
    </row>
    <row r="44" spans="1:12" x14ac:dyDescent="0.2">
      <c r="B44" t="s">
        <v>78</v>
      </c>
      <c r="C44" s="8">
        <f>IFERROR(IF(C38&gt;C41,1-C42,0),0)</f>
        <v>1</v>
      </c>
      <c r="D44" s="8">
        <f t="shared" ref="D44:L44" si="17">IFERROR(IF(D38&gt;D41,1-D42,0),0)</f>
        <v>1</v>
      </c>
      <c r="E44" s="8">
        <f t="shared" si="17"/>
        <v>1</v>
      </c>
      <c r="F44" s="8">
        <f t="shared" si="17"/>
        <v>1</v>
      </c>
      <c r="G44" s="8">
        <f t="shared" si="17"/>
        <v>1</v>
      </c>
      <c r="H44" s="8">
        <f t="shared" si="17"/>
        <v>1</v>
      </c>
      <c r="I44" s="8">
        <f t="shared" si="17"/>
        <v>1</v>
      </c>
      <c r="J44" s="8">
        <f t="shared" si="17"/>
        <v>1</v>
      </c>
      <c r="K44" s="8">
        <f t="shared" si="17"/>
        <v>1</v>
      </c>
      <c r="L44" s="8">
        <f t="shared" si="17"/>
        <v>1</v>
      </c>
    </row>
    <row r="46" spans="1:12" x14ac:dyDescent="0.2">
      <c r="A46" t="s">
        <v>57</v>
      </c>
      <c r="B46" s="16" t="s">
        <v>79</v>
      </c>
      <c r="C46" s="17"/>
      <c r="D46" s="17"/>
      <c r="E46" s="17"/>
      <c r="F46" s="17"/>
      <c r="G46" s="17"/>
      <c r="H46" s="17"/>
      <c r="I46" s="17"/>
      <c r="J46" s="17"/>
      <c r="K46" s="17"/>
      <c r="L46" s="17"/>
    </row>
    <row r="47" spans="1:12" x14ac:dyDescent="0.2">
      <c r="B47" t="s">
        <v>32</v>
      </c>
      <c r="C47" s="26">
        <f>IFERROR('Data Sheet'!B56,0)</f>
        <v>5.92</v>
      </c>
      <c r="D47" s="26">
        <f>IFERROR('Data Sheet'!C56,0)</f>
        <v>6.38</v>
      </c>
      <c r="E47" s="26">
        <f>IFERROR('Data Sheet'!D56,0)</f>
        <v>6.91</v>
      </c>
      <c r="F47" s="26">
        <f>IFERROR('Data Sheet'!E56,0)</f>
        <v>9.17</v>
      </c>
      <c r="G47" s="26">
        <f>IFERROR('Data Sheet'!F56,0)</f>
        <v>9.17</v>
      </c>
      <c r="H47" s="26">
        <f>IFERROR('Data Sheet'!G56,0)</f>
        <v>10.130000000000001</v>
      </c>
      <c r="I47" s="26">
        <f>IFERROR('Data Sheet'!H56,0)</f>
        <v>11.28</v>
      </c>
      <c r="J47" s="26">
        <f>IFERROR('Data Sheet'!I56,0)</f>
        <v>12.69</v>
      </c>
      <c r="K47" s="26">
        <f>IFERROR('Data Sheet'!J56,0)</f>
        <v>12.71</v>
      </c>
      <c r="L47" s="26">
        <f>IFERROR('Data Sheet'!K56,0)</f>
        <v>12.73</v>
      </c>
    </row>
    <row r="48" spans="1:12" x14ac:dyDescent="0.2">
      <c r="B48" t="s">
        <v>33</v>
      </c>
      <c r="C48" s="26">
        <f>IFERROR('Data Sheet'!B57,0)</f>
        <v>10.95</v>
      </c>
      <c r="D48" s="26">
        <f>IFERROR(#REF!,0)</f>
        <v>0</v>
      </c>
      <c r="E48" s="26">
        <f>IFERROR(#REF!,0)</f>
        <v>0</v>
      </c>
      <c r="F48" s="26">
        <f>IFERROR(#REF!,0)</f>
        <v>0</v>
      </c>
      <c r="G48" s="26">
        <f>IFERROR(#REF!,0)</f>
        <v>0</v>
      </c>
      <c r="H48" s="26">
        <f>IFERROR(#REF!,0)</f>
        <v>0</v>
      </c>
      <c r="I48" s="26">
        <f>IFERROR(#REF!,0)</f>
        <v>0</v>
      </c>
      <c r="J48" s="26">
        <f>IFERROR(#REF!,0)</f>
        <v>0</v>
      </c>
      <c r="K48" s="26">
        <f>IFERROR(#REF!,0)</f>
        <v>0</v>
      </c>
      <c r="L48" s="26">
        <f>IFERROR(#REF!,0)</f>
        <v>0</v>
      </c>
    </row>
    <row r="49" spans="2:12" x14ac:dyDescent="0.2">
      <c r="B49" t="s">
        <v>34</v>
      </c>
      <c r="C49" s="26">
        <f>IFERROR('Data Sheet'!B58,0)</f>
        <v>20.87</v>
      </c>
      <c r="D49" s="26">
        <f>IFERROR(#REF!,0)</f>
        <v>0</v>
      </c>
      <c r="E49" s="26">
        <f>IFERROR(#REF!,0)</f>
        <v>0</v>
      </c>
      <c r="F49" s="26">
        <f>IFERROR(#REF!,0)</f>
        <v>0</v>
      </c>
      <c r="G49" s="26">
        <f>IFERROR(#REF!,0)</f>
        <v>0</v>
      </c>
      <c r="H49" s="26">
        <f>IFERROR(#REF!,0)</f>
        <v>0</v>
      </c>
      <c r="I49" s="26">
        <f>IFERROR(#REF!,0)</f>
        <v>0</v>
      </c>
      <c r="J49" s="26">
        <f>IFERROR(#REF!,0)</f>
        <v>0</v>
      </c>
      <c r="K49" s="26">
        <f>IFERROR(#REF!,0)</f>
        <v>0</v>
      </c>
      <c r="L49" s="26">
        <f>IFERROR(#REF!,0)</f>
        <v>0</v>
      </c>
    </row>
    <row r="50" spans="2:12" x14ac:dyDescent="0.2">
      <c r="B50" t="s">
        <v>35</v>
      </c>
      <c r="C50" s="26">
        <f>IFERROR('Data Sheet'!B59,0)</f>
        <v>11.95</v>
      </c>
      <c r="D50" s="26">
        <f>IFERROR(#REF!,0)</f>
        <v>0</v>
      </c>
      <c r="E50" s="26">
        <f>IFERROR(#REF!,0)</f>
        <v>0</v>
      </c>
      <c r="F50" s="26">
        <f>IFERROR(#REF!,0)</f>
        <v>0</v>
      </c>
      <c r="G50" s="26">
        <f>IFERROR(#REF!,0)</f>
        <v>0</v>
      </c>
      <c r="H50" s="26">
        <f>IFERROR(#REF!,0)</f>
        <v>0</v>
      </c>
      <c r="I50" s="26">
        <f>IFERROR(#REF!,0)</f>
        <v>0</v>
      </c>
      <c r="J50" s="26">
        <f>IFERROR(#REF!,0)</f>
        <v>0</v>
      </c>
      <c r="K50" s="26">
        <f>IFERROR(#REF!,0)</f>
        <v>0</v>
      </c>
      <c r="L50" s="26">
        <f>IFERROR(#REF!,0)</f>
        <v>0</v>
      </c>
    </row>
    <row r="51" spans="2:12" x14ac:dyDescent="0.2">
      <c r="B51" s="6" t="s">
        <v>80</v>
      </c>
      <c r="C51" s="27">
        <f>IFERROR('Data Sheet'!B60,0)</f>
        <v>49.69</v>
      </c>
      <c r="D51" s="27">
        <f>IFERROR('Data Sheet'!C60,0)</f>
        <v>52.99</v>
      </c>
      <c r="E51" s="27">
        <f>IFERROR('Data Sheet'!D60,0)</f>
        <v>69.430000000000007</v>
      </c>
      <c r="F51" s="27">
        <f>IFERROR('Data Sheet'!E60,0)</f>
        <v>98.02</v>
      </c>
      <c r="G51" s="27">
        <f>IFERROR('Data Sheet'!F60,0)</f>
        <v>122.14</v>
      </c>
      <c r="H51" s="27">
        <f>IFERROR('Data Sheet'!G60,0)</f>
        <v>180.56</v>
      </c>
      <c r="I51" s="27">
        <f>IFERROR('Data Sheet'!H60,0)</f>
        <v>298.92</v>
      </c>
      <c r="J51" s="27">
        <f>IFERROR('Data Sheet'!I60,0)</f>
        <v>402.21</v>
      </c>
      <c r="K51" s="27">
        <f>IFERROR('Data Sheet'!J60,0)</f>
        <v>587.02</v>
      </c>
      <c r="L51" s="27">
        <f>IFERROR('Data Sheet'!K60,0)</f>
        <v>774.07</v>
      </c>
    </row>
    <row r="52" spans="2:12" x14ac:dyDescent="0.2">
      <c r="C52" s="26"/>
      <c r="D52" s="26"/>
      <c r="E52" s="26"/>
      <c r="F52" s="26"/>
      <c r="G52" s="26"/>
      <c r="H52" s="26"/>
      <c r="I52" s="26"/>
      <c r="J52" s="26"/>
      <c r="K52" s="26"/>
      <c r="L52" s="26"/>
    </row>
    <row r="53" spans="2:12" x14ac:dyDescent="0.2">
      <c r="B53" t="s">
        <v>81</v>
      </c>
      <c r="C53" s="26">
        <f>IFERROR('Data Sheet'!B61,0)</f>
        <v>3.46</v>
      </c>
      <c r="D53" s="26">
        <f>IFERROR('Data Sheet'!C61,0)</f>
        <v>3.03</v>
      </c>
      <c r="E53" s="26">
        <f>IFERROR('Data Sheet'!D61,0)</f>
        <v>2.85</v>
      </c>
      <c r="F53" s="26">
        <f>IFERROR('Data Sheet'!E61,0)</f>
        <v>2.5</v>
      </c>
      <c r="G53" s="26">
        <f>IFERROR('Data Sheet'!F61,0)</f>
        <v>3.74</v>
      </c>
      <c r="H53" s="26">
        <f>IFERROR('Data Sheet'!G61,0)</f>
        <v>6.39</v>
      </c>
      <c r="I53" s="26">
        <f>IFERROR('Data Sheet'!H61,0)</f>
        <v>6.09</v>
      </c>
      <c r="J53" s="26">
        <f>IFERROR('Data Sheet'!I61,0)</f>
        <v>6.73</v>
      </c>
      <c r="K53" s="26">
        <f>IFERROR('Data Sheet'!J61,0)</f>
        <v>5.5</v>
      </c>
      <c r="L53" s="26">
        <f>IFERROR('Data Sheet'!K61,0)</f>
        <v>9.2100000000000009</v>
      </c>
    </row>
    <row r="54" spans="2:12" x14ac:dyDescent="0.2">
      <c r="B54" t="s">
        <v>38</v>
      </c>
      <c r="C54" s="26">
        <f>IFERROR('Data Sheet'!B62,0)</f>
        <v>0</v>
      </c>
      <c r="D54" s="26">
        <f>IFERROR('Data Sheet'!C62,0)</f>
        <v>0</v>
      </c>
      <c r="E54" s="26">
        <f>IFERROR('Data Sheet'!D62,0)</f>
        <v>0</v>
      </c>
      <c r="F54" s="26">
        <f>IFERROR('Data Sheet'!E62,0)</f>
        <v>0</v>
      </c>
      <c r="G54" s="26">
        <f>IFERROR('Data Sheet'!F62,0)</f>
        <v>0</v>
      </c>
      <c r="H54" s="26">
        <f>IFERROR('Data Sheet'!G62,0)</f>
        <v>0</v>
      </c>
      <c r="I54" s="26">
        <f>IFERROR('Data Sheet'!H62,0)</f>
        <v>0</v>
      </c>
      <c r="J54" s="26">
        <f>IFERROR('Data Sheet'!I62,0)</f>
        <v>0</v>
      </c>
      <c r="K54" s="26">
        <f>IFERROR('Data Sheet'!J62,0)</f>
        <v>0</v>
      </c>
      <c r="L54" s="26">
        <f>IFERROR('Data Sheet'!K62,0)</f>
        <v>21.95</v>
      </c>
    </row>
    <row r="55" spans="2:12" x14ac:dyDescent="0.2">
      <c r="B55" t="s">
        <v>39</v>
      </c>
      <c r="C55" s="26">
        <f>IFERROR('Data Sheet'!B63,0)</f>
        <v>0.01</v>
      </c>
      <c r="D55" s="26">
        <f>IFERROR('Data Sheet'!C63,0)</f>
        <v>0.06</v>
      </c>
      <c r="E55" s="26">
        <f>IFERROR('Data Sheet'!D63,0)</f>
        <v>0.06</v>
      </c>
      <c r="F55" s="26">
        <f>IFERROR('Data Sheet'!E63,0)</f>
        <v>0.06</v>
      </c>
      <c r="G55" s="26">
        <f>IFERROR('Data Sheet'!F63,0)</f>
        <v>0.06</v>
      </c>
      <c r="H55" s="26">
        <f>IFERROR('Data Sheet'!G63,0)</f>
        <v>0.44</v>
      </c>
      <c r="I55" s="26">
        <f>IFERROR('Data Sheet'!H63,0)</f>
        <v>0.56000000000000005</v>
      </c>
      <c r="J55" s="26">
        <f>IFERROR('Data Sheet'!I63,0)</f>
        <v>0.55000000000000004</v>
      </c>
      <c r="K55" s="26">
        <f>IFERROR('Data Sheet'!J63,0)</f>
        <v>0.81</v>
      </c>
      <c r="L55" s="26">
        <f>IFERROR('Data Sheet'!K63,0)</f>
        <v>0.9</v>
      </c>
    </row>
    <row r="56" spans="2:12" x14ac:dyDescent="0.2">
      <c r="B56" t="s">
        <v>40</v>
      </c>
      <c r="C56" s="26">
        <f>IFERROR('Data Sheet'!B64-SUM('Data Sheet'!B66:B68),0)</f>
        <v>3</v>
      </c>
      <c r="D56" s="26">
        <f>IFERROR('Data Sheet'!C64-SUM('Data Sheet'!C66:C68),0)</f>
        <v>2.9799999999999969</v>
      </c>
      <c r="E56" s="26">
        <f>IFERROR('Data Sheet'!D64-SUM('Data Sheet'!D66:D68),0)</f>
        <v>4.3199999999999932</v>
      </c>
      <c r="F56" s="26">
        <f>IFERROR('Data Sheet'!E64-SUM('Data Sheet'!E66:E68),0)</f>
        <v>3.3599999999999994</v>
      </c>
      <c r="G56" s="26">
        <f>IFERROR('Data Sheet'!F64-SUM('Data Sheet'!F66:F68),0)</f>
        <v>9.0100000000000051</v>
      </c>
      <c r="H56" s="26">
        <f>IFERROR('Data Sheet'!G64-SUM('Data Sheet'!G66:G68),0)</f>
        <v>6.6499999999999773</v>
      </c>
      <c r="I56" s="26">
        <f>IFERROR('Data Sheet'!H64-SUM('Data Sheet'!H66:H68),0)</f>
        <v>10.359999999999957</v>
      </c>
      <c r="J56" s="26">
        <f>IFERROR('Data Sheet'!I64-SUM('Data Sheet'!I66:I68),0)</f>
        <v>11.899999999999977</v>
      </c>
      <c r="K56" s="26">
        <f>IFERROR('Data Sheet'!J64-SUM('Data Sheet'!J66:J68),0)</f>
        <v>17.910000000000082</v>
      </c>
      <c r="L56" s="26">
        <f>IFERROR('Data Sheet'!K64-SUM('Data Sheet'!K66:K68),0)</f>
        <v>142.88</v>
      </c>
    </row>
    <row r="57" spans="2:12" x14ac:dyDescent="0.2">
      <c r="B57" s="6" t="s">
        <v>82</v>
      </c>
      <c r="C57" s="27">
        <f>SUM(C53:C56)</f>
        <v>6.47</v>
      </c>
      <c r="D57" s="27">
        <f t="shared" ref="D57:L57" si="18">SUM(D53:D56)</f>
        <v>6.0699999999999967</v>
      </c>
      <c r="E57" s="27">
        <f t="shared" si="18"/>
        <v>7.2299999999999933</v>
      </c>
      <c r="F57" s="27">
        <f t="shared" si="18"/>
        <v>5.92</v>
      </c>
      <c r="G57" s="27">
        <f t="shared" si="18"/>
        <v>12.810000000000006</v>
      </c>
      <c r="H57" s="27">
        <f t="shared" si="18"/>
        <v>13.479999999999977</v>
      </c>
      <c r="I57" s="27">
        <f t="shared" si="18"/>
        <v>17.009999999999955</v>
      </c>
      <c r="J57" s="27">
        <f t="shared" si="18"/>
        <v>19.179999999999978</v>
      </c>
      <c r="K57" s="27">
        <f t="shared" si="18"/>
        <v>24.220000000000084</v>
      </c>
      <c r="L57" s="27">
        <f t="shared" si="18"/>
        <v>174.94</v>
      </c>
    </row>
    <row r="58" spans="2:12" x14ac:dyDescent="0.2">
      <c r="B58" s="6"/>
      <c r="C58" s="26"/>
      <c r="D58" s="26"/>
      <c r="E58" s="26"/>
      <c r="F58" s="26"/>
      <c r="G58" s="26"/>
      <c r="H58" s="26"/>
      <c r="I58" s="26"/>
      <c r="J58" s="26"/>
      <c r="K58" s="26"/>
      <c r="L58" s="26"/>
    </row>
    <row r="59" spans="2:12" x14ac:dyDescent="0.2">
      <c r="B59" t="s">
        <v>41</v>
      </c>
      <c r="C59" s="26">
        <f>IFERROR('Data Sheet'!B66,0)</f>
        <v>30.35</v>
      </c>
      <c r="D59" s="26">
        <f>IFERROR('Data Sheet'!C66,0)</f>
        <v>28.49</v>
      </c>
      <c r="E59" s="26">
        <f>IFERROR('Data Sheet'!D66,0)</f>
        <v>39.54</v>
      </c>
      <c r="F59" s="26">
        <f>IFERROR('Data Sheet'!E66,0)</f>
        <v>57.68</v>
      </c>
      <c r="G59" s="26">
        <f>IFERROR('Data Sheet'!F66,0)</f>
        <v>84</v>
      </c>
      <c r="H59" s="26">
        <f>IFERROR('Data Sheet'!G66,0)</f>
        <v>101.9</v>
      </c>
      <c r="I59" s="26">
        <f>IFERROR('Data Sheet'!H66,0)</f>
        <v>175.68</v>
      </c>
      <c r="J59" s="26">
        <f>IFERROR('Data Sheet'!I66,0)</f>
        <v>300.61</v>
      </c>
      <c r="K59" s="26">
        <f>IFERROR('Data Sheet'!J66,0)</f>
        <v>401.52</v>
      </c>
      <c r="L59" s="26">
        <f>IFERROR('Data Sheet'!K66,0)</f>
        <v>436.63</v>
      </c>
    </row>
    <row r="60" spans="2:12" x14ac:dyDescent="0.2">
      <c r="B60" t="s">
        <v>42</v>
      </c>
      <c r="C60" s="26">
        <f>IFERROR('Data Sheet'!B67,0)</f>
        <v>6.62</v>
      </c>
      <c r="D60" s="26">
        <f>IFERROR('Data Sheet'!C67,0)</f>
        <v>9.19</v>
      </c>
      <c r="E60" s="26">
        <f>IFERROR('Data Sheet'!D67,0)</f>
        <v>13.81</v>
      </c>
      <c r="F60" s="26">
        <f>IFERROR('Data Sheet'!E67,0)</f>
        <v>16.79</v>
      </c>
      <c r="G60" s="26">
        <f>IFERROR('Data Sheet'!F67,0)</f>
        <v>8.7200000000000006</v>
      </c>
      <c r="H60" s="26">
        <f>IFERROR('Data Sheet'!G67,0)</f>
        <v>42.47</v>
      </c>
      <c r="I60" s="26">
        <f>IFERROR('Data Sheet'!H67,0)</f>
        <v>70.91</v>
      </c>
      <c r="J60" s="26">
        <f>IFERROR('Data Sheet'!I67,0)</f>
        <v>36.630000000000003</v>
      </c>
      <c r="K60" s="26">
        <f>IFERROR('Data Sheet'!J67,0)</f>
        <v>73.39</v>
      </c>
      <c r="L60" s="26">
        <f>IFERROR('Data Sheet'!K67,0)</f>
        <v>58.24</v>
      </c>
    </row>
    <row r="61" spans="2:12" x14ac:dyDescent="0.2">
      <c r="B61" t="s">
        <v>43</v>
      </c>
      <c r="C61" s="26">
        <f>IFERROR('Data Sheet'!B68,0)</f>
        <v>6.25</v>
      </c>
      <c r="D61" s="26">
        <f>IFERROR('Data Sheet'!C68,0)</f>
        <v>9.24</v>
      </c>
      <c r="E61" s="26">
        <f>IFERROR('Data Sheet'!D68,0)</f>
        <v>8.85</v>
      </c>
      <c r="F61" s="26">
        <f>IFERROR('Data Sheet'!E68,0)</f>
        <v>17.63</v>
      </c>
      <c r="G61" s="26">
        <f>IFERROR('Data Sheet'!F68,0)</f>
        <v>16.61</v>
      </c>
      <c r="H61" s="26">
        <f>IFERROR('Data Sheet'!G68,0)</f>
        <v>22.71</v>
      </c>
      <c r="I61" s="26">
        <f>IFERROR('Data Sheet'!H68,0)</f>
        <v>35.32</v>
      </c>
      <c r="J61" s="26">
        <f>IFERROR('Data Sheet'!I68,0)</f>
        <v>45.79</v>
      </c>
      <c r="K61" s="26">
        <f>IFERROR('Data Sheet'!J68,0)</f>
        <v>87.89</v>
      </c>
      <c r="L61" s="26">
        <f>IFERROR('Data Sheet'!K68,0)</f>
        <v>104.26</v>
      </c>
    </row>
    <row r="62" spans="2:12" x14ac:dyDescent="0.2">
      <c r="B62" s="6" t="s">
        <v>83</v>
      </c>
      <c r="C62" s="27">
        <f>IFERROR(SUM(C59:C61),0)</f>
        <v>43.22</v>
      </c>
      <c r="D62" s="27">
        <f t="shared" ref="D62:L62" si="19">IFERROR(SUM(D59:D61),0)</f>
        <v>46.92</v>
      </c>
      <c r="E62" s="27">
        <f t="shared" si="19"/>
        <v>62.2</v>
      </c>
      <c r="F62" s="27">
        <f t="shared" si="19"/>
        <v>92.1</v>
      </c>
      <c r="G62" s="27">
        <f t="shared" si="19"/>
        <v>109.33</v>
      </c>
      <c r="H62" s="27">
        <f t="shared" si="19"/>
        <v>167.08</v>
      </c>
      <c r="I62" s="27">
        <f t="shared" si="19"/>
        <v>281.91000000000003</v>
      </c>
      <c r="J62" s="27">
        <f t="shared" si="19"/>
        <v>383.03000000000003</v>
      </c>
      <c r="K62" s="27">
        <f t="shared" si="19"/>
        <v>562.79999999999995</v>
      </c>
      <c r="L62" s="27">
        <f t="shared" si="19"/>
        <v>599.13</v>
      </c>
    </row>
    <row r="63" spans="2:12" x14ac:dyDescent="0.2">
      <c r="C63" s="26"/>
      <c r="D63" s="26"/>
      <c r="E63" s="26"/>
      <c r="F63" s="26"/>
      <c r="G63" s="26"/>
      <c r="H63" s="26"/>
      <c r="I63" s="26"/>
      <c r="J63" s="26"/>
      <c r="K63" s="26"/>
      <c r="L63" s="26"/>
    </row>
    <row r="64" spans="2:12" x14ac:dyDescent="0.2">
      <c r="B64" s="6" t="s">
        <v>84</v>
      </c>
      <c r="C64" s="27">
        <f>IFERROR(C62+C57,0)</f>
        <v>49.69</v>
      </c>
      <c r="D64" s="27">
        <f t="shared" ref="D64:L64" si="20">IFERROR(D62+D57,0)</f>
        <v>52.989999999999995</v>
      </c>
      <c r="E64" s="27">
        <f t="shared" si="20"/>
        <v>69.429999999999993</v>
      </c>
      <c r="F64" s="27">
        <f t="shared" si="20"/>
        <v>98.02</v>
      </c>
      <c r="G64" s="27">
        <f t="shared" si="20"/>
        <v>122.14</v>
      </c>
      <c r="H64" s="27">
        <f t="shared" si="20"/>
        <v>180.56</v>
      </c>
      <c r="I64" s="27">
        <f t="shared" si="20"/>
        <v>298.91999999999996</v>
      </c>
      <c r="J64" s="27">
        <f t="shared" si="20"/>
        <v>402.21000000000004</v>
      </c>
      <c r="K64" s="27">
        <f t="shared" si="20"/>
        <v>587.02</v>
      </c>
      <c r="L64" s="27">
        <f t="shared" si="20"/>
        <v>774.06999999999994</v>
      </c>
    </row>
    <row r="65" spans="1:12" x14ac:dyDescent="0.2">
      <c r="C65" s="26"/>
      <c r="D65" s="26"/>
      <c r="E65" s="26"/>
      <c r="F65" s="26"/>
      <c r="G65" s="26"/>
      <c r="H65" s="26"/>
      <c r="I65" s="26"/>
      <c r="J65" s="26"/>
      <c r="K65" s="26"/>
      <c r="L65" s="26"/>
    </row>
    <row r="66" spans="1:12" x14ac:dyDescent="0.2">
      <c r="B66" s="9" t="s">
        <v>85</v>
      </c>
      <c r="C66" s="28" t="b">
        <f>C64=C51</f>
        <v>1</v>
      </c>
      <c r="D66" s="28" t="b">
        <f t="shared" ref="D66:L66" si="21">D64=D51</f>
        <v>1</v>
      </c>
      <c r="E66" s="28" t="b">
        <f t="shared" si="21"/>
        <v>1</v>
      </c>
      <c r="F66" s="28" t="b">
        <f t="shared" si="21"/>
        <v>1</v>
      </c>
      <c r="G66" s="28" t="b">
        <f t="shared" si="21"/>
        <v>1</v>
      </c>
      <c r="H66" s="28" t="b">
        <f t="shared" si="21"/>
        <v>1</v>
      </c>
      <c r="I66" s="28" t="b">
        <f t="shared" si="21"/>
        <v>1</v>
      </c>
      <c r="J66" s="28" t="b">
        <f t="shared" si="21"/>
        <v>1</v>
      </c>
      <c r="K66" s="28" t="b">
        <f t="shared" si="21"/>
        <v>1</v>
      </c>
      <c r="L66" s="28" t="b">
        <f t="shared" si="21"/>
        <v>1</v>
      </c>
    </row>
    <row r="68" spans="1:12" x14ac:dyDescent="0.2">
      <c r="A68" t="s">
        <v>57</v>
      </c>
      <c r="B68" s="16" t="s">
        <v>86</v>
      </c>
      <c r="C68" s="17"/>
      <c r="D68" s="17"/>
      <c r="E68" s="17"/>
      <c r="F68" s="17"/>
      <c r="G68" s="17"/>
      <c r="H68" s="17"/>
      <c r="I68" s="17"/>
      <c r="J68" s="17"/>
      <c r="K68" s="17"/>
      <c r="L68" s="17"/>
    </row>
    <row r="69" spans="1:12" x14ac:dyDescent="0.2">
      <c r="B69" s="1" t="s">
        <v>48</v>
      </c>
      <c r="C69" s="2">
        <f>IFERROR('Data Sheet'!B81,0)</f>
        <v>-4.22</v>
      </c>
      <c r="D69" s="2">
        <f>IFERROR('Data Sheet'!C81,0)</f>
        <v>4.49</v>
      </c>
      <c r="E69" s="2">
        <f>IFERROR('Data Sheet'!D81,0)</f>
        <v>-13.19</v>
      </c>
      <c r="F69" s="2">
        <f>IFERROR('Data Sheet'!E81,0)</f>
        <v>2.44</v>
      </c>
      <c r="G69" s="2">
        <f>IFERROR('Data Sheet'!F81,0)</f>
        <v>4.0199999999999996</v>
      </c>
      <c r="H69" s="2">
        <f>IFERROR('Data Sheet'!G81,0)</f>
        <v>9.1199999999999992</v>
      </c>
      <c r="I69" s="2">
        <f>IFERROR('Data Sheet'!H81,0)</f>
        <v>-14.68</v>
      </c>
      <c r="J69" s="2">
        <f>IFERROR('Data Sheet'!I81,0)</f>
        <v>14.62</v>
      </c>
      <c r="K69" s="2">
        <f>IFERROR('Data Sheet'!J81,0)</f>
        <v>29.04</v>
      </c>
      <c r="L69" s="2">
        <f>IFERROR('Data Sheet'!K81,0)</f>
        <v>64.11</v>
      </c>
    </row>
    <row r="70" spans="1:12" x14ac:dyDescent="0.2">
      <c r="B70" s="1" t="s">
        <v>49</v>
      </c>
      <c r="C70" s="2">
        <f>IFERROR('Data Sheet'!B82,0)</f>
        <v>-1.06</v>
      </c>
      <c r="D70" s="2">
        <f>IFERROR('Data Sheet'!C82,0)</f>
        <v>-0.35</v>
      </c>
      <c r="E70" s="2">
        <f>IFERROR('Data Sheet'!D82,0)</f>
        <v>-0.57999999999999996</v>
      </c>
      <c r="F70" s="2">
        <f>IFERROR('Data Sheet'!E82,0)</f>
        <v>-0.37</v>
      </c>
      <c r="G70" s="2">
        <f>IFERROR('Data Sheet'!F82,0)</f>
        <v>0.48</v>
      </c>
      <c r="H70" s="2">
        <f>IFERROR('Data Sheet'!G82,0)</f>
        <v>-2.27</v>
      </c>
      <c r="I70" s="2">
        <f>IFERROR('Data Sheet'!H82,0)</f>
        <v>-1.17</v>
      </c>
      <c r="J70" s="2">
        <f>IFERROR('Data Sheet'!I82,0)</f>
        <v>-0.3</v>
      </c>
      <c r="K70" s="2">
        <f>IFERROR('Data Sheet'!J82,0)</f>
        <v>-0.33</v>
      </c>
      <c r="L70" s="2">
        <f>IFERROR('Data Sheet'!K82,0)</f>
        <v>-26.09</v>
      </c>
    </row>
    <row r="71" spans="1:12" x14ac:dyDescent="0.2">
      <c r="B71" s="1" t="s">
        <v>50</v>
      </c>
      <c r="C71" s="2">
        <f>IFERROR('Data Sheet'!B83,0)</f>
        <v>5.43</v>
      </c>
      <c r="D71" s="2">
        <f>IFERROR('Data Sheet'!C83,0)</f>
        <v>-1.1299999999999999</v>
      </c>
      <c r="E71" s="2">
        <f>IFERROR('Data Sheet'!D83,0)</f>
        <v>12.65</v>
      </c>
      <c r="F71" s="2">
        <f>IFERROR('Data Sheet'!E83,0)</f>
        <v>-2.12</v>
      </c>
      <c r="G71" s="2">
        <f>IFERROR('Data Sheet'!F83,0)</f>
        <v>-8.2100000000000009</v>
      </c>
      <c r="H71" s="2">
        <f>IFERROR('Data Sheet'!G83,0)</f>
        <v>-0.45</v>
      </c>
      <c r="I71" s="2">
        <f>IFERROR('Data Sheet'!H83,0)</f>
        <v>13.63</v>
      </c>
      <c r="J71" s="2">
        <f>IFERROR('Data Sheet'!I83,0)</f>
        <v>-5.37</v>
      </c>
      <c r="K71" s="2">
        <f>IFERROR('Data Sheet'!J83,0)</f>
        <v>-42.27</v>
      </c>
      <c r="L71" s="2">
        <f>IFERROR('Data Sheet'!K83,0)</f>
        <v>-6.27</v>
      </c>
    </row>
    <row r="73" spans="1:12" x14ac:dyDescent="0.2">
      <c r="B73" s="1" t="s">
        <v>51</v>
      </c>
      <c r="C73" s="29">
        <f>IFERROR('Data Sheet'!B84,0)</f>
        <v>0.15</v>
      </c>
      <c r="D73" s="29">
        <f>IFERROR('Data Sheet'!C84,0)</f>
        <v>3.02</v>
      </c>
      <c r="E73" s="29">
        <f>IFERROR('Data Sheet'!D84,0)</f>
        <v>-1.1200000000000001</v>
      </c>
      <c r="F73" s="29">
        <f>IFERROR('Data Sheet'!E84,0)</f>
        <v>-0.04</v>
      </c>
      <c r="G73" s="29">
        <f>IFERROR('Data Sheet'!F84,0)</f>
        <v>-3.71</v>
      </c>
      <c r="H73" s="29">
        <f>IFERROR('Data Sheet'!G84,0)</f>
        <v>6.4</v>
      </c>
      <c r="I73" s="29">
        <f>IFERROR('Data Sheet'!H84,0)</f>
        <v>-2.2200000000000002</v>
      </c>
      <c r="J73" s="29">
        <f>IFERROR('Data Sheet'!I84,0)</f>
        <v>8.94</v>
      </c>
      <c r="K73" s="29">
        <f>IFERROR('Data Sheet'!J84,0)</f>
        <v>-13.56</v>
      </c>
      <c r="L73" s="29">
        <f>IFERROR('Data Sheet'!K84,0)</f>
        <v>31.75</v>
      </c>
    </row>
    <row r="74" spans="1:12" x14ac:dyDescent="0.2">
      <c r="C74" s="7"/>
      <c r="D74" s="7"/>
      <c r="E74" s="7"/>
      <c r="F74" s="7"/>
      <c r="G74" s="7"/>
      <c r="H74" s="7"/>
      <c r="I74" s="7"/>
      <c r="J74" s="7"/>
      <c r="K74" s="7"/>
      <c r="L74" s="7"/>
    </row>
    <row r="75" spans="1:12" x14ac:dyDescent="0.2">
      <c r="C75" s="7"/>
      <c r="D75" s="7"/>
      <c r="E75" s="7"/>
      <c r="F75" s="7"/>
      <c r="G75" s="7"/>
      <c r="H75" s="7"/>
      <c r="I75" s="7"/>
      <c r="J75" s="7"/>
      <c r="K75" s="7"/>
      <c r="L75" s="7"/>
    </row>
    <row r="76" spans="1:12" x14ac:dyDescent="0.2">
      <c r="C76" s="7"/>
      <c r="D76" s="7"/>
      <c r="E76" s="7"/>
      <c r="F76" s="7"/>
      <c r="G76" s="7"/>
      <c r="H76" s="7"/>
      <c r="I76" s="7"/>
      <c r="J76" s="7"/>
      <c r="K76" s="7"/>
      <c r="L76" s="7"/>
    </row>
    <row r="77" spans="1:12" x14ac:dyDescent="0.2">
      <c r="C77" s="7"/>
      <c r="D77" s="7"/>
      <c r="E77" s="7"/>
      <c r="F77" s="7"/>
      <c r="G77" s="7"/>
      <c r="H77" s="7"/>
      <c r="I77" s="7"/>
      <c r="J77" s="7"/>
      <c r="K77" s="7"/>
      <c r="L77" s="7"/>
    </row>
    <row r="78" spans="1:12" x14ac:dyDescent="0.2">
      <c r="B78" s="6"/>
      <c r="C78" s="18"/>
      <c r="D78" s="18"/>
      <c r="E78" s="18"/>
      <c r="F78" s="18"/>
      <c r="G78" s="18"/>
      <c r="H78" s="18"/>
      <c r="I78" s="18"/>
      <c r="J78" s="18"/>
      <c r="K78" s="18"/>
      <c r="L78" s="18"/>
    </row>
    <row r="80" spans="1:12" x14ac:dyDescent="0.2">
      <c r="B80" s="6"/>
    </row>
    <row r="81" spans="2:12" x14ac:dyDescent="0.2">
      <c r="C81" s="7"/>
      <c r="D81" s="7"/>
      <c r="E81" s="7"/>
      <c r="F81" s="7"/>
      <c r="G81" s="7"/>
      <c r="H81" s="7"/>
      <c r="I81" s="7"/>
      <c r="J81" s="7"/>
      <c r="K81" s="7"/>
      <c r="L81" s="7"/>
    </row>
    <row r="82" spans="2:12" x14ac:dyDescent="0.2">
      <c r="C82" s="7"/>
      <c r="D82" s="7"/>
      <c r="E82" s="7"/>
      <c r="F82" s="7"/>
      <c r="G82" s="7"/>
      <c r="H82" s="7"/>
      <c r="I82" s="7"/>
      <c r="J82" s="7"/>
      <c r="K82" s="7"/>
      <c r="L82" s="7"/>
    </row>
    <row r="83" spans="2:12" x14ac:dyDescent="0.2">
      <c r="C83" s="7"/>
      <c r="D83" s="7"/>
      <c r="E83" s="7"/>
      <c r="F83" s="7"/>
      <c r="G83" s="7"/>
      <c r="H83" s="7"/>
      <c r="I83" s="7"/>
      <c r="J83" s="7"/>
      <c r="K83" s="7"/>
      <c r="L83" s="7"/>
    </row>
    <row r="84" spans="2:12" x14ac:dyDescent="0.2">
      <c r="C84" s="7"/>
      <c r="D84" s="7"/>
      <c r="E84" s="7"/>
      <c r="F84" s="7"/>
      <c r="G84" s="7"/>
      <c r="H84" s="7"/>
      <c r="I84" s="7"/>
      <c r="J84" s="7"/>
      <c r="K84" s="7"/>
      <c r="L84" s="7"/>
    </row>
    <row r="85" spans="2:12" x14ac:dyDescent="0.2">
      <c r="C85" s="7"/>
      <c r="D85" s="7"/>
      <c r="E85" s="7"/>
      <c r="F85" s="7"/>
      <c r="G85" s="7"/>
      <c r="H85" s="7"/>
      <c r="I85" s="7"/>
      <c r="J85" s="7"/>
      <c r="K85" s="7"/>
      <c r="L85" s="7"/>
    </row>
    <row r="86" spans="2:12" x14ac:dyDescent="0.2">
      <c r="C86" s="7"/>
      <c r="D86" s="7"/>
      <c r="E86" s="7"/>
      <c r="F86" s="7"/>
      <c r="G86" s="7"/>
      <c r="H86" s="7"/>
      <c r="I86" s="7"/>
      <c r="J86" s="7"/>
      <c r="K86" s="7"/>
      <c r="L86" s="7"/>
    </row>
    <row r="87" spans="2:12" x14ac:dyDescent="0.2">
      <c r="C87" s="7"/>
      <c r="D87" s="7"/>
      <c r="E87" s="7"/>
      <c r="F87" s="7"/>
      <c r="G87" s="7"/>
      <c r="H87" s="7"/>
      <c r="I87" s="7"/>
      <c r="J87" s="7"/>
      <c r="K87" s="7"/>
      <c r="L87" s="7"/>
    </row>
    <row r="88" spans="2:12" x14ac:dyDescent="0.2">
      <c r="C88" s="7"/>
      <c r="D88" s="7"/>
      <c r="E88" s="7"/>
      <c r="F88" s="7"/>
      <c r="G88" s="7"/>
      <c r="H88" s="7"/>
      <c r="I88" s="7"/>
      <c r="J88" s="7"/>
      <c r="K88" s="7"/>
      <c r="L88" s="7"/>
    </row>
    <row r="89" spans="2:12" x14ac:dyDescent="0.2">
      <c r="C89" s="7"/>
      <c r="D89" s="7"/>
      <c r="E89" s="7"/>
      <c r="F89" s="7"/>
      <c r="G89" s="7"/>
      <c r="H89" s="7"/>
      <c r="I89" s="7"/>
      <c r="J89" s="7"/>
      <c r="K89" s="7"/>
      <c r="L89" s="7"/>
    </row>
    <row r="90" spans="2:12" x14ac:dyDescent="0.2">
      <c r="C90" s="7"/>
      <c r="D90" s="7"/>
      <c r="E90" s="7"/>
      <c r="F90" s="7"/>
      <c r="G90" s="7"/>
      <c r="H90" s="7"/>
      <c r="I90" s="7"/>
      <c r="J90" s="7"/>
      <c r="K90" s="7"/>
      <c r="L90" s="7"/>
    </row>
    <row r="91" spans="2:12" x14ac:dyDescent="0.2">
      <c r="C91" s="7"/>
      <c r="D91" s="7"/>
      <c r="E91" s="7"/>
      <c r="F91" s="7"/>
      <c r="G91" s="7"/>
      <c r="H91" s="7"/>
      <c r="I91" s="7"/>
      <c r="J91" s="7"/>
      <c r="K91" s="7"/>
      <c r="L91" s="7"/>
    </row>
    <row r="92" spans="2:12" x14ac:dyDescent="0.2">
      <c r="C92" s="7"/>
      <c r="D92" s="7"/>
      <c r="E92" s="7"/>
      <c r="F92" s="7"/>
      <c r="G92" s="7"/>
      <c r="H92" s="7"/>
      <c r="I92" s="7"/>
      <c r="J92" s="7"/>
      <c r="K92" s="7"/>
      <c r="L92" s="7"/>
    </row>
    <row r="93" spans="2:12" x14ac:dyDescent="0.2">
      <c r="B93" s="6"/>
      <c r="C93" s="7"/>
      <c r="D93" s="7"/>
      <c r="E93" s="7"/>
      <c r="F93" s="7"/>
      <c r="G93" s="7"/>
      <c r="H93" s="7"/>
      <c r="I93" s="7"/>
      <c r="J93" s="7"/>
      <c r="K93" s="7"/>
      <c r="L93" s="7"/>
    </row>
    <row r="95" spans="2:12" x14ac:dyDescent="0.2">
      <c r="B95" s="6"/>
    </row>
    <row r="96" spans="2:12" x14ac:dyDescent="0.2">
      <c r="C96" s="7"/>
      <c r="D96" s="7"/>
      <c r="E96" s="7"/>
      <c r="F96" s="7"/>
      <c r="G96" s="7"/>
      <c r="H96" s="7"/>
      <c r="I96" s="7"/>
      <c r="J96" s="7"/>
      <c r="K96" s="7"/>
      <c r="L96" s="7"/>
    </row>
    <row r="97" spans="2:12" x14ac:dyDescent="0.2">
      <c r="C97" s="7"/>
      <c r="D97" s="7"/>
      <c r="E97" s="7"/>
      <c r="F97" s="7"/>
      <c r="G97" s="7"/>
      <c r="H97" s="7"/>
      <c r="I97" s="7"/>
      <c r="J97" s="7"/>
      <c r="K97" s="7"/>
      <c r="L97" s="7"/>
    </row>
    <row r="98" spans="2:12" x14ac:dyDescent="0.2">
      <c r="C98" s="7"/>
      <c r="D98" s="7"/>
      <c r="E98" s="7"/>
      <c r="F98" s="7"/>
      <c r="G98" s="7"/>
      <c r="H98" s="7"/>
      <c r="I98" s="7"/>
      <c r="J98" s="7"/>
      <c r="K98" s="7"/>
      <c r="L98" s="7"/>
    </row>
    <row r="99" spans="2:12" x14ac:dyDescent="0.2">
      <c r="C99" s="7"/>
      <c r="D99" s="7"/>
      <c r="E99" s="7"/>
      <c r="F99" s="7"/>
      <c r="G99" s="7"/>
      <c r="H99" s="7"/>
      <c r="I99" s="7"/>
      <c r="J99" s="7"/>
      <c r="K99" s="7"/>
      <c r="L99" s="7"/>
    </row>
    <row r="100" spans="2:12" x14ac:dyDescent="0.2">
      <c r="C100" s="7"/>
      <c r="D100" s="7"/>
      <c r="E100" s="7"/>
      <c r="F100" s="7"/>
      <c r="G100" s="7"/>
      <c r="H100" s="7"/>
      <c r="I100" s="7"/>
      <c r="J100" s="7"/>
      <c r="K100" s="7"/>
      <c r="L100" s="7"/>
    </row>
    <row r="101" spans="2:12" x14ac:dyDescent="0.2">
      <c r="C101" s="7"/>
      <c r="D101" s="7"/>
      <c r="E101" s="7"/>
      <c r="F101" s="7"/>
      <c r="G101" s="7"/>
      <c r="H101" s="7"/>
      <c r="I101" s="7"/>
      <c r="J101" s="7"/>
      <c r="K101" s="7"/>
      <c r="L101" s="7"/>
    </row>
    <row r="102" spans="2:12" x14ac:dyDescent="0.2">
      <c r="C102" s="7"/>
      <c r="D102" s="7"/>
      <c r="E102" s="7"/>
      <c r="F102" s="7"/>
      <c r="G102" s="7"/>
      <c r="H102" s="7"/>
      <c r="I102" s="7"/>
      <c r="J102" s="7"/>
      <c r="K102" s="7"/>
      <c r="L102" s="7"/>
    </row>
    <row r="103" spans="2:12" x14ac:dyDescent="0.2">
      <c r="C103" s="7"/>
      <c r="D103" s="7"/>
      <c r="E103" s="7"/>
      <c r="F103" s="7"/>
      <c r="G103" s="7"/>
      <c r="H103" s="7"/>
      <c r="I103" s="7"/>
      <c r="J103" s="7"/>
      <c r="K103" s="7"/>
      <c r="L103" s="7"/>
    </row>
    <row r="104" spans="2:12" x14ac:dyDescent="0.2">
      <c r="C104" s="7"/>
      <c r="D104" s="7"/>
      <c r="E104" s="7"/>
      <c r="F104" s="7"/>
      <c r="G104" s="7"/>
      <c r="H104" s="7"/>
      <c r="I104" s="7"/>
      <c r="J104" s="7"/>
      <c r="K104" s="7"/>
      <c r="L104" s="7"/>
    </row>
    <row r="105" spans="2:12" x14ac:dyDescent="0.2">
      <c r="B105" s="6"/>
      <c r="C105" s="18"/>
      <c r="D105" s="18"/>
      <c r="E105" s="18"/>
      <c r="F105" s="18"/>
      <c r="G105" s="18"/>
      <c r="H105" s="18"/>
      <c r="I105" s="18"/>
      <c r="J105" s="18"/>
      <c r="K105" s="18"/>
      <c r="L105" s="18"/>
    </row>
    <row r="107" spans="2:12" x14ac:dyDescent="0.2">
      <c r="B107" s="6"/>
      <c r="C107" s="18"/>
      <c r="D107" s="18"/>
      <c r="E107" s="18"/>
      <c r="F107" s="18"/>
      <c r="G107" s="18"/>
      <c r="H107" s="18"/>
      <c r="I107" s="18"/>
      <c r="J107" s="18"/>
      <c r="K107" s="18"/>
      <c r="L107" s="18"/>
    </row>
  </sheetData>
  <mergeCells count="1">
    <mergeCell ref="B2:L2"/>
  </mergeCells>
  <pageMargins left="0.7" right="0.7" top="0.75" bottom="0.75" header="0.3" footer="0.3"/>
  <pageSetup orientation="portrait" r:id="rId1"/>
  <ignoredErrors>
    <ignoredError sqref="C15 D15:L15" formulaRange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957EDD-B6D2-9B46-ACBF-97E76D1FB8E2}">
  <dimension ref="B1:O20"/>
  <sheetViews>
    <sheetView showGridLines="0" zoomScale="125" workbookViewId="0">
      <selection activeCell="E27" sqref="E27"/>
    </sheetView>
  </sheetViews>
  <sheetFormatPr baseColWidth="10" defaultRowHeight="15" x14ac:dyDescent="0.2"/>
  <cols>
    <col min="1" max="1" width="3.83203125" customWidth="1"/>
    <col min="2" max="2" width="15.33203125" customWidth="1"/>
    <col min="3" max="3" width="8.33203125" customWidth="1"/>
    <col min="4" max="4" width="9" customWidth="1"/>
    <col min="5" max="5" width="13" customWidth="1"/>
    <col min="7" max="7" width="12.6640625" customWidth="1"/>
    <col min="8" max="8" width="8.5" customWidth="1"/>
    <col min="9" max="9" width="11.5" customWidth="1"/>
    <col min="10" max="10" width="15.5" customWidth="1"/>
    <col min="12" max="12" width="25.1640625" customWidth="1"/>
    <col min="13" max="13" width="10.6640625" customWidth="1"/>
    <col min="14" max="14" width="8.33203125" customWidth="1"/>
    <col min="15" max="15" width="12.33203125" customWidth="1"/>
  </cols>
  <sheetData>
    <row r="1" spans="2:15" x14ac:dyDescent="0.2">
      <c r="L1" s="34"/>
      <c r="M1" s="34"/>
      <c r="N1" s="34"/>
      <c r="O1" s="34"/>
    </row>
    <row r="2" spans="2:15" x14ac:dyDescent="0.2">
      <c r="L2" s="34"/>
      <c r="M2" s="34"/>
      <c r="N2" s="34"/>
      <c r="O2" s="34"/>
    </row>
    <row r="3" spans="2:15" x14ac:dyDescent="0.2">
      <c r="B3" s="42" t="str">
        <f>'Data Sheet'!$B$1&amp;" - "&amp;'Data Sheet'!A17&amp;" Forecasting"</f>
        <v>DYNACONS SYSTEMS &amp; SOLUTIONS LTD - Sales Forecasting</v>
      </c>
      <c r="C3" s="43"/>
      <c r="D3" s="43"/>
      <c r="E3" s="44"/>
      <c r="G3" s="42" t="str">
        <f>'Data Sheet'!$B$1&amp;" - "&amp;'Data Sheet'!A32&amp;" Forecasting"</f>
        <v>DYNACONS SYSTEMS &amp; SOLUTIONS LTD - EBITDA Forecasting</v>
      </c>
      <c r="H3" s="43"/>
      <c r="I3" s="43"/>
      <c r="J3" s="44"/>
      <c r="L3" s="35"/>
      <c r="M3" s="35"/>
      <c r="N3" s="35"/>
      <c r="O3" s="35"/>
    </row>
    <row r="4" spans="2:15" x14ac:dyDescent="0.2">
      <c r="B4" s="45" t="s">
        <v>88</v>
      </c>
      <c r="C4" s="46" t="s">
        <v>89</v>
      </c>
      <c r="D4" s="46" t="s">
        <v>11</v>
      </c>
      <c r="E4" s="47" t="s">
        <v>58</v>
      </c>
      <c r="G4" s="45" t="s">
        <v>88</v>
      </c>
      <c r="H4" s="46" t="s">
        <v>89</v>
      </c>
      <c r="I4" s="46" t="s">
        <v>27</v>
      </c>
      <c r="J4" s="47" t="s">
        <v>90</v>
      </c>
      <c r="L4" s="36"/>
      <c r="M4" s="37"/>
      <c r="N4" s="37"/>
      <c r="O4" s="37"/>
    </row>
    <row r="5" spans="2:15" x14ac:dyDescent="0.2">
      <c r="B5" s="48">
        <v>1</v>
      </c>
      <c r="C5" s="49">
        <f>'Data Sheet'!B16</f>
        <v>42460</v>
      </c>
      <c r="D5" s="50" cm="1">
        <f t="array" ref="D5:D14">TRANSPOSE('Data Sheet'!B17:K17)</f>
        <v>124.18</v>
      </c>
      <c r="E5" s="51"/>
      <c r="G5" s="48">
        <v>1</v>
      </c>
      <c r="H5" s="49">
        <f>'Data Sheet'!B16</f>
        <v>42460</v>
      </c>
      <c r="I5" s="50" cm="1">
        <f t="array" ref="I5:I14">TRANSPOSE('Data Sheet'!B32:'Data Sheet'!B32:K32)</f>
        <v>4.68</v>
      </c>
      <c r="J5" s="51"/>
      <c r="L5" s="38"/>
      <c r="M5" s="39"/>
      <c r="N5" s="34"/>
      <c r="O5" s="34"/>
    </row>
    <row r="6" spans="2:15" x14ac:dyDescent="0.2">
      <c r="B6" s="48">
        <f>B5+1</f>
        <v>2</v>
      </c>
      <c r="C6" s="49">
        <f>C5+365</f>
        <v>42825</v>
      </c>
      <c r="D6" s="50">
        <v>158.29</v>
      </c>
      <c r="E6" s="52">
        <f>D6/D5-1</f>
        <v>0.27468191335158632</v>
      </c>
      <c r="G6" s="48">
        <f>G5+1</f>
        <v>2</v>
      </c>
      <c r="H6" s="49">
        <f>H5+365</f>
        <v>42825</v>
      </c>
      <c r="I6" s="50">
        <v>5.17</v>
      </c>
      <c r="J6" s="52">
        <f>I6/I5-1</f>
        <v>0.10470085470085477</v>
      </c>
      <c r="L6" s="38"/>
      <c r="M6" s="39"/>
      <c r="N6" s="34"/>
      <c r="O6" s="40"/>
    </row>
    <row r="7" spans="2:15" x14ac:dyDescent="0.2">
      <c r="B7" s="48">
        <f t="shared" ref="B7:B19" si="0">B6+1</f>
        <v>3</v>
      </c>
      <c r="C7" s="49">
        <f t="shared" ref="C7:C12" si="1">C6+365</f>
        <v>43190</v>
      </c>
      <c r="D7" s="50">
        <v>210.7</v>
      </c>
      <c r="E7" s="52">
        <f t="shared" ref="E7:E19" si="2">D7/D6-1</f>
        <v>0.33110114347084463</v>
      </c>
      <c r="G7" s="48">
        <f t="shared" ref="G7:G19" si="3">G6+1</f>
        <v>3</v>
      </c>
      <c r="H7" s="49">
        <f t="shared" ref="H7:H18" si="4">H6+365</f>
        <v>43190</v>
      </c>
      <c r="I7" s="50">
        <v>7.4899999999999993</v>
      </c>
      <c r="J7" s="52">
        <f t="shared" ref="J7:J19" si="5">I7/I6-1</f>
        <v>0.44874274661508684</v>
      </c>
      <c r="L7" s="38"/>
      <c r="M7" s="39"/>
      <c r="N7" s="34"/>
      <c r="O7" s="40"/>
    </row>
    <row r="8" spans="2:15" x14ac:dyDescent="0.2">
      <c r="B8" s="48">
        <f t="shared" si="0"/>
        <v>4</v>
      </c>
      <c r="C8" s="49">
        <f t="shared" si="1"/>
        <v>43555</v>
      </c>
      <c r="D8" s="50">
        <v>303.72000000000003</v>
      </c>
      <c r="E8" s="52">
        <f t="shared" si="2"/>
        <v>0.44148077835785493</v>
      </c>
      <c r="G8" s="48">
        <f t="shared" si="3"/>
        <v>4</v>
      </c>
      <c r="H8" s="49">
        <f t="shared" si="4"/>
        <v>43555</v>
      </c>
      <c r="I8" s="50">
        <v>13.07</v>
      </c>
      <c r="J8" s="52">
        <f t="shared" si="5"/>
        <v>0.74499332443257704</v>
      </c>
      <c r="L8" s="38"/>
      <c r="M8" s="39"/>
      <c r="N8" s="34"/>
      <c r="O8" s="40"/>
    </row>
    <row r="9" spans="2:15" x14ac:dyDescent="0.2">
      <c r="B9" s="48">
        <f t="shared" si="0"/>
        <v>5</v>
      </c>
      <c r="C9" s="49">
        <f t="shared" si="1"/>
        <v>43920</v>
      </c>
      <c r="D9" s="50">
        <v>327.95</v>
      </c>
      <c r="E9" s="52">
        <f t="shared" si="2"/>
        <v>7.9777426577110289E-2</v>
      </c>
      <c r="G9" s="48">
        <f t="shared" si="3"/>
        <v>5</v>
      </c>
      <c r="H9" s="49">
        <f t="shared" si="4"/>
        <v>43920</v>
      </c>
      <c r="I9" s="50">
        <v>16.849999999999998</v>
      </c>
      <c r="J9" s="52">
        <f t="shared" si="5"/>
        <v>0.28921193573068082</v>
      </c>
      <c r="L9" s="38"/>
      <c r="M9" s="39"/>
      <c r="N9" s="34"/>
      <c r="O9" s="40"/>
    </row>
    <row r="10" spans="2:15" x14ac:dyDescent="0.2">
      <c r="B10" s="48">
        <f t="shared" si="0"/>
        <v>6</v>
      </c>
      <c r="C10" s="49">
        <f t="shared" si="1"/>
        <v>44285</v>
      </c>
      <c r="D10" s="50">
        <v>435.94</v>
      </c>
      <c r="E10" s="52">
        <f t="shared" si="2"/>
        <v>0.32928800121969815</v>
      </c>
      <c r="G10" s="48">
        <f t="shared" si="3"/>
        <v>6</v>
      </c>
      <c r="H10" s="49">
        <f t="shared" si="4"/>
        <v>44285</v>
      </c>
      <c r="I10" s="50">
        <v>20.53</v>
      </c>
      <c r="J10" s="52">
        <f t="shared" si="5"/>
        <v>0.21839762611275981</v>
      </c>
      <c r="L10" s="38"/>
      <c r="M10" s="39"/>
      <c r="N10" s="34"/>
      <c r="O10" s="40"/>
    </row>
    <row r="11" spans="2:15" x14ac:dyDescent="0.2">
      <c r="B11" s="48">
        <f t="shared" si="0"/>
        <v>7</v>
      </c>
      <c r="C11" s="49">
        <f t="shared" si="1"/>
        <v>44650</v>
      </c>
      <c r="D11" s="50">
        <v>653.98</v>
      </c>
      <c r="E11" s="52">
        <f t="shared" si="2"/>
        <v>0.50016057255585644</v>
      </c>
      <c r="G11" s="48">
        <f t="shared" si="3"/>
        <v>7</v>
      </c>
      <c r="H11" s="49">
        <f t="shared" si="4"/>
        <v>44650</v>
      </c>
      <c r="I11" s="50">
        <v>32.44</v>
      </c>
      <c r="J11" s="52">
        <f t="shared" si="5"/>
        <v>0.58012664393570357</v>
      </c>
      <c r="L11" s="38"/>
      <c r="M11" s="39"/>
      <c r="N11" s="34"/>
      <c r="O11" s="40"/>
    </row>
    <row r="12" spans="2:15" x14ac:dyDescent="0.2">
      <c r="B12" s="48">
        <f t="shared" si="0"/>
        <v>8</v>
      </c>
      <c r="C12" s="49">
        <f t="shared" si="1"/>
        <v>45015</v>
      </c>
      <c r="D12" s="50">
        <v>804.15</v>
      </c>
      <c r="E12" s="52">
        <f t="shared" si="2"/>
        <v>0.22962475916694691</v>
      </c>
      <c r="G12" s="48">
        <f t="shared" si="3"/>
        <v>8</v>
      </c>
      <c r="H12" s="49">
        <f t="shared" si="4"/>
        <v>45015</v>
      </c>
      <c r="I12" s="50">
        <v>56.88</v>
      </c>
      <c r="J12" s="52">
        <f t="shared" si="5"/>
        <v>0.75339087546239236</v>
      </c>
      <c r="L12" s="38"/>
      <c r="M12" s="39"/>
      <c r="N12" s="34"/>
      <c r="O12" s="40"/>
    </row>
    <row r="13" spans="2:15" x14ac:dyDescent="0.2">
      <c r="B13" s="48">
        <f t="shared" si="0"/>
        <v>9</v>
      </c>
      <c r="C13" s="49">
        <f>C12+365</f>
        <v>45380</v>
      </c>
      <c r="D13" s="50">
        <v>1024.43</v>
      </c>
      <c r="E13" s="52">
        <f t="shared" si="2"/>
        <v>0.27392899334701259</v>
      </c>
      <c r="G13" s="48">
        <f t="shared" si="3"/>
        <v>9</v>
      </c>
      <c r="H13" s="49">
        <f t="shared" si="4"/>
        <v>45380</v>
      </c>
      <c r="I13" s="50">
        <v>82.6</v>
      </c>
      <c r="J13" s="52">
        <f t="shared" si="5"/>
        <v>0.45218002812939506</v>
      </c>
      <c r="L13" s="38"/>
      <c r="M13" s="39"/>
      <c r="N13" s="34"/>
      <c r="O13" s="40"/>
    </row>
    <row r="14" spans="2:15" x14ac:dyDescent="0.2">
      <c r="B14" s="48">
        <f t="shared" si="0"/>
        <v>10</v>
      </c>
      <c r="C14" s="49">
        <f>C13+365</f>
        <v>45745</v>
      </c>
      <c r="D14" s="50">
        <v>1266.83</v>
      </c>
      <c r="E14" s="52">
        <f t="shared" si="2"/>
        <v>0.23661938834278562</v>
      </c>
      <c r="G14" s="48">
        <f t="shared" si="3"/>
        <v>10</v>
      </c>
      <c r="H14" s="49">
        <f t="shared" si="4"/>
        <v>45745</v>
      </c>
      <c r="I14" s="50">
        <v>111.93</v>
      </c>
      <c r="J14" s="52">
        <f t="shared" si="5"/>
        <v>0.35508474576271198</v>
      </c>
      <c r="L14" s="38"/>
      <c r="M14" s="39"/>
      <c r="N14" s="34"/>
      <c r="O14" s="40"/>
    </row>
    <row r="15" spans="2:15" x14ac:dyDescent="0.2">
      <c r="B15" s="53">
        <f t="shared" si="0"/>
        <v>11</v>
      </c>
      <c r="C15" s="54">
        <f>C14+365</f>
        <v>46110</v>
      </c>
      <c r="D15" s="55">
        <f>FORECAST(B15,_xlfn.ANCHORARRAY($D$5),$B$5:$B$14)</f>
        <v>1213.4453333333333</v>
      </c>
      <c r="E15" s="56">
        <f t="shared" si="2"/>
        <v>-4.2140355585727041E-2</v>
      </c>
      <c r="G15" s="53">
        <f t="shared" si="3"/>
        <v>11</v>
      </c>
      <c r="H15" s="54">
        <f t="shared" si="4"/>
        <v>46110</v>
      </c>
      <c r="I15" s="55">
        <f>FORECAST(G15,_xlfn.ANCHORARRAY($I$5),$G$5:$G$14)</f>
        <v>95.697333333333333</v>
      </c>
      <c r="J15" s="56">
        <f t="shared" si="5"/>
        <v>-0.1450251645373597</v>
      </c>
      <c r="L15" s="38"/>
      <c r="M15" s="41"/>
      <c r="N15" s="34"/>
      <c r="O15" s="34"/>
    </row>
    <row r="16" spans="2:15" x14ac:dyDescent="0.2">
      <c r="B16" s="53">
        <f t="shared" si="0"/>
        <v>12</v>
      </c>
      <c r="C16" s="54">
        <f>C15+365</f>
        <v>46475</v>
      </c>
      <c r="D16" s="55">
        <f>FORECAST(B16,_xlfn.ANCHORARRAY($D$5),$B$5:$B$14)</f>
        <v>1337.5232121212121</v>
      </c>
      <c r="E16" s="56">
        <f t="shared" si="2"/>
        <v>0.10225254931512806</v>
      </c>
      <c r="G16" s="53">
        <f t="shared" si="3"/>
        <v>12</v>
      </c>
      <c r="H16" s="54">
        <f t="shared" si="4"/>
        <v>46475</v>
      </c>
      <c r="I16" s="55">
        <f t="shared" ref="I16:I19" si="6">FORECAST(G16,_xlfn.ANCHORARRAY($I$5),$G$5:$G$14)</f>
        <v>106.70339393939393</v>
      </c>
      <c r="J16" s="56">
        <f t="shared" si="5"/>
        <v>0.11500906266347299</v>
      </c>
      <c r="L16" s="38"/>
      <c r="M16" s="41"/>
      <c r="N16" s="34"/>
      <c r="O16" s="34"/>
    </row>
    <row r="17" spans="2:15" x14ac:dyDescent="0.2">
      <c r="B17" s="53">
        <f t="shared" si="0"/>
        <v>13</v>
      </c>
      <c r="C17" s="54">
        <f t="shared" ref="C17:C18" si="7">C16+365</f>
        <v>46840</v>
      </c>
      <c r="D17" s="55">
        <f>FORECAST(B17,_xlfn.ANCHORARRAY($D$5),$B$5:$B$14)</f>
        <v>1461.6010909090908</v>
      </c>
      <c r="E17" s="56">
        <f t="shared" si="2"/>
        <v>9.2766897548716587E-2</v>
      </c>
      <c r="G17" s="53">
        <f t="shared" si="3"/>
        <v>13</v>
      </c>
      <c r="H17" s="54">
        <f t="shared" si="4"/>
        <v>46840</v>
      </c>
      <c r="I17" s="55">
        <f t="shared" si="6"/>
        <v>117.70945454545453</v>
      </c>
      <c r="J17" s="56">
        <f t="shared" si="5"/>
        <v>0.10314630303429606</v>
      </c>
      <c r="L17" s="38"/>
      <c r="M17" s="41"/>
      <c r="N17" s="34"/>
      <c r="O17" s="34"/>
    </row>
    <row r="18" spans="2:15" x14ac:dyDescent="0.2">
      <c r="B18" s="53">
        <f t="shared" si="0"/>
        <v>14</v>
      </c>
      <c r="C18" s="54">
        <f t="shared" si="7"/>
        <v>47205</v>
      </c>
      <c r="D18" s="55">
        <f t="shared" ref="D16:D19" si="8">FORECAST(B18,_xlfn.ANCHORARRAY($D$5),$B$5:$B$14)</f>
        <v>1585.6789696969697</v>
      </c>
      <c r="E18" s="56">
        <f t="shared" si="2"/>
        <v>8.4891752995822189E-2</v>
      </c>
      <c r="G18" s="53">
        <f t="shared" si="3"/>
        <v>14</v>
      </c>
      <c r="H18" s="54">
        <f t="shared" si="4"/>
        <v>47205</v>
      </c>
      <c r="I18" s="55">
        <f t="shared" si="6"/>
        <v>128.71551515151515</v>
      </c>
      <c r="J18" s="56">
        <f t="shared" si="5"/>
        <v>9.3501925130496044E-2</v>
      </c>
      <c r="L18" s="38"/>
      <c r="M18" s="41"/>
      <c r="N18" s="34"/>
      <c r="O18" s="34"/>
    </row>
    <row r="19" spans="2:15" x14ac:dyDescent="0.2">
      <c r="B19" s="57">
        <f t="shared" si="0"/>
        <v>15</v>
      </c>
      <c r="C19" s="58">
        <f>C18+365</f>
        <v>47570</v>
      </c>
      <c r="D19" s="59">
        <f t="shared" si="8"/>
        <v>1709.7568484848484</v>
      </c>
      <c r="E19" s="60">
        <f t="shared" si="2"/>
        <v>7.8249053660332413E-2</v>
      </c>
      <c r="G19" s="57">
        <f t="shared" si="3"/>
        <v>15</v>
      </c>
      <c r="H19" s="58">
        <f>H18+365</f>
        <v>47570</v>
      </c>
      <c r="I19" s="59">
        <f t="shared" si="6"/>
        <v>139.72157575757575</v>
      </c>
      <c r="J19" s="60">
        <f t="shared" si="5"/>
        <v>8.5506868329781494E-2</v>
      </c>
      <c r="L19" s="38"/>
      <c r="M19" s="41"/>
      <c r="N19" s="34"/>
      <c r="O19" s="34"/>
    </row>
    <row r="20" spans="2:15" x14ac:dyDescent="0.2">
      <c r="L20" s="34"/>
      <c r="M20" s="34"/>
      <c r="N20" s="34"/>
      <c r="O20" s="34"/>
    </row>
  </sheetData>
  <mergeCells count="3">
    <mergeCell ref="B3:E3"/>
    <mergeCell ref="G3:J3"/>
    <mergeCell ref="L3:O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CDEAB5-1258-49C9-9C0B-A8027D874526}">
  <sheetPr>
    <tabColor theme="8" tint="-0.499984740745262"/>
  </sheetPr>
  <dimension ref="A1"/>
  <sheetViews>
    <sheetView workbookViewId="0">
      <selection activeCell="F26" sqref="F26"/>
    </sheetView>
  </sheetViews>
  <sheetFormatPr baseColWidth="10" defaultColWidth="8.83203125" defaultRowHeight="15" x14ac:dyDescent="0.2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023169-3452-A04F-A26C-44C6625373D2}">
  <dimension ref="A1:K92"/>
  <sheetViews>
    <sheetView zoomScale="120" zoomScaleNormal="120" zoomScalePageLayoutView="120" workbookViewId="0">
      <pane xSplit="1" ySplit="1" topLeftCell="B2" activePane="bottomRight" state="frozen"/>
      <selection activeCell="C4" sqref="C4"/>
      <selection pane="topRight" activeCell="C4" sqref="C4"/>
      <selection pane="bottomLeft" activeCell="C4" sqref="C4"/>
      <selection pane="bottomRight" activeCell="C17" sqref="C17"/>
    </sheetView>
  </sheetViews>
  <sheetFormatPr baseColWidth="10" defaultColWidth="8.83203125" defaultRowHeight="15" x14ac:dyDescent="0.2"/>
  <cols>
    <col min="1" max="1" width="27.6640625" style="20" bestFit="1" customWidth="1"/>
    <col min="2" max="11" width="13.5" style="20" bestFit="1" customWidth="1"/>
    <col min="12" max="16384" width="8.83203125" style="20"/>
  </cols>
  <sheetData>
    <row r="1" spans="1:11" s="19" customFormat="1" x14ac:dyDescent="0.2">
      <c r="A1" s="19" t="s">
        <v>0</v>
      </c>
      <c r="B1" s="19" t="s">
        <v>87</v>
      </c>
      <c r="E1" s="31" t="str">
        <f>IF(B2&lt;&gt;B3, "A NEW VERSION OF THE WORKSHEET IS AVAILABLE", "")</f>
        <v/>
      </c>
      <c r="F1" s="31"/>
      <c r="G1" s="31"/>
      <c r="H1" s="31"/>
      <c r="I1" s="31"/>
      <c r="J1" s="31"/>
      <c r="K1" s="31"/>
    </row>
    <row r="2" spans="1:11" x14ac:dyDescent="0.2">
      <c r="A2" s="19" t="s">
        <v>1</v>
      </c>
      <c r="B2" s="20">
        <v>2.1</v>
      </c>
      <c r="E2" s="32" t="s">
        <v>2</v>
      </c>
      <c r="F2" s="32"/>
      <c r="G2" s="32"/>
      <c r="H2" s="32"/>
      <c r="I2" s="32"/>
      <c r="J2" s="32"/>
      <c r="K2" s="32"/>
    </row>
    <row r="3" spans="1:11" x14ac:dyDescent="0.2">
      <c r="A3" s="19" t="s">
        <v>3</v>
      </c>
      <c r="B3" s="20">
        <v>2.1</v>
      </c>
    </row>
    <row r="4" spans="1:11" x14ac:dyDescent="0.2">
      <c r="A4" s="19"/>
    </row>
    <row r="5" spans="1:11" x14ac:dyDescent="0.2">
      <c r="A5" s="19" t="s">
        <v>4</v>
      </c>
    </row>
    <row r="6" spans="1:11" x14ac:dyDescent="0.2">
      <c r="A6" s="20" t="s">
        <v>5</v>
      </c>
      <c r="B6" s="20">
        <f>IF(B9&gt;0, B9/B8, 0)</f>
        <v>1.2725304607017729</v>
      </c>
    </row>
    <row r="7" spans="1:11" x14ac:dyDescent="0.2">
      <c r="A7" s="20" t="s">
        <v>6</v>
      </c>
      <c r="B7" s="3">
        <v>10</v>
      </c>
    </row>
    <row r="8" spans="1:11" x14ac:dyDescent="0.2">
      <c r="A8" s="20" t="s">
        <v>7</v>
      </c>
      <c r="B8" s="3">
        <v>956.15</v>
      </c>
    </row>
    <row r="9" spans="1:11" x14ac:dyDescent="0.2">
      <c r="A9" s="20" t="s">
        <v>8</v>
      </c>
      <c r="B9" s="3">
        <v>1216.73</v>
      </c>
    </row>
    <row r="15" spans="1:11" x14ac:dyDescent="0.2">
      <c r="A15" s="19" t="s">
        <v>9</v>
      </c>
    </row>
    <row r="16" spans="1:11" s="23" customFormat="1" x14ac:dyDescent="0.2">
      <c r="A16" s="21" t="s">
        <v>10</v>
      </c>
      <c r="B16" s="22">
        <v>42460</v>
      </c>
      <c r="C16" s="22">
        <v>42825</v>
      </c>
      <c r="D16" s="22">
        <v>43190</v>
      </c>
      <c r="E16" s="22">
        <v>43555</v>
      </c>
      <c r="F16" s="22">
        <v>43921</v>
      </c>
      <c r="G16" s="22">
        <v>44286</v>
      </c>
      <c r="H16" s="22">
        <v>44651</v>
      </c>
      <c r="I16" s="22">
        <v>45016</v>
      </c>
      <c r="J16" s="22">
        <v>45382</v>
      </c>
      <c r="K16" s="22">
        <v>45747</v>
      </c>
    </row>
    <row r="17" spans="1:11" s="24" customFormat="1" x14ac:dyDescent="0.2">
      <c r="A17" s="24" t="s">
        <v>11</v>
      </c>
      <c r="B17" s="3">
        <v>124.18</v>
      </c>
      <c r="C17" s="3">
        <v>158.29</v>
      </c>
      <c r="D17" s="3">
        <v>210.7</v>
      </c>
      <c r="E17" s="3">
        <v>303.72000000000003</v>
      </c>
      <c r="F17" s="3">
        <v>327.95</v>
      </c>
      <c r="G17" s="3">
        <v>435.94</v>
      </c>
      <c r="H17" s="3">
        <v>653.98</v>
      </c>
      <c r="I17" s="3">
        <v>804.15</v>
      </c>
      <c r="J17" s="3">
        <v>1024.43</v>
      </c>
      <c r="K17" s="3">
        <v>1266.83</v>
      </c>
    </row>
    <row r="18" spans="1:11" s="24" customFormat="1" x14ac:dyDescent="0.2">
      <c r="A18" s="20" t="s">
        <v>12</v>
      </c>
      <c r="B18" s="3">
        <v>109.24</v>
      </c>
      <c r="C18" s="3">
        <v>141.47</v>
      </c>
      <c r="D18" s="3">
        <v>182.83</v>
      </c>
      <c r="E18" s="3">
        <v>264.14</v>
      </c>
      <c r="F18" s="3">
        <v>275.58</v>
      </c>
      <c r="G18" s="3">
        <v>421.85</v>
      </c>
      <c r="H18" s="3">
        <v>616.82000000000005</v>
      </c>
      <c r="I18" s="3">
        <v>672.67</v>
      </c>
      <c r="J18" s="3">
        <v>932.54</v>
      </c>
      <c r="K18" s="3">
        <v>1090.26</v>
      </c>
    </row>
    <row r="19" spans="1:11" s="24" customFormat="1" x14ac:dyDescent="0.2">
      <c r="A19" s="20" t="s">
        <v>13</v>
      </c>
      <c r="B19" s="3">
        <v>-0.82</v>
      </c>
      <c r="C19" s="3">
        <v>2.57</v>
      </c>
      <c r="D19" s="3">
        <v>4.6100000000000003</v>
      </c>
      <c r="E19" s="3">
        <v>2.98</v>
      </c>
      <c r="F19" s="3">
        <v>-8.07</v>
      </c>
      <c r="G19" s="3">
        <v>33.75</v>
      </c>
      <c r="H19" s="3">
        <v>28.44</v>
      </c>
      <c r="I19" s="3">
        <v>-34.270000000000003</v>
      </c>
      <c r="J19" s="3">
        <v>36.75</v>
      </c>
      <c r="K19" s="3">
        <v>-15.15</v>
      </c>
    </row>
    <row r="20" spans="1:11" s="24" customFormat="1" x14ac:dyDescent="0.2">
      <c r="A20" s="20" t="s">
        <v>14</v>
      </c>
      <c r="B20" s="3">
        <v>0.11</v>
      </c>
      <c r="C20" s="3">
        <v>0.11</v>
      </c>
      <c r="D20" s="3">
        <v>0.11</v>
      </c>
      <c r="E20" s="3">
        <v>0.1</v>
      </c>
      <c r="F20" s="3">
        <v>0.11</v>
      </c>
      <c r="G20" s="3">
        <v>0.06</v>
      </c>
      <c r="H20" s="3">
        <v>0.08</v>
      </c>
      <c r="I20" s="3">
        <v>0.1</v>
      </c>
      <c r="J20" s="3">
        <v>0.13</v>
      </c>
      <c r="K20" s="3">
        <v>0.15</v>
      </c>
    </row>
    <row r="21" spans="1:11" s="24" customFormat="1" x14ac:dyDescent="0.2">
      <c r="A21" s="20" t="s">
        <v>15</v>
      </c>
      <c r="B21" s="3">
        <v>0.08</v>
      </c>
      <c r="C21" s="3">
        <v>0.09</v>
      </c>
      <c r="D21" s="3">
        <v>0.15</v>
      </c>
      <c r="E21" s="3">
        <v>7.0000000000000007E-2</v>
      </c>
      <c r="F21" s="3">
        <v>0.09</v>
      </c>
      <c r="G21" s="3">
        <v>0.22</v>
      </c>
      <c r="H21" s="3">
        <v>7.0000000000000007E-2</v>
      </c>
      <c r="I21" s="3">
        <v>0.13</v>
      </c>
      <c r="J21" s="3">
        <v>7.0000000000000007E-2</v>
      </c>
      <c r="K21" s="3">
        <v>0.08</v>
      </c>
    </row>
    <row r="22" spans="1:11" s="24" customFormat="1" x14ac:dyDescent="0.2">
      <c r="A22" s="20" t="s">
        <v>16</v>
      </c>
      <c r="B22" s="3">
        <v>7.41</v>
      </c>
      <c r="C22" s="3">
        <v>11.05</v>
      </c>
      <c r="D22" s="3">
        <v>20.47</v>
      </c>
      <c r="E22" s="3">
        <v>24.48</v>
      </c>
      <c r="F22" s="3">
        <v>22.38</v>
      </c>
      <c r="G22" s="3">
        <v>23.94</v>
      </c>
      <c r="H22" s="3">
        <v>27.57</v>
      </c>
      <c r="I22" s="3">
        <v>30.76</v>
      </c>
      <c r="J22" s="3">
        <v>38.549999999999997</v>
      </c>
      <c r="K22" s="3">
        <v>43.57</v>
      </c>
    </row>
    <row r="23" spans="1:11" s="24" customFormat="1" x14ac:dyDescent="0.2">
      <c r="A23" s="20" t="s">
        <v>17</v>
      </c>
      <c r="B23" s="3">
        <v>2.2200000000000002</v>
      </c>
      <c r="C23" s="3">
        <v>2.98</v>
      </c>
      <c r="D23" s="3">
        <v>4.46</v>
      </c>
      <c r="E23" s="3">
        <v>5.76</v>
      </c>
      <c r="F23" s="3">
        <v>6.81</v>
      </c>
      <c r="G23" s="3">
        <v>4.1100000000000003</v>
      </c>
      <c r="H23" s="3">
        <v>6.36</v>
      </c>
      <c r="I23" s="3">
        <v>10.73</v>
      </c>
      <c r="J23" s="3">
        <v>10.43</v>
      </c>
      <c r="K23" s="3">
        <v>10.69</v>
      </c>
    </row>
    <row r="24" spans="1:11" s="24" customFormat="1" x14ac:dyDescent="0.2">
      <c r="A24" s="20" t="s">
        <v>18</v>
      </c>
      <c r="B24" s="3">
        <v>0.13</v>
      </c>
      <c r="C24" s="3">
        <v>0.42</v>
      </c>
      <c r="D24" s="3">
        <v>0.62</v>
      </c>
      <c r="E24" s="3">
        <v>0.27</v>
      </c>
      <c r="F24" s="3">
        <v>0.3</v>
      </c>
      <c r="G24" s="3">
        <v>0.84</v>
      </c>
      <c r="H24" s="3">
        <v>0.87</v>
      </c>
      <c r="I24" s="3">
        <v>0.9</v>
      </c>
      <c r="J24" s="3">
        <v>1.24</v>
      </c>
      <c r="K24" s="3">
        <v>1.71</v>
      </c>
    </row>
    <row r="25" spans="1:11" s="24" customFormat="1" x14ac:dyDescent="0.2">
      <c r="A25" s="24" t="s">
        <v>19</v>
      </c>
      <c r="B25" s="3">
        <v>0.52</v>
      </c>
      <c r="C25" s="3">
        <v>0.42</v>
      </c>
      <c r="D25" s="3">
        <v>0.83</v>
      </c>
      <c r="E25" s="3">
        <v>1.18</v>
      </c>
      <c r="F25" s="3">
        <v>2.23</v>
      </c>
      <c r="G25" s="3">
        <v>1.85</v>
      </c>
      <c r="H25" s="3">
        <v>1.78</v>
      </c>
      <c r="I25" s="3">
        <v>2.29</v>
      </c>
      <c r="J25" s="3">
        <v>4.38</v>
      </c>
      <c r="K25" s="3">
        <v>6.71</v>
      </c>
    </row>
    <row r="26" spans="1:11" s="24" customFormat="1" x14ac:dyDescent="0.2">
      <c r="A26" s="24" t="s">
        <v>20</v>
      </c>
      <c r="B26" s="3">
        <v>0.62</v>
      </c>
      <c r="C26" s="3">
        <v>0.61</v>
      </c>
      <c r="D26" s="3">
        <v>0.76</v>
      </c>
      <c r="E26" s="3">
        <v>0.72</v>
      </c>
      <c r="F26" s="3">
        <v>1.03</v>
      </c>
      <c r="G26" s="3">
        <v>1.26</v>
      </c>
      <c r="H26" s="3">
        <v>1.36</v>
      </c>
      <c r="I26" s="3">
        <v>1.36</v>
      </c>
      <c r="J26" s="3">
        <v>1.52</v>
      </c>
      <c r="K26" s="3">
        <v>1.65</v>
      </c>
    </row>
    <row r="27" spans="1:11" s="24" customFormat="1" x14ac:dyDescent="0.2">
      <c r="A27" s="24" t="s">
        <v>21</v>
      </c>
      <c r="B27" s="3">
        <v>2.75</v>
      </c>
      <c r="C27" s="3">
        <v>2.91</v>
      </c>
      <c r="D27" s="3">
        <v>3.9</v>
      </c>
      <c r="E27" s="3">
        <v>6.03</v>
      </c>
      <c r="F27" s="3">
        <v>7.76</v>
      </c>
      <c r="G27" s="3">
        <v>7.17</v>
      </c>
      <c r="H27" s="3">
        <v>9.02</v>
      </c>
      <c r="I27" s="3">
        <v>10.91</v>
      </c>
      <c r="J27" s="3">
        <v>8.8699999999999992</v>
      </c>
      <c r="K27" s="3">
        <v>13.27</v>
      </c>
    </row>
    <row r="28" spans="1:11" s="24" customFormat="1" x14ac:dyDescent="0.2">
      <c r="A28" s="24" t="s">
        <v>22</v>
      </c>
      <c r="B28" s="3">
        <v>1.32</v>
      </c>
      <c r="C28" s="3">
        <v>1.64</v>
      </c>
      <c r="D28" s="3">
        <v>2.84</v>
      </c>
      <c r="E28" s="3">
        <v>6.31</v>
      </c>
      <c r="F28" s="3">
        <v>8.0500000000000007</v>
      </c>
      <c r="G28" s="3">
        <v>12.09</v>
      </c>
      <c r="H28" s="3">
        <v>22.05</v>
      </c>
      <c r="I28" s="3">
        <v>44.61</v>
      </c>
      <c r="J28" s="3">
        <v>72.209999999999994</v>
      </c>
      <c r="K28" s="3">
        <v>97.01</v>
      </c>
    </row>
    <row r="29" spans="1:11" s="24" customFormat="1" x14ac:dyDescent="0.2">
      <c r="A29" s="24" t="s">
        <v>23</v>
      </c>
      <c r="B29" s="3">
        <v>0.4</v>
      </c>
      <c r="C29" s="3">
        <v>0.41</v>
      </c>
      <c r="D29" s="3">
        <v>0.94</v>
      </c>
      <c r="E29" s="3">
        <v>2.13</v>
      </c>
      <c r="F29" s="3">
        <v>1.94</v>
      </c>
      <c r="G29" s="3">
        <v>2.88</v>
      </c>
      <c r="H29" s="3">
        <v>5.6</v>
      </c>
      <c r="I29" s="3">
        <v>11.23</v>
      </c>
      <c r="J29" s="3">
        <v>18.25</v>
      </c>
      <c r="K29" s="3">
        <v>24.6</v>
      </c>
    </row>
    <row r="30" spans="1:11" s="24" customFormat="1" x14ac:dyDescent="0.2">
      <c r="A30" s="24" t="s">
        <v>24</v>
      </c>
      <c r="B30" s="3">
        <v>0.91</v>
      </c>
      <c r="C30" s="3">
        <v>1.24</v>
      </c>
      <c r="D30" s="3">
        <v>1.89</v>
      </c>
      <c r="E30" s="3">
        <v>4.1900000000000004</v>
      </c>
      <c r="F30" s="3">
        <v>6.12</v>
      </c>
      <c r="G30" s="3">
        <v>9.2200000000000006</v>
      </c>
      <c r="H30" s="3">
        <v>16.46</v>
      </c>
      <c r="I30" s="3">
        <v>33.380000000000003</v>
      </c>
      <c r="J30" s="3">
        <v>53.96</v>
      </c>
      <c r="K30" s="3">
        <v>72.41</v>
      </c>
    </row>
    <row r="31" spans="1:11" s="24" customFormat="1" x14ac:dyDescent="0.2">
      <c r="A31" s="24" t="s">
        <v>25</v>
      </c>
      <c r="F31" s="3">
        <v>0.46</v>
      </c>
      <c r="G31" s="3">
        <v>0.51</v>
      </c>
      <c r="H31" s="3">
        <v>0.56000000000000005</v>
      </c>
      <c r="I31" s="3">
        <v>0.63</v>
      </c>
    </row>
    <row r="32" spans="1:11" x14ac:dyDescent="0.2">
      <c r="A32" s="24" t="s">
        <v>27</v>
      </c>
      <c r="B32" s="33">
        <f>B26+B27+B29+B30</f>
        <v>4.68</v>
      </c>
      <c r="C32" s="33">
        <f>C26+C27+C29+C30</f>
        <v>5.17</v>
      </c>
      <c r="D32" s="33">
        <f>D26+D27+D29+D30</f>
        <v>7.4899999999999993</v>
      </c>
      <c r="E32" s="33">
        <f>E26+E27+E29+E30</f>
        <v>13.07</v>
      </c>
      <c r="F32" s="33">
        <f>F26+F27+F29+F30</f>
        <v>16.849999999999998</v>
      </c>
      <c r="G32" s="33">
        <f>G26+G27+G29+G30</f>
        <v>20.53</v>
      </c>
      <c r="H32" s="33">
        <f>H26+H27+H29+H30</f>
        <v>32.44</v>
      </c>
      <c r="I32" s="33">
        <f>I26+I27+I29+I30</f>
        <v>56.88</v>
      </c>
      <c r="J32" s="33">
        <f>J26+J27+J29+J30</f>
        <v>82.6</v>
      </c>
      <c r="K32" s="33">
        <f>K26+K27+K29+K30</f>
        <v>111.93</v>
      </c>
    </row>
    <row r="33" spans="1:11" x14ac:dyDescent="0.2">
      <c r="A33" s="24"/>
    </row>
    <row r="34" spans="1:11" x14ac:dyDescent="0.2">
      <c r="A34" s="24"/>
    </row>
    <row r="35" spans="1:11" x14ac:dyDescent="0.2">
      <c r="A35" s="24"/>
    </row>
    <row r="36" spans="1:11" x14ac:dyDescent="0.2">
      <c r="A36" s="24"/>
    </row>
    <row r="37" spans="1:11" x14ac:dyDescent="0.2">
      <c r="A37" s="24"/>
    </row>
    <row r="38" spans="1:11" x14ac:dyDescent="0.2">
      <c r="A38" s="24"/>
    </row>
    <row r="39" spans="1:11" x14ac:dyDescent="0.2">
      <c r="A39" s="19" t="s">
        <v>28</v>
      </c>
    </row>
    <row r="40" spans="1:11" s="23" customFormat="1" x14ac:dyDescent="0.2">
      <c r="A40" s="21" t="s">
        <v>10</v>
      </c>
      <c r="B40" s="22">
        <v>45107</v>
      </c>
      <c r="C40" s="22">
        <v>45199</v>
      </c>
      <c r="D40" s="22">
        <v>45291</v>
      </c>
      <c r="E40" s="22">
        <v>45382</v>
      </c>
      <c r="F40" s="22">
        <v>45473</v>
      </c>
      <c r="G40" s="22">
        <v>45565</v>
      </c>
      <c r="H40" s="22">
        <v>45657</v>
      </c>
      <c r="I40" s="22">
        <v>45747</v>
      </c>
      <c r="J40" s="22">
        <v>45838</v>
      </c>
      <c r="K40" s="22">
        <v>45930</v>
      </c>
    </row>
    <row r="41" spans="1:11" s="24" customFormat="1" x14ac:dyDescent="0.2">
      <c r="A41" s="24" t="s">
        <v>11</v>
      </c>
      <c r="B41" s="3">
        <v>295.58</v>
      </c>
      <c r="C41" s="3">
        <v>219.86</v>
      </c>
      <c r="D41" s="3">
        <v>226.74</v>
      </c>
      <c r="E41" s="3">
        <v>282.25</v>
      </c>
      <c r="F41" s="3">
        <v>320.97000000000003</v>
      </c>
      <c r="G41" s="3">
        <v>306.33</v>
      </c>
      <c r="H41" s="3">
        <v>308.92</v>
      </c>
      <c r="I41" s="3">
        <v>330.61</v>
      </c>
      <c r="J41" s="3">
        <v>328.69</v>
      </c>
      <c r="K41" s="3">
        <v>352.21</v>
      </c>
    </row>
    <row r="42" spans="1:11" s="24" customFormat="1" x14ac:dyDescent="0.2">
      <c r="A42" s="24" t="s">
        <v>29</v>
      </c>
      <c r="B42" s="3">
        <v>275.07</v>
      </c>
      <c r="C42" s="3">
        <v>200.85</v>
      </c>
      <c r="D42" s="3">
        <v>207.82</v>
      </c>
      <c r="E42" s="3">
        <v>262.55</v>
      </c>
      <c r="F42" s="3">
        <v>296.16000000000003</v>
      </c>
      <c r="G42" s="3">
        <v>280.77999999999997</v>
      </c>
      <c r="H42" s="3">
        <v>280.20999999999998</v>
      </c>
      <c r="I42" s="3">
        <v>301.16000000000003</v>
      </c>
      <c r="J42" s="3">
        <v>296.95999999999998</v>
      </c>
      <c r="K42" s="3">
        <v>315.08999999999997</v>
      </c>
    </row>
    <row r="43" spans="1:11" s="24" customFormat="1" x14ac:dyDescent="0.2">
      <c r="A43" s="24" t="s">
        <v>19</v>
      </c>
      <c r="B43" s="3">
        <v>0.73</v>
      </c>
      <c r="C43" s="3">
        <v>0.74</v>
      </c>
      <c r="D43" s="3">
        <v>1.04</v>
      </c>
      <c r="E43" s="3">
        <v>1.87</v>
      </c>
      <c r="F43" s="3">
        <v>1.46</v>
      </c>
      <c r="G43" s="3">
        <v>2.29</v>
      </c>
      <c r="H43" s="3">
        <v>1.28</v>
      </c>
      <c r="I43" s="3">
        <v>1.69</v>
      </c>
      <c r="J43" s="3">
        <v>0.92</v>
      </c>
      <c r="K43" s="3">
        <v>1.27</v>
      </c>
    </row>
    <row r="44" spans="1:11" s="24" customFormat="1" x14ac:dyDescent="0.2">
      <c r="A44" s="24" t="s">
        <v>20</v>
      </c>
      <c r="B44" s="3">
        <v>0.38</v>
      </c>
      <c r="C44" s="3">
        <v>0.38</v>
      </c>
      <c r="D44" s="3">
        <v>0.38</v>
      </c>
      <c r="E44" s="3">
        <v>0.38</v>
      </c>
      <c r="F44" s="3">
        <v>0.35</v>
      </c>
      <c r="G44" s="3">
        <v>2.0499999999999998</v>
      </c>
      <c r="H44" s="3">
        <v>2.09</v>
      </c>
      <c r="I44" s="3">
        <v>0.53</v>
      </c>
      <c r="J44" s="3">
        <v>1.48</v>
      </c>
      <c r="K44" s="3">
        <v>2.68</v>
      </c>
    </row>
    <row r="45" spans="1:11" s="24" customFormat="1" x14ac:dyDescent="0.2">
      <c r="A45" s="24" t="s">
        <v>21</v>
      </c>
      <c r="B45" s="3">
        <v>2.25</v>
      </c>
      <c r="C45" s="3">
        <v>2.2400000000000002</v>
      </c>
      <c r="D45" s="3">
        <v>1.89</v>
      </c>
      <c r="E45" s="3">
        <v>2.42</v>
      </c>
      <c r="F45" s="3">
        <v>2.2599999999999998</v>
      </c>
      <c r="G45" s="3">
        <v>1.69</v>
      </c>
      <c r="H45" s="3">
        <v>3.4</v>
      </c>
      <c r="I45" s="3">
        <v>5.87</v>
      </c>
      <c r="J45" s="3">
        <v>4.9400000000000004</v>
      </c>
      <c r="K45" s="3">
        <v>5.0599999999999996</v>
      </c>
    </row>
    <row r="46" spans="1:11" s="24" customFormat="1" x14ac:dyDescent="0.2">
      <c r="A46" s="24" t="s">
        <v>22</v>
      </c>
      <c r="B46" s="3">
        <v>18.61</v>
      </c>
      <c r="C46" s="3">
        <v>17.13</v>
      </c>
      <c r="D46" s="3">
        <v>17.690000000000001</v>
      </c>
      <c r="E46" s="3">
        <v>18.77</v>
      </c>
      <c r="F46" s="3">
        <v>23.66</v>
      </c>
      <c r="G46" s="3">
        <v>24.1</v>
      </c>
      <c r="H46" s="3">
        <v>24.5</v>
      </c>
      <c r="I46" s="3">
        <v>24.74</v>
      </c>
      <c r="J46" s="3">
        <v>26.23</v>
      </c>
      <c r="K46" s="3">
        <v>30.65</v>
      </c>
    </row>
    <row r="47" spans="1:11" s="24" customFormat="1" x14ac:dyDescent="0.2">
      <c r="A47" s="24" t="s">
        <v>23</v>
      </c>
      <c r="B47" s="3">
        <v>4.58</v>
      </c>
      <c r="C47" s="3">
        <v>4.55</v>
      </c>
      <c r="D47" s="3">
        <v>4.63</v>
      </c>
      <c r="E47" s="3">
        <v>4.49</v>
      </c>
      <c r="F47" s="3">
        <v>5.98</v>
      </c>
      <c r="G47" s="3">
        <v>5.85</v>
      </c>
      <c r="H47" s="3">
        <v>6.2</v>
      </c>
      <c r="I47" s="3">
        <v>6.57</v>
      </c>
      <c r="J47" s="3">
        <v>6.63</v>
      </c>
      <c r="K47" s="3">
        <v>8.06</v>
      </c>
    </row>
    <row r="48" spans="1:11" s="24" customFormat="1" x14ac:dyDescent="0.2">
      <c r="A48" s="24" t="s">
        <v>24</v>
      </c>
      <c r="B48" s="3">
        <v>14.04</v>
      </c>
      <c r="C48" s="3">
        <v>12.57</v>
      </c>
      <c r="D48" s="3">
        <v>13.06</v>
      </c>
      <c r="E48" s="3">
        <v>14.29</v>
      </c>
      <c r="F48" s="3">
        <v>17.68</v>
      </c>
      <c r="G48" s="3">
        <v>18.260000000000002</v>
      </c>
      <c r="H48" s="3">
        <v>18.309999999999999</v>
      </c>
      <c r="I48" s="3">
        <v>18.170000000000002</v>
      </c>
      <c r="J48" s="3">
        <v>19.61</v>
      </c>
      <c r="K48" s="3">
        <v>22.58</v>
      </c>
    </row>
    <row r="49" spans="1:11" x14ac:dyDescent="0.2">
      <c r="A49" s="24" t="s">
        <v>30</v>
      </c>
      <c r="B49" s="3">
        <v>20.51</v>
      </c>
      <c r="C49" s="3">
        <v>19.010000000000002</v>
      </c>
      <c r="D49" s="3">
        <v>18.920000000000002</v>
      </c>
      <c r="E49" s="3">
        <v>19.7</v>
      </c>
      <c r="F49" s="3">
        <v>24.81</v>
      </c>
      <c r="G49" s="3">
        <v>25.55</v>
      </c>
      <c r="H49" s="3">
        <v>28.71</v>
      </c>
      <c r="I49" s="3">
        <v>29.45</v>
      </c>
      <c r="J49" s="3">
        <v>31.73</v>
      </c>
      <c r="K49" s="3">
        <v>37.119999999999997</v>
      </c>
    </row>
    <row r="50" spans="1:11" x14ac:dyDescent="0.2">
      <c r="A50" s="24" t="s">
        <v>27</v>
      </c>
      <c r="B50" s="33">
        <f>B44+B45+B47+B48</f>
        <v>21.25</v>
      </c>
      <c r="C50" s="33">
        <f t="shared" ref="C50:K50" si="0">C44+C45+C47+C48</f>
        <v>19.740000000000002</v>
      </c>
      <c r="D50" s="33">
        <f t="shared" si="0"/>
        <v>19.96</v>
      </c>
      <c r="E50" s="33">
        <f t="shared" si="0"/>
        <v>21.58</v>
      </c>
      <c r="F50" s="33">
        <f t="shared" si="0"/>
        <v>26.27</v>
      </c>
      <c r="G50" s="33">
        <f t="shared" si="0"/>
        <v>27.85</v>
      </c>
      <c r="H50" s="33">
        <f t="shared" si="0"/>
        <v>30</v>
      </c>
      <c r="I50" s="33">
        <f t="shared" si="0"/>
        <v>31.14</v>
      </c>
      <c r="J50" s="33">
        <f t="shared" si="0"/>
        <v>32.659999999999997</v>
      </c>
      <c r="K50" s="33">
        <f t="shared" si="0"/>
        <v>38.379999999999995</v>
      </c>
    </row>
    <row r="51" spans="1:11" x14ac:dyDescent="0.2">
      <c r="A51" s="24"/>
    </row>
    <row r="52" spans="1:11" x14ac:dyDescent="0.2">
      <c r="A52" s="24"/>
    </row>
    <row r="53" spans="1:11" x14ac:dyDescent="0.2">
      <c r="A53" s="24"/>
    </row>
    <row r="54" spans="1:11" x14ac:dyDescent="0.2">
      <c r="A54" s="19" t="s">
        <v>31</v>
      </c>
    </row>
    <row r="55" spans="1:11" s="23" customFormat="1" x14ac:dyDescent="0.2">
      <c r="A55" s="21" t="s">
        <v>10</v>
      </c>
      <c r="B55" s="22">
        <v>42460</v>
      </c>
      <c r="C55" s="22">
        <v>42825</v>
      </c>
      <c r="D55" s="22">
        <v>43190</v>
      </c>
      <c r="E55" s="22">
        <v>43555</v>
      </c>
      <c r="F55" s="22">
        <v>43921</v>
      </c>
      <c r="G55" s="22">
        <v>44286</v>
      </c>
      <c r="H55" s="22">
        <v>44651</v>
      </c>
      <c r="I55" s="22">
        <v>45016</v>
      </c>
      <c r="J55" s="22">
        <v>45382</v>
      </c>
      <c r="K55" s="22">
        <v>45747</v>
      </c>
    </row>
    <row r="56" spans="1:11" x14ac:dyDescent="0.2">
      <c r="A56" s="24" t="s">
        <v>32</v>
      </c>
      <c r="B56" s="3">
        <v>5.92</v>
      </c>
      <c r="C56" s="3">
        <v>6.38</v>
      </c>
      <c r="D56" s="3">
        <v>6.91</v>
      </c>
      <c r="E56" s="3">
        <v>9.17</v>
      </c>
      <c r="F56" s="3">
        <v>9.17</v>
      </c>
      <c r="G56" s="3">
        <v>10.130000000000001</v>
      </c>
      <c r="H56" s="3">
        <v>11.28</v>
      </c>
      <c r="I56" s="3">
        <v>12.69</v>
      </c>
      <c r="J56" s="3">
        <v>12.71</v>
      </c>
      <c r="K56" s="3">
        <v>12.73</v>
      </c>
    </row>
    <row r="57" spans="1:11" x14ac:dyDescent="0.2">
      <c r="A57" s="24" t="s">
        <v>33</v>
      </c>
      <c r="B57" s="3">
        <v>10.95</v>
      </c>
      <c r="C57" s="3">
        <v>14.05</v>
      </c>
      <c r="D57" s="3">
        <v>16.23</v>
      </c>
      <c r="E57" s="3">
        <v>21.56</v>
      </c>
      <c r="F57" s="3">
        <v>27.02</v>
      </c>
      <c r="G57" s="3">
        <v>39.31</v>
      </c>
      <c r="H57" s="3">
        <v>56.58</v>
      </c>
      <c r="I57" s="3">
        <v>91.87</v>
      </c>
      <c r="J57" s="3">
        <v>144.85</v>
      </c>
      <c r="K57" s="3">
        <v>218.19</v>
      </c>
    </row>
    <row r="58" spans="1:11" x14ac:dyDescent="0.2">
      <c r="A58" s="24" t="s">
        <v>34</v>
      </c>
      <c r="B58" s="3">
        <v>20.87</v>
      </c>
      <c r="C58" s="3">
        <v>20.100000000000001</v>
      </c>
      <c r="D58" s="3">
        <v>35.47</v>
      </c>
      <c r="E58" s="3">
        <v>35.43</v>
      </c>
      <c r="F58" s="3">
        <v>37.19</v>
      </c>
      <c r="G58" s="3">
        <v>43.51</v>
      </c>
      <c r="H58" s="3">
        <v>64.14</v>
      </c>
      <c r="I58" s="3">
        <v>68.63</v>
      </c>
      <c r="J58" s="3">
        <v>35.76</v>
      </c>
      <c r="K58" s="3">
        <v>138.84</v>
      </c>
    </row>
    <row r="59" spans="1:11" x14ac:dyDescent="0.2">
      <c r="A59" s="24" t="s">
        <v>35</v>
      </c>
      <c r="B59" s="3">
        <v>11.95</v>
      </c>
      <c r="C59" s="3">
        <v>12.46</v>
      </c>
      <c r="D59" s="3">
        <v>10.82</v>
      </c>
      <c r="E59" s="3">
        <v>31.86</v>
      </c>
      <c r="F59" s="3">
        <v>48.76</v>
      </c>
      <c r="G59" s="3">
        <v>87.61</v>
      </c>
      <c r="H59" s="3">
        <v>166.92</v>
      </c>
      <c r="I59" s="3">
        <v>229.02</v>
      </c>
      <c r="J59" s="3">
        <v>393.7</v>
      </c>
      <c r="K59" s="3">
        <v>404.31</v>
      </c>
    </row>
    <row r="60" spans="1:11" s="19" customFormat="1" x14ac:dyDescent="0.2">
      <c r="A60" s="19" t="s">
        <v>36</v>
      </c>
      <c r="B60" s="3">
        <v>49.69</v>
      </c>
      <c r="C60" s="3">
        <v>52.99</v>
      </c>
      <c r="D60" s="3">
        <v>69.430000000000007</v>
      </c>
      <c r="E60" s="3">
        <v>98.02</v>
      </c>
      <c r="F60" s="3">
        <v>122.14</v>
      </c>
      <c r="G60" s="3">
        <v>180.56</v>
      </c>
      <c r="H60" s="3">
        <v>298.92</v>
      </c>
      <c r="I60" s="3">
        <v>402.21</v>
      </c>
      <c r="J60" s="3">
        <v>587.02</v>
      </c>
      <c r="K60" s="3">
        <v>774.07</v>
      </c>
    </row>
    <row r="61" spans="1:11" x14ac:dyDescent="0.2">
      <c r="A61" s="24" t="s">
        <v>37</v>
      </c>
      <c r="B61" s="3">
        <v>3.46</v>
      </c>
      <c r="C61" s="3">
        <v>3.03</v>
      </c>
      <c r="D61" s="3">
        <v>2.85</v>
      </c>
      <c r="E61" s="3">
        <v>2.5</v>
      </c>
      <c r="F61" s="3">
        <v>3.74</v>
      </c>
      <c r="G61" s="3">
        <v>6.39</v>
      </c>
      <c r="H61" s="3">
        <v>6.09</v>
      </c>
      <c r="I61" s="3">
        <v>6.73</v>
      </c>
      <c r="J61" s="3">
        <v>5.5</v>
      </c>
      <c r="K61" s="3">
        <v>9.2100000000000009</v>
      </c>
    </row>
    <row r="62" spans="1:11" x14ac:dyDescent="0.2">
      <c r="A62" s="24" t="s">
        <v>38</v>
      </c>
      <c r="K62" s="3">
        <v>21.95</v>
      </c>
    </row>
    <row r="63" spans="1:11" x14ac:dyDescent="0.2">
      <c r="A63" s="24" t="s">
        <v>39</v>
      </c>
      <c r="B63" s="3">
        <v>0.01</v>
      </c>
      <c r="C63" s="3">
        <v>0.06</v>
      </c>
      <c r="D63" s="3">
        <v>0.06</v>
      </c>
      <c r="E63" s="3">
        <v>0.06</v>
      </c>
      <c r="F63" s="3">
        <v>0.06</v>
      </c>
      <c r="G63" s="3">
        <v>0.44</v>
      </c>
      <c r="H63" s="3">
        <v>0.56000000000000005</v>
      </c>
      <c r="I63" s="3">
        <v>0.55000000000000004</v>
      </c>
      <c r="J63" s="3">
        <v>0.81</v>
      </c>
      <c r="K63" s="3">
        <v>0.9</v>
      </c>
    </row>
    <row r="64" spans="1:11" x14ac:dyDescent="0.2">
      <c r="A64" s="24" t="s">
        <v>40</v>
      </c>
      <c r="B64" s="3">
        <v>46.22</v>
      </c>
      <c r="C64" s="3">
        <v>49.9</v>
      </c>
      <c r="D64" s="3">
        <v>66.52</v>
      </c>
      <c r="E64" s="3">
        <v>95.46</v>
      </c>
      <c r="F64" s="3">
        <v>118.34</v>
      </c>
      <c r="G64" s="3">
        <v>173.73</v>
      </c>
      <c r="H64" s="3">
        <v>292.27</v>
      </c>
      <c r="I64" s="3">
        <v>394.93</v>
      </c>
      <c r="J64" s="3">
        <v>580.71</v>
      </c>
      <c r="K64" s="3">
        <v>742.01</v>
      </c>
    </row>
    <row r="65" spans="1:11" s="19" customFormat="1" x14ac:dyDescent="0.2">
      <c r="A65" s="19" t="s">
        <v>36</v>
      </c>
      <c r="B65" s="3">
        <v>49.69</v>
      </c>
      <c r="C65" s="3">
        <v>52.99</v>
      </c>
      <c r="D65" s="3">
        <v>69.430000000000007</v>
      </c>
      <c r="E65" s="3">
        <v>98.02</v>
      </c>
      <c r="F65" s="3">
        <v>122.14</v>
      </c>
      <c r="G65" s="3">
        <v>180.56</v>
      </c>
      <c r="H65" s="3">
        <v>298.92</v>
      </c>
      <c r="I65" s="3">
        <v>402.21</v>
      </c>
      <c r="J65" s="3">
        <v>587.02</v>
      </c>
      <c r="K65" s="3">
        <v>774.07</v>
      </c>
    </row>
    <row r="66" spans="1:11" s="24" customFormat="1" x14ac:dyDescent="0.2">
      <c r="A66" s="24" t="s">
        <v>41</v>
      </c>
      <c r="B66" s="3">
        <v>30.35</v>
      </c>
      <c r="C66" s="3">
        <v>28.49</v>
      </c>
      <c r="D66" s="3">
        <v>39.54</v>
      </c>
      <c r="E66" s="3">
        <v>57.68</v>
      </c>
      <c r="F66" s="3">
        <v>84</v>
      </c>
      <c r="G66" s="3">
        <v>101.9</v>
      </c>
      <c r="H66" s="3">
        <v>175.68</v>
      </c>
      <c r="I66" s="3">
        <v>300.61</v>
      </c>
      <c r="J66" s="3">
        <v>401.52</v>
      </c>
      <c r="K66" s="3">
        <v>436.63</v>
      </c>
    </row>
    <row r="67" spans="1:11" x14ac:dyDescent="0.2">
      <c r="A67" s="24" t="s">
        <v>42</v>
      </c>
      <c r="B67" s="3">
        <v>6.62</v>
      </c>
      <c r="C67" s="3">
        <v>9.19</v>
      </c>
      <c r="D67" s="3">
        <v>13.81</v>
      </c>
      <c r="E67" s="3">
        <v>16.79</v>
      </c>
      <c r="F67" s="3">
        <v>8.7200000000000006</v>
      </c>
      <c r="G67" s="3">
        <v>42.47</v>
      </c>
      <c r="H67" s="3">
        <v>70.91</v>
      </c>
      <c r="I67" s="3">
        <v>36.630000000000003</v>
      </c>
      <c r="J67" s="3">
        <v>73.39</v>
      </c>
      <c r="K67" s="3">
        <v>58.24</v>
      </c>
    </row>
    <row r="68" spans="1:11" x14ac:dyDescent="0.2">
      <c r="A68" s="20" t="s">
        <v>43</v>
      </c>
      <c r="B68" s="3">
        <v>6.25</v>
      </c>
      <c r="C68" s="3">
        <v>9.24</v>
      </c>
      <c r="D68" s="3">
        <v>8.85</v>
      </c>
      <c r="E68" s="3">
        <v>17.63</v>
      </c>
      <c r="F68" s="3">
        <v>16.61</v>
      </c>
      <c r="G68" s="3">
        <v>22.71</v>
      </c>
      <c r="H68" s="3">
        <v>35.32</v>
      </c>
      <c r="I68" s="3">
        <v>45.79</v>
      </c>
      <c r="J68" s="3">
        <v>87.89</v>
      </c>
      <c r="K68" s="3">
        <v>104.26</v>
      </c>
    </row>
    <row r="69" spans="1:11" x14ac:dyDescent="0.2">
      <c r="A69" s="20" t="s">
        <v>44</v>
      </c>
      <c r="B69" s="3">
        <v>5923080</v>
      </c>
      <c r="C69" s="3">
        <v>6378080</v>
      </c>
      <c r="D69" s="3">
        <v>6908080</v>
      </c>
      <c r="E69" s="3">
        <v>9173080</v>
      </c>
      <c r="F69" s="3">
        <v>9173080</v>
      </c>
      <c r="G69" s="3">
        <v>10133080</v>
      </c>
      <c r="H69" s="3">
        <v>11278080</v>
      </c>
      <c r="I69" s="3">
        <v>12693080</v>
      </c>
      <c r="J69" s="3">
        <v>12713130</v>
      </c>
      <c r="K69" s="3">
        <v>12725330</v>
      </c>
    </row>
    <row r="70" spans="1:11" x14ac:dyDescent="0.2">
      <c r="A70" s="20" t="s">
        <v>45</v>
      </c>
    </row>
    <row r="71" spans="1:11" x14ac:dyDescent="0.2">
      <c r="A71" s="20" t="s">
        <v>46</v>
      </c>
      <c r="B71" s="3">
        <v>10</v>
      </c>
      <c r="C71" s="3">
        <v>10</v>
      </c>
      <c r="D71" s="3">
        <v>10</v>
      </c>
      <c r="E71" s="3">
        <v>10</v>
      </c>
      <c r="F71" s="3">
        <v>10</v>
      </c>
      <c r="G71" s="3">
        <v>10</v>
      </c>
      <c r="H71" s="3">
        <v>10</v>
      </c>
      <c r="I71" s="3">
        <v>10</v>
      </c>
      <c r="J71" s="3">
        <v>10</v>
      </c>
      <c r="K71" s="3">
        <v>10</v>
      </c>
    </row>
    <row r="72" spans="1:11" x14ac:dyDescent="0.2">
      <c r="H72" s="33">
        <f>H61-G61+H44</f>
        <v>1.79</v>
      </c>
      <c r="I72" s="33">
        <f t="shared" ref="I72:K72" si="1">I61-H61+I44</f>
        <v>1.1700000000000006</v>
      </c>
      <c r="J72" s="33">
        <f t="shared" si="1"/>
        <v>0.24999999999999956</v>
      </c>
      <c r="K72" s="33">
        <f t="shared" si="1"/>
        <v>6.3900000000000006</v>
      </c>
    </row>
    <row r="73" spans="1:11" x14ac:dyDescent="0.2">
      <c r="A73" s="24"/>
    </row>
    <row r="74" spans="1:11" x14ac:dyDescent="0.2">
      <c r="A74" s="24"/>
    </row>
    <row r="75" spans="1:11" x14ac:dyDescent="0.2">
      <c r="A75" s="24"/>
    </row>
    <row r="76" spans="1:11" x14ac:dyDescent="0.2">
      <c r="A76" s="24"/>
    </row>
    <row r="77" spans="1:11" x14ac:dyDescent="0.2">
      <c r="A77" s="24"/>
    </row>
    <row r="78" spans="1:11" x14ac:dyDescent="0.2">
      <c r="A78" s="24"/>
    </row>
    <row r="79" spans="1:11" x14ac:dyDescent="0.2">
      <c r="A79" s="19" t="s">
        <v>47</v>
      </c>
    </row>
    <row r="80" spans="1:11" s="23" customFormat="1" x14ac:dyDescent="0.2">
      <c r="A80" s="21" t="s">
        <v>10</v>
      </c>
      <c r="B80" s="22">
        <v>42460</v>
      </c>
      <c r="C80" s="22">
        <v>42825</v>
      </c>
      <c r="D80" s="22">
        <v>43190</v>
      </c>
      <c r="E80" s="22">
        <v>43555</v>
      </c>
      <c r="F80" s="22">
        <v>43921</v>
      </c>
      <c r="G80" s="22">
        <v>44286</v>
      </c>
      <c r="H80" s="22">
        <v>44651</v>
      </c>
      <c r="I80" s="22">
        <v>45016</v>
      </c>
      <c r="J80" s="22">
        <v>45382</v>
      </c>
      <c r="K80" s="22">
        <v>45747</v>
      </c>
    </row>
    <row r="81" spans="1:11" s="19" customFormat="1" x14ac:dyDescent="0.2">
      <c r="A81" s="24" t="s">
        <v>48</v>
      </c>
      <c r="B81" s="3">
        <v>-4.22</v>
      </c>
      <c r="C81" s="3">
        <v>4.49</v>
      </c>
      <c r="D81" s="3">
        <v>-13.19</v>
      </c>
      <c r="E81" s="3">
        <v>2.44</v>
      </c>
      <c r="F81" s="3">
        <v>4.0199999999999996</v>
      </c>
      <c r="G81" s="3">
        <v>9.1199999999999992</v>
      </c>
      <c r="H81" s="3">
        <v>-14.68</v>
      </c>
      <c r="I81" s="3">
        <v>14.62</v>
      </c>
      <c r="J81" s="3">
        <v>29.04</v>
      </c>
      <c r="K81" s="3">
        <v>64.11</v>
      </c>
    </row>
    <row r="82" spans="1:11" s="24" customFormat="1" x14ac:dyDescent="0.2">
      <c r="A82" s="24" t="s">
        <v>49</v>
      </c>
      <c r="B82" s="3">
        <v>-1.06</v>
      </c>
      <c r="C82" s="3">
        <v>-0.35</v>
      </c>
      <c r="D82" s="3">
        <v>-0.57999999999999996</v>
      </c>
      <c r="E82" s="3">
        <v>-0.37</v>
      </c>
      <c r="F82" s="3">
        <v>0.48</v>
      </c>
      <c r="G82" s="3">
        <v>-2.27</v>
      </c>
      <c r="H82" s="3">
        <v>-1.17</v>
      </c>
      <c r="I82" s="3">
        <v>-0.3</v>
      </c>
      <c r="J82" s="3">
        <v>-0.33</v>
      </c>
      <c r="K82" s="3">
        <v>-26.09</v>
      </c>
    </row>
    <row r="83" spans="1:11" s="24" customFormat="1" x14ac:dyDescent="0.2">
      <c r="A83" s="24" t="s">
        <v>50</v>
      </c>
      <c r="B83" s="3">
        <v>5.43</v>
      </c>
      <c r="C83" s="3">
        <v>-1.1299999999999999</v>
      </c>
      <c r="D83" s="3">
        <v>12.65</v>
      </c>
      <c r="E83" s="3">
        <v>-2.12</v>
      </c>
      <c r="F83" s="3">
        <v>-8.2100000000000009</v>
      </c>
      <c r="G83" s="3">
        <v>-0.45</v>
      </c>
      <c r="H83" s="3">
        <v>13.63</v>
      </c>
      <c r="I83" s="3">
        <v>-5.37</v>
      </c>
      <c r="J83" s="3">
        <v>-42.27</v>
      </c>
      <c r="K83" s="3">
        <v>-6.27</v>
      </c>
    </row>
    <row r="84" spans="1:11" s="19" customFormat="1" x14ac:dyDescent="0.2">
      <c r="A84" s="24" t="s">
        <v>51</v>
      </c>
      <c r="B84" s="3">
        <v>0.15</v>
      </c>
      <c r="C84" s="3">
        <v>3.02</v>
      </c>
      <c r="D84" s="3">
        <v>-1.1200000000000001</v>
      </c>
      <c r="E84" s="3">
        <v>-0.04</v>
      </c>
      <c r="F84" s="3">
        <v>-3.71</v>
      </c>
      <c r="G84" s="3">
        <v>6.4</v>
      </c>
      <c r="H84" s="3">
        <v>-2.2200000000000002</v>
      </c>
      <c r="I84" s="3">
        <v>8.94</v>
      </c>
      <c r="J84" s="3">
        <v>-13.56</v>
      </c>
      <c r="K84" s="3">
        <v>31.75</v>
      </c>
    </row>
    <row r="85" spans="1:11" x14ac:dyDescent="0.2">
      <c r="A85" s="24"/>
    </row>
    <row r="86" spans="1:11" x14ac:dyDescent="0.2">
      <c r="A86" s="24"/>
    </row>
    <row r="87" spans="1:11" x14ac:dyDescent="0.2">
      <c r="A87" s="24"/>
    </row>
    <row r="88" spans="1:11" x14ac:dyDescent="0.2">
      <c r="A88" s="24"/>
    </row>
    <row r="89" spans="1:11" s="19" customFormat="1" x14ac:dyDescent="0.2">
      <c r="A89" s="19" t="s">
        <v>52</v>
      </c>
      <c r="B89" s="3">
        <v>13.5</v>
      </c>
      <c r="C89" s="3">
        <v>19.100000000000001</v>
      </c>
      <c r="D89" s="3">
        <v>35.950000000000003</v>
      </c>
      <c r="E89" s="3">
        <v>27.6</v>
      </c>
      <c r="F89" s="3">
        <v>14.95</v>
      </c>
      <c r="G89" s="3">
        <v>74.900000000000006</v>
      </c>
      <c r="H89" s="3">
        <v>210.35</v>
      </c>
      <c r="I89" s="3">
        <v>313.05</v>
      </c>
      <c r="J89" s="3">
        <v>1027.8</v>
      </c>
      <c r="K89" s="3">
        <v>1031.3499999999999</v>
      </c>
    </row>
    <row r="91" spans="1:11" s="19" customFormat="1" x14ac:dyDescent="0.2">
      <c r="A91" s="19" t="s">
        <v>53</v>
      </c>
    </row>
    <row r="92" spans="1:11" x14ac:dyDescent="0.2">
      <c r="A92" s="20" t="s">
        <v>54</v>
      </c>
      <c r="B92" s="25">
        <v>0.59</v>
      </c>
      <c r="C92" s="25">
        <v>0.64</v>
      </c>
      <c r="D92" s="25">
        <v>0.69</v>
      </c>
      <c r="E92" s="25">
        <v>0.92</v>
      </c>
      <c r="F92" s="25">
        <v>0.92</v>
      </c>
      <c r="G92" s="25">
        <v>1.01</v>
      </c>
      <c r="H92" s="25">
        <v>1.1299999999999999</v>
      </c>
      <c r="I92" s="25">
        <v>1.27</v>
      </c>
      <c r="J92" s="25">
        <v>1.27</v>
      </c>
      <c r="K92" s="25">
        <v>1.27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D9E20A12-2DDA-7440-BC56-DF109E50BC4E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Financials&gt;</vt:lpstr>
      <vt:lpstr>Historical FS</vt:lpstr>
      <vt:lpstr>Forecasting</vt:lpstr>
      <vt:lpstr>Data&gt;</vt:lpstr>
      <vt:lpstr>Data Sheet</vt:lpstr>
      <vt:lpstr>'Data Sheet'!UPDATE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The Valuation School</dc:creator>
  <cp:lastModifiedBy>Harsh Aryan IPM 2024-29 Batch</cp:lastModifiedBy>
  <dcterms:created xsi:type="dcterms:W3CDTF">2023-01-14T08:22:33Z</dcterms:created>
  <dcterms:modified xsi:type="dcterms:W3CDTF">2025-12-30T11:35:01Z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{9CFBFC8B-C35F-4354-95CF-4607CE1DA376}</vt:lpwstr>
  </property>
</Properties>
</file>